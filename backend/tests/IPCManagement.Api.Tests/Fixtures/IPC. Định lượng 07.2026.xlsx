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VSTORE\Desktop\"/>
    </mc:Choice>
  </mc:AlternateContent>
  <xr:revisionPtr revIDLastSave="0" documentId="13_ncr:1_{B2BC50C6-8BC3-4DC9-B735-E5E47BEA6A88}" xr6:coauthVersionLast="47" xr6:coauthVersionMax="47" xr10:uidLastSave="{00000000-0000-0000-0000-000000000000}"/>
  <bookViews>
    <workbookView xWindow="-110" yWindow="-110" windowWidth="19420" windowHeight="12420" tabRatio="601" activeTab="5" xr2:uid="{00000000-000D-0000-FFFF-FFFF00000000}"/>
  </bookViews>
  <sheets>
    <sheet name="Order" sheetId="3" r:id="rId1"/>
    <sheet name="Calculation" sheetId="2" state="hidden" r:id="rId2"/>
    <sheet name="định lượng suất 25k" sheetId="1" r:id="rId3"/>
    <sheet name="định lượng suất 30k" sheetId="5" r:id="rId4"/>
    <sheet name="định lượng suất 34k" sheetId="6" r:id="rId5"/>
    <sheet name="menu" sheetId="7" r:id="rId6"/>
  </sheets>
  <definedNames>
    <definedName name="_xlnm._FilterDatabase" localSheetId="2" hidden="1">'định lượng suất 25k'!$A$2:$K$666</definedName>
    <definedName name="_xlnm._FilterDatabase" localSheetId="3" hidden="1">'định lượng suất 30k'!$A$2:$K$666</definedName>
    <definedName name="_xlnm._FilterDatabase" localSheetId="4" hidden="1">'định lượng suất 34k'!$A$2:$K$673</definedName>
    <definedName name="_xlnm._FilterDatabase" localSheetId="0" hidden="1">Order!$N$14:$R$14</definedName>
  </definedNames>
  <calcPr calcId="191029"/>
  <pivotCaches>
    <pivotCache cacheId="0" r:id="rId7"/>
    <pivotCache cacheId="1" r:id="rId8"/>
    <pivotCache cacheId="2" r:id="rId9"/>
    <pivotCache cacheId="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68" i="6" l="1"/>
  <c r="K568" i="6"/>
  <c r="B568" i="6"/>
  <c r="B556" i="6"/>
  <c r="J556" i="6"/>
  <c r="K556" i="6"/>
  <c r="K531" i="6"/>
  <c r="J531" i="6"/>
  <c r="B531" i="6"/>
  <c r="J487" i="6"/>
  <c r="K487" i="6"/>
  <c r="B487" i="6"/>
  <c r="B378" i="6"/>
  <c r="K378" i="6"/>
  <c r="J378" i="6"/>
  <c r="B243" i="6"/>
  <c r="K243" i="6"/>
  <c r="J243" i="6"/>
  <c r="K19" i="6"/>
  <c r="J19" i="6"/>
  <c r="B19" i="6"/>
  <c r="O598" i="5"/>
  <c r="O597" i="5"/>
  <c r="O596" i="5"/>
  <c r="O595" i="5"/>
  <c r="O589" i="5"/>
  <c r="O588" i="5"/>
  <c r="O587" i="5"/>
  <c r="O463" i="5"/>
  <c r="O460" i="5"/>
  <c r="O459" i="5"/>
  <c r="O457" i="5"/>
  <c r="O456" i="5"/>
  <c r="O451" i="5"/>
  <c r="O450" i="5"/>
  <c r="O449" i="5"/>
  <c r="O446" i="5"/>
  <c r="O445" i="5"/>
  <c r="O444" i="5"/>
  <c r="O443" i="5"/>
  <c r="O442" i="5"/>
  <c r="O441" i="5"/>
  <c r="O440" i="5"/>
  <c r="O438" i="5"/>
  <c r="O437" i="5"/>
  <c r="O436" i="5"/>
  <c r="O435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4" i="5"/>
  <c r="O413" i="5"/>
  <c r="O411" i="5"/>
  <c r="O394" i="5"/>
  <c r="O392" i="5"/>
  <c r="O391" i="5"/>
  <c r="O386" i="5"/>
  <c r="O385" i="5"/>
  <c r="O372" i="5"/>
  <c r="O371" i="5"/>
  <c r="O370" i="5"/>
  <c r="O369" i="5"/>
  <c r="O368" i="5"/>
  <c r="O367" i="5"/>
  <c r="O366" i="5"/>
  <c r="O365" i="5"/>
  <c r="O364" i="5"/>
  <c r="O355" i="5"/>
  <c r="O354" i="5"/>
  <c r="O347" i="5"/>
  <c r="O343" i="5"/>
  <c r="O341" i="5"/>
  <c r="O311" i="5"/>
  <c r="O307" i="5"/>
  <c r="O306" i="5"/>
  <c r="O305" i="5"/>
  <c r="O304" i="5"/>
  <c r="O289" i="5"/>
  <c r="O285" i="5"/>
  <c r="O284" i="5"/>
  <c r="O254" i="5"/>
  <c r="O253" i="5"/>
  <c r="O234" i="5"/>
  <c r="O228" i="5"/>
  <c r="O222" i="5"/>
  <c r="O221" i="5"/>
  <c r="O210" i="5"/>
  <c r="O209" i="5"/>
  <c r="O208" i="5"/>
  <c r="O207" i="5"/>
  <c r="O202" i="5"/>
  <c r="O201" i="5"/>
  <c r="O200" i="5"/>
  <c r="O199" i="5"/>
  <c r="O198" i="5"/>
  <c r="O185" i="5"/>
  <c r="O179" i="5"/>
  <c r="O175" i="5"/>
  <c r="O173" i="5"/>
  <c r="O172" i="5"/>
  <c r="O135" i="5"/>
  <c r="O110" i="5"/>
  <c r="O109" i="5"/>
  <c r="O108" i="5"/>
  <c r="O107" i="5"/>
  <c r="O106" i="5"/>
  <c r="O69" i="5"/>
  <c r="O68" i="5"/>
  <c r="O50" i="5"/>
  <c r="O49" i="5"/>
  <c r="O48" i="5"/>
  <c r="O47" i="5"/>
  <c r="O39" i="5"/>
  <c r="O30" i="5"/>
  <c r="K673" i="6"/>
  <c r="J673" i="6"/>
  <c r="B673" i="6"/>
  <c r="K672" i="6"/>
  <c r="J672" i="6"/>
  <c r="B672" i="6"/>
  <c r="K671" i="6"/>
  <c r="J671" i="6"/>
  <c r="B671" i="6"/>
  <c r="K670" i="6"/>
  <c r="J670" i="6"/>
  <c r="B670" i="6"/>
  <c r="K669" i="6"/>
  <c r="J669" i="6"/>
  <c r="B669" i="6"/>
  <c r="K668" i="6"/>
  <c r="J668" i="6"/>
  <c r="B668" i="6"/>
  <c r="K667" i="6"/>
  <c r="J667" i="6"/>
  <c r="B667" i="6"/>
  <c r="K666" i="6"/>
  <c r="J666" i="6"/>
  <c r="B666" i="6"/>
  <c r="K665" i="6"/>
  <c r="J665" i="6"/>
  <c r="B665" i="6"/>
  <c r="K664" i="6"/>
  <c r="J664" i="6"/>
  <c r="B664" i="6"/>
  <c r="K663" i="6"/>
  <c r="J663" i="6"/>
  <c r="B663" i="6"/>
  <c r="K662" i="6"/>
  <c r="J662" i="6"/>
  <c r="B662" i="6"/>
  <c r="K661" i="6"/>
  <c r="J661" i="6"/>
  <c r="B661" i="6"/>
  <c r="K660" i="6"/>
  <c r="J660" i="6"/>
  <c r="B660" i="6"/>
  <c r="K659" i="6"/>
  <c r="J659" i="6"/>
  <c r="B659" i="6"/>
  <c r="K658" i="6"/>
  <c r="J658" i="6"/>
  <c r="B658" i="6"/>
  <c r="K657" i="6"/>
  <c r="J657" i="6"/>
  <c r="B657" i="6"/>
  <c r="K656" i="6"/>
  <c r="J656" i="6"/>
  <c r="B656" i="6"/>
  <c r="K655" i="6"/>
  <c r="J655" i="6"/>
  <c r="B655" i="6"/>
  <c r="K654" i="6"/>
  <c r="J654" i="6"/>
  <c r="B654" i="6"/>
  <c r="K653" i="6"/>
  <c r="J653" i="6"/>
  <c r="B653" i="6"/>
  <c r="K652" i="6"/>
  <c r="J652" i="6"/>
  <c r="B652" i="6"/>
  <c r="K651" i="6"/>
  <c r="J651" i="6"/>
  <c r="B651" i="6"/>
  <c r="K650" i="6"/>
  <c r="J650" i="6"/>
  <c r="B650" i="6"/>
  <c r="K649" i="6"/>
  <c r="J649" i="6"/>
  <c r="B649" i="6"/>
  <c r="K648" i="6"/>
  <c r="J648" i="6"/>
  <c r="B648" i="6"/>
  <c r="K647" i="6"/>
  <c r="J647" i="6"/>
  <c r="B647" i="6"/>
  <c r="K646" i="6"/>
  <c r="J646" i="6"/>
  <c r="B646" i="6"/>
  <c r="K645" i="6"/>
  <c r="J645" i="6"/>
  <c r="B645" i="6"/>
  <c r="K644" i="6"/>
  <c r="J644" i="6"/>
  <c r="B644" i="6"/>
  <c r="K643" i="6"/>
  <c r="J643" i="6"/>
  <c r="B643" i="6"/>
  <c r="K642" i="6"/>
  <c r="J642" i="6"/>
  <c r="B642" i="6"/>
  <c r="K641" i="6"/>
  <c r="J641" i="6"/>
  <c r="B641" i="6"/>
  <c r="K640" i="6"/>
  <c r="J640" i="6"/>
  <c r="B640" i="6"/>
  <c r="K639" i="6"/>
  <c r="J639" i="6"/>
  <c r="B639" i="6"/>
  <c r="K638" i="6"/>
  <c r="J638" i="6"/>
  <c r="B638" i="6"/>
  <c r="K637" i="6"/>
  <c r="J637" i="6"/>
  <c r="B637" i="6"/>
  <c r="K636" i="6"/>
  <c r="J636" i="6"/>
  <c r="B636" i="6"/>
  <c r="K635" i="6"/>
  <c r="J635" i="6"/>
  <c r="B635" i="6"/>
  <c r="K634" i="6"/>
  <c r="J634" i="6"/>
  <c r="B634" i="6"/>
  <c r="K633" i="6"/>
  <c r="J633" i="6"/>
  <c r="B633" i="6"/>
  <c r="K632" i="6"/>
  <c r="J632" i="6"/>
  <c r="B632" i="6"/>
  <c r="K631" i="6"/>
  <c r="J631" i="6"/>
  <c r="B631" i="6"/>
  <c r="K630" i="6"/>
  <c r="J630" i="6"/>
  <c r="B630" i="6"/>
  <c r="K629" i="6"/>
  <c r="J629" i="6"/>
  <c r="B629" i="6"/>
  <c r="K628" i="6"/>
  <c r="J628" i="6"/>
  <c r="B628" i="6"/>
  <c r="K627" i="6"/>
  <c r="J627" i="6"/>
  <c r="B627" i="6"/>
  <c r="K626" i="6"/>
  <c r="J626" i="6"/>
  <c r="B626" i="6"/>
  <c r="K625" i="6"/>
  <c r="J625" i="6"/>
  <c r="B625" i="6"/>
  <c r="K624" i="6"/>
  <c r="J624" i="6"/>
  <c r="B624" i="6"/>
  <c r="K623" i="6"/>
  <c r="J623" i="6"/>
  <c r="B623" i="6"/>
  <c r="K622" i="6"/>
  <c r="J622" i="6"/>
  <c r="B622" i="6"/>
  <c r="K621" i="6"/>
  <c r="J621" i="6"/>
  <c r="B621" i="6"/>
  <c r="K620" i="6"/>
  <c r="J620" i="6"/>
  <c r="B620" i="6"/>
  <c r="K619" i="6"/>
  <c r="J619" i="6"/>
  <c r="B619" i="6"/>
  <c r="K618" i="6"/>
  <c r="J618" i="6"/>
  <c r="B618" i="6"/>
  <c r="K617" i="6"/>
  <c r="J617" i="6"/>
  <c r="B617" i="6"/>
  <c r="K616" i="6"/>
  <c r="J616" i="6"/>
  <c r="B616" i="6"/>
  <c r="K615" i="6"/>
  <c r="J615" i="6"/>
  <c r="B615" i="6"/>
  <c r="K614" i="6"/>
  <c r="J614" i="6"/>
  <c r="B614" i="6"/>
  <c r="K613" i="6"/>
  <c r="J613" i="6"/>
  <c r="B613" i="6"/>
  <c r="K612" i="6"/>
  <c r="J612" i="6"/>
  <c r="B612" i="6"/>
  <c r="K611" i="6"/>
  <c r="J611" i="6"/>
  <c r="B611" i="6"/>
  <c r="K610" i="6"/>
  <c r="J610" i="6"/>
  <c r="B610" i="6"/>
  <c r="K609" i="6"/>
  <c r="J609" i="6"/>
  <c r="B609" i="6"/>
  <c r="K608" i="6"/>
  <c r="J608" i="6"/>
  <c r="B608" i="6"/>
  <c r="K607" i="6"/>
  <c r="J607" i="6"/>
  <c r="B607" i="6"/>
  <c r="K606" i="6"/>
  <c r="J606" i="6"/>
  <c r="B606" i="6"/>
  <c r="K605" i="6"/>
  <c r="J605" i="6"/>
  <c r="B605" i="6"/>
  <c r="K604" i="6"/>
  <c r="J604" i="6"/>
  <c r="B604" i="6"/>
  <c r="K603" i="6"/>
  <c r="J603" i="6"/>
  <c r="B603" i="6"/>
  <c r="K602" i="6"/>
  <c r="J602" i="6"/>
  <c r="B602" i="6"/>
  <c r="K601" i="6"/>
  <c r="J601" i="6"/>
  <c r="B601" i="6"/>
  <c r="K600" i="6"/>
  <c r="J600" i="6"/>
  <c r="B600" i="6"/>
  <c r="K599" i="6"/>
  <c r="J599" i="6"/>
  <c r="B599" i="6"/>
  <c r="K598" i="6"/>
  <c r="J598" i="6"/>
  <c r="B598" i="6"/>
  <c r="K597" i="6"/>
  <c r="J597" i="6"/>
  <c r="B597" i="6"/>
  <c r="K596" i="6"/>
  <c r="J596" i="6"/>
  <c r="B596" i="6"/>
  <c r="K595" i="6"/>
  <c r="J595" i="6"/>
  <c r="B595" i="6"/>
  <c r="K594" i="6"/>
  <c r="J594" i="6"/>
  <c r="B594" i="6"/>
  <c r="K593" i="6"/>
  <c r="J593" i="6"/>
  <c r="B593" i="6"/>
  <c r="K592" i="6"/>
  <c r="J592" i="6"/>
  <c r="B592" i="6"/>
  <c r="K591" i="6"/>
  <c r="J591" i="6"/>
  <c r="B591" i="6"/>
  <c r="K590" i="6"/>
  <c r="J590" i="6"/>
  <c r="B590" i="6"/>
  <c r="K589" i="6"/>
  <c r="J589" i="6"/>
  <c r="B589" i="6"/>
  <c r="K588" i="6"/>
  <c r="J588" i="6"/>
  <c r="B588" i="6"/>
  <c r="K587" i="6"/>
  <c r="J587" i="6"/>
  <c r="B587" i="6"/>
  <c r="K586" i="6"/>
  <c r="J586" i="6"/>
  <c r="B586" i="6"/>
  <c r="K585" i="6"/>
  <c r="J585" i="6"/>
  <c r="B585" i="6"/>
  <c r="K584" i="6"/>
  <c r="J584" i="6"/>
  <c r="B584" i="6"/>
  <c r="K583" i="6"/>
  <c r="J583" i="6"/>
  <c r="B583" i="6"/>
  <c r="K582" i="6"/>
  <c r="J582" i="6"/>
  <c r="B582" i="6"/>
  <c r="K581" i="6"/>
  <c r="J581" i="6"/>
  <c r="B581" i="6"/>
  <c r="K580" i="6"/>
  <c r="J580" i="6"/>
  <c r="B580" i="6"/>
  <c r="K579" i="6"/>
  <c r="J579" i="6"/>
  <c r="B579" i="6"/>
  <c r="K578" i="6"/>
  <c r="J578" i="6"/>
  <c r="B578" i="6"/>
  <c r="K577" i="6"/>
  <c r="J577" i="6"/>
  <c r="B577" i="6"/>
  <c r="K576" i="6"/>
  <c r="J576" i="6"/>
  <c r="B576" i="6"/>
  <c r="K575" i="6"/>
  <c r="J575" i="6"/>
  <c r="B575" i="6"/>
  <c r="K574" i="6"/>
  <c r="J574" i="6"/>
  <c r="B574" i="6"/>
  <c r="K573" i="6"/>
  <c r="J573" i="6"/>
  <c r="B573" i="6"/>
  <c r="K572" i="6"/>
  <c r="J572" i="6"/>
  <c r="B572" i="6"/>
  <c r="K571" i="6"/>
  <c r="J571" i="6"/>
  <c r="B571" i="6"/>
  <c r="K570" i="6"/>
  <c r="J570" i="6"/>
  <c r="B570" i="6"/>
  <c r="K569" i="6"/>
  <c r="J569" i="6"/>
  <c r="B569" i="6"/>
  <c r="K567" i="6"/>
  <c r="J567" i="6"/>
  <c r="B567" i="6"/>
  <c r="K566" i="6"/>
  <c r="J566" i="6"/>
  <c r="B566" i="6"/>
  <c r="K565" i="6"/>
  <c r="J565" i="6"/>
  <c r="B565" i="6"/>
  <c r="K564" i="6"/>
  <c r="J564" i="6"/>
  <c r="B564" i="6"/>
  <c r="K563" i="6"/>
  <c r="J563" i="6"/>
  <c r="B563" i="6"/>
  <c r="K562" i="6"/>
  <c r="J562" i="6"/>
  <c r="B562" i="6"/>
  <c r="K561" i="6"/>
  <c r="J561" i="6"/>
  <c r="B561" i="6"/>
  <c r="K560" i="6"/>
  <c r="J560" i="6"/>
  <c r="B560" i="6"/>
  <c r="K559" i="6"/>
  <c r="J559" i="6"/>
  <c r="B559" i="6"/>
  <c r="K558" i="6"/>
  <c r="J558" i="6"/>
  <c r="B558" i="6"/>
  <c r="K557" i="6"/>
  <c r="J557" i="6"/>
  <c r="B557" i="6"/>
  <c r="K555" i="6"/>
  <c r="J555" i="6"/>
  <c r="B555" i="6"/>
  <c r="K554" i="6"/>
  <c r="J554" i="6"/>
  <c r="B554" i="6"/>
  <c r="K553" i="6"/>
  <c r="J553" i="6"/>
  <c r="B553" i="6"/>
  <c r="K552" i="6"/>
  <c r="J552" i="6"/>
  <c r="B552" i="6"/>
  <c r="K551" i="6"/>
  <c r="J551" i="6"/>
  <c r="B551" i="6"/>
  <c r="K550" i="6"/>
  <c r="J550" i="6"/>
  <c r="B550" i="6"/>
  <c r="K549" i="6"/>
  <c r="J549" i="6"/>
  <c r="B549" i="6"/>
  <c r="K548" i="6"/>
  <c r="J548" i="6"/>
  <c r="B548" i="6"/>
  <c r="K547" i="6"/>
  <c r="J547" i="6"/>
  <c r="B547" i="6"/>
  <c r="K546" i="6"/>
  <c r="J546" i="6"/>
  <c r="B546" i="6"/>
  <c r="K545" i="6"/>
  <c r="J545" i="6"/>
  <c r="B545" i="6"/>
  <c r="K544" i="6"/>
  <c r="J544" i="6"/>
  <c r="B544" i="6"/>
  <c r="K543" i="6"/>
  <c r="J543" i="6"/>
  <c r="B543" i="6"/>
  <c r="K542" i="6"/>
  <c r="J542" i="6"/>
  <c r="B542" i="6"/>
  <c r="K541" i="6"/>
  <c r="J541" i="6"/>
  <c r="B541" i="6"/>
  <c r="K540" i="6"/>
  <c r="J540" i="6"/>
  <c r="B540" i="6"/>
  <c r="K539" i="6"/>
  <c r="J539" i="6"/>
  <c r="B539" i="6"/>
  <c r="K538" i="6"/>
  <c r="J538" i="6"/>
  <c r="B538" i="6"/>
  <c r="K537" i="6"/>
  <c r="J537" i="6"/>
  <c r="B537" i="6"/>
  <c r="K536" i="6"/>
  <c r="J536" i="6"/>
  <c r="B536" i="6"/>
  <c r="K535" i="6"/>
  <c r="J535" i="6"/>
  <c r="B535" i="6"/>
  <c r="K534" i="6"/>
  <c r="J534" i="6"/>
  <c r="B534" i="6"/>
  <c r="K533" i="6"/>
  <c r="J533" i="6"/>
  <c r="B533" i="6"/>
  <c r="K532" i="6"/>
  <c r="J532" i="6"/>
  <c r="B532" i="6"/>
  <c r="K530" i="6"/>
  <c r="J530" i="6"/>
  <c r="B530" i="6"/>
  <c r="K529" i="6"/>
  <c r="J529" i="6"/>
  <c r="B529" i="6"/>
  <c r="K528" i="6"/>
  <c r="J528" i="6"/>
  <c r="B528" i="6"/>
  <c r="K527" i="6"/>
  <c r="J527" i="6"/>
  <c r="B527" i="6"/>
  <c r="K526" i="6"/>
  <c r="J526" i="6"/>
  <c r="B526" i="6"/>
  <c r="K525" i="6"/>
  <c r="J525" i="6"/>
  <c r="B525" i="6"/>
  <c r="K524" i="6"/>
  <c r="J524" i="6"/>
  <c r="B524" i="6"/>
  <c r="K523" i="6"/>
  <c r="J523" i="6"/>
  <c r="B523" i="6"/>
  <c r="K522" i="6"/>
  <c r="J522" i="6"/>
  <c r="B522" i="6"/>
  <c r="K521" i="6"/>
  <c r="J521" i="6"/>
  <c r="B521" i="6"/>
  <c r="K520" i="6"/>
  <c r="J520" i="6"/>
  <c r="B520" i="6"/>
  <c r="K519" i="6"/>
  <c r="J519" i="6"/>
  <c r="B519" i="6"/>
  <c r="K518" i="6"/>
  <c r="J518" i="6"/>
  <c r="B518" i="6"/>
  <c r="K517" i="6"/>
  <c r="J517" i="6"/>
  <c r="B517" i="6"/>
  <c r="K516" i="6"/>
  <c r="J516" i="6"/>
  <c r="B516" i="6"/>
  <c r="K515" i="6"/>
  <c r="J515" i="6"/>
  <c r="B515" i="6"/>
  <c r="K514" i="6"/>
  <c r="J514" i="6"/>
  <c r="B514" i="6"/>
  <c r="K513" i="6"/>
  <c r="J513" i="6"/>
  <c r="B513" i="6"/>
  <c r="K512" i="6"/>
  <c r="J512" i="6"/>
  <c r="B512" i="6"/>
  <c r="K511" i="6"/>
  <c r="J511" i="6"/>
  <c r="B511" i="6"/>
  <c r="K510" i="6"/>
  <c r="J510" i="6"/>
  <c r="B510" i="6"/>
  <c r="K509" i="6"/>
  <c r="J509" i="6"/>
  <c r="B509" i="6"/>
  <c r="K508" i="6"/>
  <c r="J508" i="6"/>
  <c r="B508" i="6"/>
  <c r="K507" i="6"/>
  <c r="J507" i="6"/>
  <c r="B507" i="6"/>
  <c r="K506" i="6"/>
  <c r="J506" i="6"/>
  <c r="B506" i="6"/>
  <c r="K505" i="6"/>
  <c r="J505" i="6"/>
  <c r="B505" i="6"/>
  <c r="K504" i="6"/>
  <c r="J504" i="6"/>
  <c r="B504" i="6"/>
  <c r="K503" i="6"/>
  <c r="J503" i="6"/>
  <c r="B503" i="6"/>
  <c r="K502" i="6"/>
  <c r="J502" i="6"/>
  <c r="B502" i="6"/>
  <c r="K501" i="6"/>
  <c r="J501" i="6"/>
  <c r="B501" i="6"/>
  <c r="K500" i="6"/>
  <c r="J500" i="6"/>
  <c r="B500" i="6"/>
  <c r="K499" i="6"/>
  <c r="J499" i="6"/>
  <c r="B499" i="6"/>
  <c r="K498" i="6"/>
  <c r="J498" i="6"/>
  <c r="B498" i="6"/>
  <c r="K497" i="6"/>
  <c r="J497" i="6"/>
  <c r="B497" i="6"/>
  <c r="K496" i="6"/>
  <c r="J496" i="6"/>
  <c r="B496" i="6"/>
  <c r="K495" i="6"/>
  <c r="J495" i="6"/>
  <c r="B495" i="6"/>
  <c r="K494" i="6"/>
  <c r="J494" i="6"/>
  <c r="B494" i="6"/>
  <c r="K493" i="6"/>
  <c r="J493" i="6"/>
  <c r="B493" i="6"/>
  <c r="K492" i="6"/>
  <c r="J492" i="6"/>
  <c r="B492" i="6"/>
  <c r="K491" i="6"/>
  <c r="J491" i="6"/>
  <c r="B491" i="6"/>
  <c r="K490" i="6"/>
  <c r="J490" i="6"/>
  <c r="B490" i="6"/>
  <c r="K489" i="6"/>
  <c r="J489" i="6"/>
  <c r="B489" i="6"/>
  <c r="K488" i="6"/>
  <c r="J488" i="6"/>
  <c r="B488" i="6"/>
  <c r="K486" i="6"/>
  <c r="J486" i="6"/>
  <c r="B486" i="6"/>
  <c r="K485" i="6"/>
  <c r="J485" i="6"/>
  <c r="B485" i="6"/>
  <c r="K484" i="6"/>
  <c r="J484" i="6"/>
  <c r="B484" i="6"/>
  <c r="K483" i="6"/>
  <c r="J483" i="6"/>
  <c r="B483" i="6"/>
  <c r="K482" i="6"/>
  <c r="J482" i="6"/>
  <c r="B482" i="6"/>
  <c r="K481" i="6"/>
  <c r="J481" i="6"/>
  <c r="B481" i="6"/>
  <c r="K480" i="6"/>
  <c r="J480" i="6"/>
  <c r="B480" i="6"/>
  <c r="K479" i="6"/>
  <c r="J479" i="6"/>
  <c r="B479" i="6"/>
  <c r="K478" i="6"/>
  <c r="J478" i="6"/>
  <c r="B478" i="6"/>
  <c r="K477" i="6"/>
  <c r="J477" i="6"/>
  <c r="B477" i="6"/>
  <c r="K476" i="6"/>
  <c r="J476" i="6"/>
  <c r="B476" i="6"/>
  <c r="K475" i="6"/>
  <c r="J475" i="6"/>
  <c r="B475" i="6"/>
  <c r="K474" i="6"/>
  <c r="J474" i="6"/>
  <c r="B474" i="6"/>
  <c r="K473" i="6"/>
  <c r="J473" i="6"/>
  <c r="B473" i="6"/>
  <c r="K472" i="6"/>
  <c r="J472" i="6"/>
  <c r="B472" i="6"/>
  <c r="K471" i="6"/>
  <c r="J471" i="6"/>
  <c r="B471" i="6"/>
  <c r="K470" i="6"/>
  <c r="J470" i="6"/>
  <c r="B470" i="6"/>
  <c r="K469" i="6"/>
  <c r="J469" i="6"/>
  <c r="B469" i="6"/>
  <c r="K468" i="6"/>
  <c r="J468" i="6"/>
  <c r="B468" i="6"/>
  <c r="K467" i="6"/>
  <c r="J467" i="6"/>
  <c r="B467" i="6"/>
  <c r="K466" i="6"/>
  <c r="J466" i="6"/>
  <c r="B466" i="6"/>
  <c r="K465" i="6"/>
  <c r="J465" i="6"/>
  <c r="B465" i="6"/>
  <c r="K464" i="6"/>
  <c r="J464" i="6"/>
  <c r="B464" i="6"/>
  <c r="K463" i="6"/>
  <c r="J463" i="6"/>
  <c r="B463" i="6"/>
  <c r="K462" i="6"/>
  <c r="J462" i="6"/>
  <c r="B462" i="6"/>
  <c r="K461" i="6"/>
  <c r="J461" i="6"/>
  <c r="B461" i="6"/>
  <c r="K460" i="6"/>
  <c r="J460" i="6"/>
  <c r="B460" i="6"/>
  <c r="K459" i="6"/>
  <c r="J459" i="6"/>
  <c r="B459" i="6"/>
  <c r="K458" i="6"/>
  <c r="J458" i="6"/>
  <c r="B458" i="6"/>
  <c r="K457" i="6"/>
  <c r="J457" i="6"/>
  <c r="B457" i="6"/>
  <c r="K456" i="6"/>
  <c r="J456" i="6"/>
  <c r="B456" i="6"/>
  <c r="K455" i="6"/>
  <c r="J455" i="6"/>
  <c r="B455" i="6"/>
  <c r="K454" i="6"/>
  <c r="J454" i="6"/>
  <c r="B454" i="6"/>
  <c r="K453" i="6"/>
  <c r="J453" i="6"/>
  <c r="B453" i="6"/>
  <c r="K452" i="6"/>
  <c r="J452" i="6"/>
  <c r="B452" i="6"/>
  <c r="K451" i="6"/>
  <c r="J451" i="6"/>
  <c r="B451" i="6"/>
  <c r="K450" i="6"/>
  <c r="J450" i="6"/>
  <c r="B450" i="6"/>
  <c r="K449" i="6"/>
  <c r="J449" i="6"/>
  <c r="B449" i="6"/>
  <c r="K448" i="6"/>
  <c r="J448" i="6"/>
  <c r="B448" i="6"/>
  <c r="K447" i="6"/>
  <c r="J447" i="6"/>
  <c r="B447" i="6"/>
  <c r="K446" i="6"/>
  <c r="J446" i="6"/>
  <c r="B446" i="6"/>
  <c r="K445" i="6"/>
  <c r="J445" i="6"/>
  <c r="B445" i="6"/>
  <c r="K444" i="6"/>
  <c r="J444" i="6"/>
  <c r="B444" i="6"/>
  <c r="K443" i="6"/>
  <c r="J443" i="6"/>
  <c r="B443" i="6"/>
  <c r="K442" i="6"/>
  <c r="J442" i="6"/>
  <c r="B442" i="6"/>
  <c r="K441" i="6"/>
  <c r="J441" i="6"/>
  <c r="B441" i="6"/>
  <c r="K440" i="6"/>
  <c r="J440" i="6"/>
  <c r="B440" i="6"/>
  <c r="K439" i="6"/>
  <c r="J439" i="6"/>
  <c r="B439" i="6"/>
  <c r="K438" i="6"/>
  <c r="J438" i="6"/>
  <c r="B438" i="6"/>
  <c r="K437" i="6"/>
  <c r="J437" i="6"/>
  <c r="B437" i="6"/>
  <c r="K436" i="6"/>
  <c r="J436" i="6"/>
  <c r="B436" i="6"/>
  <c r="K435" i="6"/>
  <c r="J435" i="6"/>
  <c r="B435" i="6"/>
  <c r="K434" i="6"/>
  <c r="J434" i="6"/>
  <c r="B434" i="6"/>
  <c r="K433" i="6"/>
  <c r="J433" i="6"/>
  <c r="B433" i="6"/>
  <c r="K432" i="6"/>
  <c r="J432" i="6"/>
  <c r="B432" i="6"/>
  <c r="K431" i="6"/>
  <c r="J431" i="6"/>
  <c r="B431" i="6"/>
  <c r="K430" i="6"/>
  <c r="J430" i="6"/>
  <c r="B430" i="6"/>
  <c r="K429" i="6"/>
  <c r="J429" i="6"/>
  <c r="B429" i="6"/>
  <c r="K428" i="6"/>
  <c r="J428" i="6"/>
  <c r="B428" i="6"/>
  <c r="K427" i="6"/>
  <c r="J427" i="6"/>
  <c r="B427" i="6"/>
  <c r="K426" i="6"/>
  <c r="J426" i="6"/>
  <c r="B426" i="6"/>
  <c r="K425" i="6"/>
  <c r="J425" i="6"/>
  <c r="B425" i="6"/>
  <c r="K424" i="6"/>
  <c r="J424" i="6"/>
  <c r="B424" i="6"/>
  <c r="K423" i="6"/>
  <c r="J423" i="6"/>
  <c r="B423" i="6"/>
  <c r="K422" i="6"/>
  <c r="J422" i="6"/>
  <c r="B422" i="6"/>
  <c r="K421" i="6"/>
  <c r="J421" i="6"/>
  <c r="B421" i="6"/>
  <c r="K420" i="6"/>
  <c r="J420" i="6"/>
  <c r="B420" i="6"/>
  <c r="K419" i="6"/>
  <c r="J419" i="6"/>
  <c r="B419" i="6"/>
  <c r="K418" i="6"/>
  <c r="J418" i="6"/>
  <c r="B418" i="6"/>
  <c r="K417" i="6"/>
  <c r="J417" i="6"/>
  <c r="B417" i="6"/>
  <c r="K416" i="6"/>
  <c r="J416" i="6"/>
  <c r="B416" i="6"/>
  <c r="K415" i="6"/>
  <c r="J415" i="6"/>
  <c r="B415" i="6"/>
  <c r="K414" i="6"/>
  <c r="J414" i="6"/>
  <c r="B414" i="6"/>
  <c r="K413" i="6"/>
  <c r="J413" i="6"/>
  <c r="B413" i="6"/>
  <c r="K412" i="6"/>
  <c r="J412" i="6"/>
  <c r="B412" i="6"/>
  <c r="K411" i="6"/>
  <c r="J411" i="6"/>
  <c r="B411" i="6"/>
  <c r="K410" i="6"/>
  <c r="J410" i="6"/>
  <c r="B410" i="6"/>
  <c r="K409" i="6"/>
  <c r="J409" i="6"/>
  <c r="B409" i="6"/>
  <c r="K408" i="6"/>
  <c r="J408" i="6"/>
  <c r="B408" i="6"/>
  <c r="K407" i="6"/>
  <c r="J407" i="6"/>
  <c r="B407" i="6"/>
  <c r="K406" i="6"/>
  <c r="J406" i="6"/>
  <c r="B406" i="6"/>
  <c r="K405" i="6"/>
  <c r="J405" i="6"/>
  <c r="B405" i="6"/>
  <c r="K404" i="6"/>
  <c r="J404" i="6"/>
  <c r="B404" i="6"/>
  <c r="K403" i="6"/>
  <c r="J403" i="6"/>
  <c r="B403" i="6"/>
  <c r="K402" i="6"/>
  <c r="J402" i="6"/>
  <c r="B402" i="6"/>
  <c r="K401" i="6"/>
  <c r="J401" i="6"/>
  <c r="B401" i="6"/>
  <c r="K400" i="6"/>
  <c r="J400" i="6"/>
  <c r="B400" i="6"/>
  <c r="K399" i="6"/>
  <c r="J399" i="6"/>
  <c r="B399" i="6"/>
  <c r="K398" i="6"/>
  <c r="J398" i="6"/>
  <c r="B398" i="6"/>
  <c r="K397" i="6"/>
  <c r="J397" i="6"/>
  <c r="B397" i="6"/>
  <c r="K396" i="6"/>
  <c r="J396" i="6"/>
  <c r="B396" i="6"/>
  <c r="K395" i="6"/>
  <c r="J395" i="6"/>
  <c r="B395" i="6"/>
  <c r="K394" i="6"/>
  <c r="J394" i="6"/>
  <c r="B394" i="6"/>
  <c r="K393" i="6"/>
  <c r="J393" i="6"/>
  <c r="B393" i="6"/>
  <c r="K392" i="6"/>
  <c r="J392" i="6"/>
  <c r="B392" i="6"/>
  <c r="K391" i="6"/>
  <c r="J391" i="6"/>
  <c r="B391" i="6"/>
  <c r="K390" i="6"/>
  <c r="J390" i="6"/>
  <c r="B390" i="6"/>
  <c r="K389" i="6"/>
  <c r="J389" i="6"/>
  <c r="B389" i="6"/>
  <c r="K388" i="6"/>
  <c r="J388" i="6"/>
  <c r="B388" i="6"/>
  <c r="K387" i="6"/>
  <c r="J387" i="6"/>
  <c r="B387" i="6"/>
  <c r="K386" i="6"/>
  <c r="J386" i="6"/>
  <c r="B386" i="6"/>
  <c r="K385" i="6"/>
  <c r="J385" i="6"/>
  <c r="B385" i="6"/>
  <c r="K384" i="6"/>
  <c r="J384" i="6"/>
  <c r="B384" i="6"/>
  <c r="K383" i="6"/>
  <c r="J383" i="6"/>
  <c r="B383" i="6"/>
  <c r="K382" i="6"/>
  <c r="J382" i="6"/>
  <c r="B382" i="6"/>
  <c r="K381" i="6"/>
  <c r="J381" i="6"/>
  <c r="B381" i="6"/>
  <c r="K380" i="6"/>
  <c r="J380" i="6"/>
  <c r="B380" i="6"/>
  <c r="K379" i="6"/>
  <c r="J379" i="6"/>
  <c r="B379" i="6"/>
  <c r="K377" i="6"/>
  <c r="J377" i="6"/>
  <c r="B377" i="6"/>
  <c r="K376" i="6"/>
  <c r="J376" i="6"/>
  <c r="B376" i="6"/>
  <c r="K375" i="6"/>
  <c r="J375" i="6"/>
  <c r="B375" i="6"/>
  <c r="K374" i="6"/>
  <c r="J374" i="6"/>
  <c r="B374" i="6"/>
  <c r="K373" i="6"/>
  <c r="J373" i="6"/>
  <c r="B373" i="6"/>
  <c r="K372" i="6"/>
  <c r="J372" i="6"/>
  <c r="B372" i="6"/>
  <c r="K371" i="6"/>
  <c r="J371" i="6"/>
  <c r="B371" i="6"/>
  <c r="K370" i="6"/>
  <c r="J370" i="6"/>
  <c r="B370" i="6"/>
  <c r="K369" i="6"/>
  <c r="J369" i="6"/>
  <c r="B369" i="6"/>
  <c r="K368" i="6"/>
  <c r="J368" i="6"/>
  <c r="B368" i="6"/>
  <c r="K367" i="6"/>
  <c r="J367" i="6"/>
  <c r="B367" i="6"/>
  <c r="K366" i="6"/>
  <c r="J366" i="6"/>
  <c r="B366" i="6"/>
  <c r="K365" i="6"/>
  <c r="J365" i="6"/>
  <c r="B365" i="6"/>
  <c r="K364" i="6"/>
  <c r="J364" i="6"/>
  <c r="B364" i="6"/>
  <c r="K363" i="6"/>
  <c r="J363" i="6"/>
  <c r="B363" i="6"/>
  <c r="K362" i="6"/>
  <c r="J362" i="6"/>
  <c r="B362" i="6"/>
  <c r="K361" i="6"/>
  <c r="J361" i="6"/>
  <c r="B361" i="6"/>
  <c r="K360" i="6"/>
  <c r="J360" i="6"/>
  <c r="B360" i="6"/>
  <c r="K359" i="6"/>
  <c r="J359" i="6"/>
  <c r="B359" i="6"/>
  <c r="K358" i="6"/>
  <c r="J358" i="6"/>
  <c r="B358" i="6"/>
  <c r="K357" i="6"/>
  <c r="J357" i="6"/>
  <c r="B357" i="6"/>
  <c r="K356" i="6"/>
  <c r="J356" i="6"/>
  <c r="B356" i="6"/>
  <c r="K355" i="6"/>
  <c r="J355" i="6"/>
  <c r="B355" i="6"/>
  <c r="K354" i="6"/>
  <c r="J354" i="6"/>
  <c r="B354" i="6"/>
  <c r="K353" i="6"/>
  <c r="J353" i="6"/>
  <c r="B353" i="6"/>
  <c r="K352" i="6"/>
  <c r="J352" i="6"/>
  <c r="B352" i="6"/>
  <c r="K351" i="6"/>
  <c r="J351" i="6"/>
  <c r="B351" i="6"/>
  <c r="K350" i="6"/>
  <c r="J350" i="6"/>
  <c r="B350" i="6"/>
  <c r="K349" i="6"/>
  <c r="J349" i="6"/>
  <c r="B349" i="6"/>
  <c r="K348" i="6"/>
  <c r="J348" i="6"/>
  <c r="B348" i="6"/>
  <c r="K347" i="6"/>
  <c r="J347" i="6"/>
  <c r="B347" i="6"/>
  <c r="K346" i="6"/>
  <c r="J346" i="6"/>
  <c r="B346" i="6"/>
  <c r="K345" i="6"/>
  <c r="J345" i="6"/>
  <c r="B345" i="6"/>
  <c r="K344" i="6"/>
  <c r="J344" i="6"/>
  <c r="B344" i="6"/>
  <c r="K343" i="6"/>
  <c r="J343" i="6"/>
  <c r="B343" i="6"/>
  <c r="K342" i="6"/>
  <c r="J342" i="6"/>
  <c r="B342" i="6"/>
  <c r="K341" i="6"/>
  <c r="J341" i="6"/>
  <c r="B341" i="6"/>
  <c r="K340" i="6"/>
  <c r="J340" i="6"/>
  <c r="B340" i="6"/>
  <c r="K339" i="6"/>
  <c r="J339" i="6"/>
  <c r="B339" i="6"/>
  <c r="K338" i="6"/>
  <c r="J338" i="6"/>
  <c r="B338" i="6"/>
  <c r="K337" i="6"/>
  <c r="J337" i="6"/>
  <c r="B337" i="6"/>
  <c r="K336" i="6"/>
  <c r="J336" i="6"/>
  <c r="B336" i="6"/>
  <c r="K335" i="6"/>
  <c r="J335" i="6"/>
  <c r="B335" i="6"/>
  <c r="K334" i="6"/>
  <c r="J334" i="6"/>
  <c r="B334" i="6"/>
  <c r="K333" i="6"/>
  <c r="J333" i="6"/>
  <c r="B333" i="6"/>
  <c r="K332" i="6"/>
  <c r="J332" i="6"/>
  <c r="B332" i="6"/>
  <c r="K331" i="6"/>
  <c r="J331" i="6"/>
  <c r="B331" i="6"/>
  <c r="K330" i="6"/>
  <c r="J330" i="6"/>
  <c r="B330" i="6"/>
  <c r="K329" i="6"/>
  <c r="J329" i="6"/>
  <c r="B329" i="6"/>
  <c r="K328" i="6"/>
  <c r="J328" i="6"/>
  <c r="B328" i="6"/>
  <c r="K327" i="6"/>
  <c r="J327" i="6"/>
  <c r="B327" i="6"/>
  <c r="K326" i="6"/>
  <c r="J326" i="6"/>
  <c r="B326" i="6"/>
  <c r="K325" i="6"/>
  <c r="J325" i="6"/>
  <c r="B325" i="6"/>
  <c r="K324" i="6"/>
  <c r="J324" i="6"/>
  <c r="B324" i="6"/>
  <c r="K323" i="6"/>
  <c r="J323" i="6"/>
  <c r="B323" i="6"/>
  <c r="K322" i="6"/>
  <c r="J322" i="6"/>
  <c r="B322" i="6"/>
  <c r="K321" i="6"/>
  <c r="J321" i="6"/>
  <c r="B321" i="6"/>
  <c r="K320" i="6"/>
  <c r="J320" i="6"/>
  <c r="B320" i="6"/>
  <c r="K319" i="6"/>
  <c r="J319" i="6"/>
  <c r="B319" i="6"/>
  <c r="K318" i="6"/>
  <c r="J318" i="6"/>
  <c r="B318" i="6"/>
  <c r="K317" i="6"/>
  <c r="J317" i="6"/>
  <c r="B317" i="6"/>
  <c r="K316" i="6"/>
  <c r="J316" i="6"/>
  <c r="B316" i="6"/>
  <c r="K315" i="6"/>
  <c r="J315" i="6"/>
  <c r="B315" i="6"/>
  <c r="K314" i="6"/>
  <c r="J314" i="6"/>
  <c r="B314" i="6"/>
  <c r="K313" i="6"/>
  <c r="J313" i="6"/>
  <c r="B313" i="6"/>
  <c r="K312" i="6"/>
  <c r="J312" i="6"/>
  <c r="B312" i="6"/>
  <c r="K311" i="6"/>
  <c r="J311" i="6"/>
  <c r="B311" i="6"/>
  <c r="K310" i="6"/>
  <c r="J310" i="6"/>
  <c r="B310" i="6"/>
  <c r="K309" i="6"/>
  <c r="J309" i="6"/>
  <c r="B309" i="6"/>
  <c r="K308" i="6"/>
  <c r="J308" i="6"/>
  <c r="B308" i="6"/>
  <c r="K307" i="6"/>
  <c r="J307" i="6"/>
  <c r="B307" i="6"/>
  <c r="K306" i="6"/>
  <c r="J306" i="6"/>
  <c r="B306" i="6"/>
  <c r="K305" i="6"/>
  <c r="J305" i="6"/>
  <c r="B305" i="6"/>
  <c r="K304" i="6"/>
  <c r="J304" i="6"/>
  <c r="B304" i="6"/>
  <c r="K303" i="6"/>
  <c r="J303" i="6"/>
  <c r="B303" i="6"/>
  <c r="K302" i="6"/>
  <c r="J302" i="6"/>
  <c r="B302" i="6"/>
  <c r="K301" i="6"/>
  <c r="J301" i="6"/>
  <c r="B301" i="6"/>
  <c r="K300" i="6"/>
  <c r="J300" i="6"/>
  <c r="B300" i="6"/>
  <c r="K299" i="6"/>
  <c r="J299" i="6"/>
  <c r="B299" i="6"/>
  <c r="K298" i="6"/>
  <c r="J298" i="6"/>
  <c r="B298" i="6"/>
  <c r="K297" i="6"/>
  <c r="J297" i="6"/>
  <c r="B297" i="6"/>
  <c r="K296" i="6"/>
  <c r="J296" i="6"/>
  <c r="B296" i="6"/>
  <c r="K295" i="6"/>
  <c r="J295" i="6"/>
  <c r="B295" i="6"/>
  <c r="K294" i="6"/>
  <c r="J294" i="6"/>
  <c r="B294" i="6"/>
  <c r="K293" i="6"/>
  <c r="J293" i="6"/>
  <c r="B293" i="6"/>
  <c r="K292" i="6"/>
  <c r="J292" i="6"/>
  <c r="B292" i="6"/>
  <c r="K291" i="6"/>
  <c r="J291" i="6"/>
  <c r="B291" i="6"/>
  <c r="K290" i="6"/>
  <c r="J290" i="6"/>
  <c r="B290" i="6"/>
  <c r="K289" i="6"/>
  <c r="J289" i="6"/>
  <c r="B289" i="6"/>
  <c r="K288" i="6"/>
  <c r="J288" i="6"/>
  <c r="B288" i="6"/>
  <c r="K287" i="6"/>
  <c r="J287" i="6"/>
  <c r="B287" i="6"/>
  <c r="K286" i="6"/>
  <c r="J286" i="6"/>
  <c r="B286" i="6"/>
  <c r="K285" i="6"/>
  <c r="J285" i="6"/>
  <c r="B285" i="6"/>
  <c r="K284" i="6"/>
  <c r="J284" i="6"/>
  <c r="B284" i="6"/>
  <c r="K283" i="6"/>
  <c r="J283" i="6"/>
  <c r="B283" i="6"/>
  <c r="K282" i="6"/>
  <c r="J282" i="6"/>
  <c r="B282" i="6"/>
  <c r="K281" i="6"/>
  <c r="J281" i="6"/>
  <c r="B281" i="6"/>
  <c r="K280" i="6"/>
  <c r="J280" i="6"/>
  <c r="B280" i="6"/>
  <c r="K279" i="6"/>
  <c r="J279" i="6"/>
  <c r="B279" i="6"/>
  <c r="K278" i="6"/>
  <c r="J278" i="6"/>
  <c r="B278" i="6"/>
  <c r="K277" i="6"/>
  <c r="J277" i="6"/>
  <c r="B277" i="6"/>
  <c r="K276" i="6"/>
  <c r="J276" i="6"/>
  <c r="B276" i="6"/>
  <c r="K275" i="6"/>
  <c r="J275" i="6"/>
  <c r="B275" i="6"/>
  <c r="K274" i="6"/>
  <c r="J274" i="6"/>
  <c r="B274" i="6"/>
  <c r="K273" i="6"/>
  <c r="J273" i="6"/>
  <c r="B273" i="6"/>
  <c r="K272" i="6"/>
  <c r="J272" i="6"/>
  <c r="B272" i="6"/>
  <c r="K271" i="6"/>
  <c r="J271" i="6"/>
  <c r="B271" i="6"/>
  <c r="K270" i="6"/>
  <c r="J270" i="6"/>
  <c r="B270" i="6"/>
  <c r="K269" i="6"/>
  <c r="J269" i="6"/>
  <c r="B269" i="6"/>
  <c r="K268" i="6"/>
  <c r="J268" i="6"/>
  <c r="B268" i="6"/>
  <c r="K267" i="6"/>
  <c r="J267" i="6"/>
  <c r="B267" i="6"/>
  <c r="K266" i="6"/>
  <c r="J266" i="6"/>
  <c r="B266" i="6"/>
  <c r="K265" i="6"/>
  <c r="J265" i="6"/>
  <c r="B265" i="6"/>
  <c r="K264" i="6"/>
  <c r="J264" i="6"/>
  <c r="B264" i="6"/>
  <c r="K263" i="6"/>
  <c r="J263" i="6"/>
  <c r="B263" i="6"/>
  <c r="K262" i="6"/>
  <c r="J262" i="6"/>
  <c r="B262" i="6"/>
  <c r="K261" i="6"/>
  <c r="J261" i="6"/>
  <c r="B261" i="6"/>
  <c r="K260" i="6"/>
  <c r="J260" i="6"/>
  <c r="B260" i="6"/>
  <c r="K259" i="6"/>
  <c r="J259" i="6"/>
  <c r="B259" i="6"/>
  <c r="K258" i="6"/>
  <c r="J258" i="6"/>
  <c r="B258" i="6"/>
  <c r="K257" i="6"/>
  <c r="J257" i="6"/>
  <c r="B257" i="6"/>
  <c r="K256" i="6"/>
  <c r="J256" i="6"/>
  <c r="B256" i="6"/>
  <c r="K255" i="6"/>
  <c r="J255" i="6"/>
  <c r="B255" i="6"/>
  <c r="K254" i="6"/>
  <c r="J254" i="6"/>
  <c r="B254" i="6"/>
  <c r="K253" i="6"/>
  <c r="J253" i="6"/>
  <c r="B253" i="6"/>
  <c r="K252" i="6"/>
  <c r="J252" i="6"/>
  <c r="B252" i="6"/>
  <c r="K251" i="6"/>
  <c r="J251" i="6"/>
  <c r="B251" i="6"/>
  <c r="K250" i="6"/>
  <c r="J250" i="6"/>
  <c r="B250" i="6"/>
  <c r="K249" i="6"/>
  <c r="J249" i="6"/>
  <c r="B249" i="6"/>
  <c r="K248" i="6"/>
  <c r="J248" i="6"/>
  <c r="B248" i="6"/>
  <c r="K247" i="6"/>
  <c r="J247" i="6"/>
  <c r="B247" i="6"/>
  <c r="K246" i="6"/>
  <c r="J246" i="6"/>
  <c r="B246" i="6"/>
  <c r="K245" i="6"/>
  <c r="J245" i="6"/>
  <c r="B245" i="6"/>
  <c r="K244" i="6"/>
  <c r="J244" i="6"/>
  <c r="B244" i="6"/>
  <c r="K242" i="6"/>
  <c r="J242" i="6"/>
  <c r="B242" i="6"/>
  <c r="K241" i="6"/>
  <c r="J241" i="6"/>
  <c r="B241" i="6"/>
  <c r="K240" i="6"/>
  <c r="J240" i="6"/>
  <c r="B240" i="6"/>
  <c r="K239" i="6"/>
  <c r="J239" i="6"/>
  <c r="B239" i="6"/>
  <c r="K238" i="6"/>
  <c r="J238" i="6"/>
  <c r="B238" i="6"/>
  <c r="K237" i="6"/>
  <c r="J237" i="6"/>
  <c r="B237" i="6"/>
  <c r="K236" i="6"/>
  <c r="J236" i="6"/>
  <c r="B236" i="6"/>
  <c r="K235" i="6"/>
  <c r="J235" i="6"/>
  <c r="B235" i="6"/>
  <c r="K234" i="6"/>
  <c r="J234" i="6"/>
  <c r="B234" i="6"/>
  <c r="K233" i="6"/>
  <c r="J233" i="6"/>
  <c r="B233" i="6"/>
  <c r="K232" i="6"/>
  <c r="J232" i="6"/>
  <c r="B232" i="6"/>
  <c r="K231" i="6"/>
  <c r="J231" i="6"/>
  <c r="B231" i="6"/>
  <c r="K230" i="6"/>
  <c r="J230" i="6"/>
  <c r="B230" i="6"/>
  <c r="K229" i="6"/>
  <c r="J229" i="6"/>
  <c r="B229" i="6"/>
  <c r="K228" i="6"/>
  <c r="J228" i="6"/>
  <c r="B228" i="6"/>
  <c r="K227" i="6"/>
  <c r="J227" i="6"/>
  <c r="B227" i="6"/>
  <c r="K226" i="6"/>
  <c r="J226" i="6"/>
  <c r="B226" i="6"/>
  <c r="K225" i="6"/>
  <c r="J225" i="6"/>
  <c r="B225" i="6"/>
  <c r="K224" i="6"/>
  <c r="J224" i="6"/>
  <c r="B224" i="6"/>
  <c r="K223" i="6"/>
  <c r="J223" i="6"/>
  <c r="B223" i="6"/>
  <c r="K222" i="6"/>
  <c r="J222" i="6"/>
  <c r="B222" i="6"/>
  <c r="K221" i="6"/>
  <c r="J221" i="6"/>
  <c r="B221" i="6"/>
  <c r="K220" i="6"/>
  <c r="J220" i="6"/>
  <c r="B220" i="6"/>
  <c r="K219" i="6"/>
  <c r="J219" i="6"/>
  <c r="B219" i="6"/>
  <c r="K218" i="6"/>
  <c r="J218" i="6"/>
  <c r="B218" i="6"/>
  <c r="K217" i="6"/>
  <c r="J217" i="6"/>
  <c r="B217" i="6"/>
  <c r="K216" i="6"/>
  <c r="J216" i="6"/>
  <c r="B216" i="6"/>
  <c r="K215" i="6"/>
  <c r="J215" i="6"/>
  <c r="B215" i="6"/>
  <c r="K214" i="6"/>
  <c r="J214" i="6"/>
  <c r="B214" i="6"/>
  <c r="K213" i="6"/>
  <c r="J213" i="6"/>
  <c r="B213" i="6"/>
  <c r="K212" i="6"/>
  <c r="J212" i="6"/>
  <c r="B212" i="6"/>
  <c r="K211" i="6"/>
  <c r="J211" i="6"/>
  <c r="B211" i="6"/>
  <c r="K210" i="6"/>
  <c r="J210" i="6"/>
  <c r="B210" i="6"/>
  <c r="K209" i="6"/>
  <c r="J209" i="6"/>
  <c r="B209" i="6"/>
  <c r="K208" i="6"/>
  <c r="J208" i="6"/>
  <c r="B208" i="6"/>
  <c r="K207" i="6"/>
  <c r="J207" i="6"/>
  <c r="B207" i="6"/>
  <c r="K206" i="6"/>
  <c r="J206" i="6"/>
  <c r="B206" i="6"/>
  <c r="K205" i="6"/>
  <c r="J205" i="6"/>
  <c r="B205" i="6"/>
  <c r="K204" i="6"/>
  <c r="J204" i="6"/>
  <c r="B204" i="6"/>
  <c r="K203" i="6"/>
  <c r="J203" i="6"/>
  <c r="B203" i="6"/>
  <c r="K202" i="6"/>
  <c r="J202" i="6"/>
  <c r="B202" i="6"/>
  <c r="K201" i="6"/>
  <c r="J201" i="6"/>
  <c r="B201" i="6"/>
  <c r="K200" i="6"/>
  <c r="J200" i="6"/>
  <c r="B200" i="6"/>
  <c r="K199" i="6"/>
  <c r="J199" i="6"/>
  <c r="B199" i="6"/>
  <c r="K198" i="6"/>
  <c r="J198" i="6"/>
  <c r="B198" i="6"/>
  <c r="K197" i="6"/>
  <c r="J197" i="6"/>
  <c r="B197" i="6"/>
  <c r="K196" i="6"/>
  <c r="J196" i="6"/>
  <c r="B196" i="6"/>
  <c r="K195" i="6"/>
  <c r="J195" i="6"/>
  <c r="B195" i="6"/>
  <c r="K194" i="6"/>
  <c r="J194" i="6"/>
  <c r="B194" i="6"/>
  <c r="K193" i="6"/>
  <c r="J193" i="6"/>
  <c r="B193" i="6"/>
  <c r="K192" i="6"/>
  <c r="J192" i="6"/>
  <c r="B192" i="6"/>
  <c r="K191" i="6"/>
  <c r="J191" i="6"/>
  <c r="B191" i="6"/>
  <c r="K190" i="6"/>
  <c r="J190" i="6"/>
  <c r="B190" i="6"/>
  <c r="K189" i="6"/>
  <c r="J189" i="6"/>
  <c r="B189" i="6"/>
  <c r="K188" i="6"/>
  <c r="J188" i="6"/>
  <c r="B188" i="6"/>
  <c r="K187" i="6"/>
  <c r="J187" i="6"/>
  <c r="B187" i="6"/>
  <c r="K186" i="6"/>
  <c r="J186" i="6"/>
  <c r="B186" i="6"/>
  <c r="K185" i="6"/>
  <c r="J185" i="6"/>
  <c r="B185" i="6"/>
  <c r="K184" i="6"/>
  <c r="J184" i="6"/>
  <c r="B184" i="6"/>
  <c r="K183" i="6"/>
  <c r="J183" i="6"/>
  <c r="B183" i="6"/>
  <c r="K182" i="6"/>
  <c r="J182" i="6"/>
  <c r="B182" i="6"/>
  <c r="K181" i="6"/>
  <c r="J181" i="6"/>
  <c r="B181" i="6"/>
  <c r="K180" i="6"/>
  <c r="J180" i="6"/>
  <c r="B180" i="6"/>
  <c r="K179" i="6"/>
  <c r="J179" i="6"/>
  <c r="B179" i="6"/>
  <c r="K178" i="6"/>
  <c r="J178" i="6"/>
  <c r="B178" i="6"/>
  <c r="K177" i="6"/>
  <c r="J177" i="6"/>
  <c r="B177" i="6"/>
  <c r="K176" i="6"/>
  <c r="J176" i="6"/>
  <c r="B176" i="6"/>
  <c r="K175" i="6"/>
  <c r="J175" i="6"/>
  <c r="B175" i="6"/>
  <c r="K174" i="6"/>
  <c r="J174" i="6"/>
  <c r="B174" i="6"/>
  <c r="K173" i="6"/>
  <c r="J173" i="6"/>
  <c r="B173" i="6"/>
  <c r="K172" i="6"/>
  <c r="J172" i="6"/>
  <c r="B172" i="6"/>
  <c r="K171" i="6"/>
  <c r="J171" i="6"/>
  <c r="B171" i="6"/>
  <c r="K170" i="6"/>
  <c r="J170" i="6"/>
  <c r="B170" i="6"/>
  <c r="K169" i="6"/>
  <c r="J169" i="6"/>
  <c r="B169" i="6"/>
  <c r="K168" i="6"/>
  <c r="J168" i="6"/>
  <c r="B168" i="6"/>
  <c r="K167" i="6"/>
  <c r="J167" i="6"/>
  <c r="B167" i="6"/>
  <c r="K166" i="6"/>
  <c r="J166" i="6"/>
  <c r="B166" i="6"/>
  <c r="K165" i="6"/>
  <c r="J165" i="6"/>
  <c r="B165" i="6"/>
  <c r="K164" i="6"/>
  <c r="J164" i="6"/>
  <c r="B164" i="6"/>
  <c r="K163" i="6"/>
  <c r="J163" i="6"/>
  <c r="B163" i="6"/>
  <c r="K162" i="6"/>
  <c r="J162" i="6"/>
  <c r="B162" i="6"/>
  <c r="K161" i="6"/>
  <c r="J161" i="6"/>
  <c r="B161" i="6"/>
  <c r="K160" i="6"/>
  <c r="J160" i="6"/>
  <c r="B160" i="6"/>
  <c r="K159" i="6"/>
  <c r="J159" i="6"/>
  <c r="B159" i="6"/>
  <c r="K158" i="6"/>
  <c r="J158" i="6"/>
  <c r="B158" i="6"/>
  <c r="K157" i="6"/>
  <c r="J157" i="6"/>
  <c r="B157" i="6"/>
  <c r="K156" i="6"/>
  <c r="J156" i="6"/>
  <c r="B156" i="6"/>
  <c r="K155" i="6"/>
  <c r="J155" i="6"/>
  <c r="B155" i="6"/>
  <c r="K154" i="6"/>
  <c r="J154" i="6"/>
  <c r="B154" i="6"/>
  <c r="K153" i="6"/>
  <c r="J153" i="6"/>
  <c r="B153" i="6"/>
  <c r="K152" i="6"/>
  <c r="J152" i="6"/>
  <c r="B152" i="6"/>
  <c r="K151" i="6"/>
  <c r="J151" i="6"/>
  <c r="B151" i="6"/>
  <c r="K150" i="6"/>
  <c r="J150" i="6"/>
  <c r="B150" i="6"/>
  <c r="K149" i="6"/>
  <c r="J149" i="6"/>
  <c r="B149" i="6"/>
  <c r="K148" i="6"/>
  <c r="J148" i="6"/>
  <c r="B148" i="6"/>
  <c r="K147" i="6"/>
  <c r="J147" i="6"/>
  <c r="B147" i="6"/>
  <c r="K146" i="6"/>
  <c r="J146" i="6"/>
  <c r="B146" i="6"/>
  <c r="K145" i="6"/>
  <c r="J145" i="6"/>
  <c r="B145" i="6"/>
  <c r="K144" i="6"/>
  <c r="J144" i="6"/>
  <c r="B144" i="6"/>
  <c r="K143" i="6"/>
  <c r="J143" i="6"/>
  <c r="B143" i="6"/>
  <c r="K142" i="6"/>
  <c r="J142" i="6"/>
  <c r="B142" i="6"/>
  <c r="K141" i="6"/>
  <c r="J141" i="6"/>
  <c r="B141" i="6"/>
  <c r="K140" i="6"/>
  <c r="J140" i="6"/>
  <c r="B140" i="6"/>
  <c r="K139" i="6"/>
  <c r="J139" i="6"/>
  <c r="B139" i="6"/>
  <c r="K138" i="6"/>
  <c r="J138" i="6"/>
  <c r="B138" i="6"/>
  <c r="K137" i="6"/>
  <c r="J137" i="6"/>
  <c r="B137" i="6"/>
  <c r="K136" i="6"/>
  <c r="J136" i="6"/>
  <c r="B136" i="6"/>
  <c r="K135" i="6"/>
  <c r="J135" i="6"/>
  <c r="B135" i="6"/>
  <c r="K134" i="6"/>
  <c r="J134" i="6"/>
  <c r="B134" i="6"/>
  <c r="K133" i="6"/>
  <c r="J133" i="6"/>
  <c r="B133" i="6"/>
  <c r="K132" i="6"/>
  <c r="J132" i="6"/>
  <c r="B132" i="6"/>
  <c r="K131" i="6"/>
  <c r="J131" i="6"/>
  <c r="B131" i="6"/>
  <c r="K130" i="6"/>
  <c r="J130" i="6"/>
  <c r="B130" i="6"/>
  <c r="K129" i="6"/>
  <c r="J129" i="6"/>
  <c r="B129" i="6"/>
  <c r="K128" i="6"/>
  <c r="J128" i="6"/>
  <c r="B128" i="6"/>
  <c r="K127" i="6"/>
  <c r="J127" i="6"/>
  <c r="B127" i="6"/>
  <c r="K126" i="6"/>
  <c r="J126" i="6"/>
  <c r="B126" i="6"/>
  <c r="K125" i="6"/>
  <c r="J125" i="6"/>
  <c r="B125" i="6"/>
  <c r="K124" i="6"/>
  <c r="J124" i="6"/>
  <c r="B124" i="6"/>
  <c r="K123" i="6"/>
  <c r="J123" i="6"/>
  <c r="B123" i="6"/>
  <c r="K122" i="6"/>
  <c r="J122" i="6"/>
  <c r="B122" i="6"/>
  <c r="K121" i="6"/>
  <c r="J121" i="6"/>
  <c r="B121" i="6"/>
  <c r="K120" i="6"/>
  <c r="J120" i="6"/>
  <c r="B120" i="6"/>
  <c r="K119" i="6"/>
  <c r="J119" i="6"/>
  <c r="B119" i="6"/>
  <c r="K118" i="6"/>
  <c r="J118" i="6"/>
  <c r="B118" i="6"/>
  <c r="K117" i="6"/>
  <c r="J117" i="6"/>
  <c r="B117" i="6"/>
  <c r="K116" i="6"/>
  <c r="J116" i="6"/>
  <c r="B116" i="6"/>
  <c r="K115" i="6"/>
  <c r="J115" i="6"/>
  <c r="B115" i="6"/>
  <c r="K114" i="6"/>
  <c r="J114" i="6"/>
  <c r="B114" i="6"/>
  <c r="K113" i="6"/>
  <c r="J113" i="6"/>
  <c r="B113" i="6"/>
  <c r="K112" i="6"/>
  <c r="J112" i="6"/>
  <c r="B112" i="6"/>
  <c r="K111" i="6"/>
  <c r="J111" i="6"/>
  <c r="B111" i="6"/>
  <c r="K110" i="6"/>
  <c r="J110" i="6"/>
  <c r="B110" i="6"/>
  <c r="K109" i="6"/>
  <c r="J109" i="6"/>
  <c r="B109" i="6"/>
  <c r="K108" i="6"/>
  <c r="J108" i="6"/>
  <c r="B108" i="6"/>
  <c r="K107" i="6"/>
  <c r="J107" i="6"/>
  <c r="B107" i="6"/>
  <c r="K106" i="6"/>
  <c r="J106" i="6"/>
  <c r="B106" i="6"/>
  <c r="K105" i="6"/>
  <c r="J105" i="6"/>
  <c r="B105" i="6"/>
  <c r="K104" i="6"/>
  <c r="J104" i="6"/>
  <c r="B104" i="6"/>
  <c r="K103" i="6"/>
  <c r="J103" i="6"/>
  <c r="B103" i="6"/>
  <c r="K102" i="6"/>
  <c r="J102" i="6"/>
  <c r="B102" i="6"/>
  <c r="K101" i="6"/>
  <c r="J101" i="6"/>
  <c r="B101" i="6"/>
  <c r="K100" i="6"/>
  <c r="J100" i="6"/>
  <c r="B100" i="6"/>
  <c r="K99" i="6"/>
  <c r="J99" i="6"/>
  <c r="B99" i="6"/>
  <c r="K98" i="6"/>
  <c r="J98" i="6"/>
  <c r="B98" i="6"/>
  <c r="K97" i="6"/>
  <c r="J97" i="6"/>
  <c r="B97" i="6"/>
  <c r="K96" i="6"/>
  <c r="J96" i="6"/>
  <c r="B96" i="6"/>
  <c r="K95" i="6"/>
  <c r="J95" i="6"/>
  <c r="B95" i="6"/>
  <c r="K94" i="6"/>
  <c r="J94" i="6"/>
  <c r="B94" i="6"/>
  <c r="K93" i="6"/>
  <c r="J93" i="6"/>
  <c r="B93" i="6"/>
  <c r="K92" i="6"/>
  <c r="J92" i="6"/>
  <c r="B92" i="6"/>
  <c r="K91" i="6"/>
  <c r="J91" i="6"/>
  <c r="B91" i="6"/>
  <c r="K90" i="6"/>
  <c r="J90" i="6"/>
  <c r="B90" i="6"/>
  <c r="K89" i="6"/>
  <c r="J89" i="6"/>
  <c r="B89" i="6"/>
  <c r="K88" i="6"/>
  <c r="J88" i="6"/>
  <c r="B88" i="6"/>
  <c r="K87" i="6"/>
  <c r="J87" i="6"/>
  <c r="B87" i="6"/>
  <c r="K86" i="6"/>
  <c r="J86" i="6"/>
  <c r="B86" i="6"/>
  <c r="K85" i="6"/>
  <c r="J85" i="6"/>
  <c r="B85" i="6"/>
  <c r="K84" i="6"/>
  <c r="J84" i="6"/>
  <c r="B84" i="6"/>
  <c r="K83" i="6"/>
  <c r="J83" i="6"/>
  <c r="B83" i="6"/>
  <c r="K82" i="6"/>
  <c r="J82" i="6"/>
  <c r="B82" i="6"/>
  <c r="K81" i="6"/>
  <c r="J81" i="6"/>
  <c r="B81" i="6"/>
  <c r="K80" i="6"/>
  <c r="J80" i="6"/>
  <c r="B80" i="6"/>
  <c r="K79" i="6"/>
  <c r="J79" i="6"/>
  <c r="B79" i="6"/>
  <c r="K78" i="6"/>
  <c r="J78" i="6"/>
  <c r="B78" i="6"/>
  <c r="K77" i="6"/>
  <c r="J77" i="6"/>
  <c r="B77" i="6"/>
  <c r="K76" i="6"/>
  <c r="J76" i="6"/>
  <c r="B76" i="6"/>
  <c r="K75" i="6"/>
  <c r="J75" i="6"/>
  <c r="B75" i="6"/>
  <c r="K74" i="6"/>
  <c r="J74" i="6"/>
  <c r="B74" i="6"/>
  <c r="K73" i="6"/>
  <c r="J73" i="6"/>
  <c r="B73" i="6"/>
  <c r="K72" i="6"/>
  <c r="J72" i="6"/>
  <c r="B72" i="6"/>
  <c r="K71" i="6"/>
  <c r="J71" i="6"/>
  <c r="B71" i="6"/>
  <c r="K70" i="6"/>
  <c r="J70" i="6"/>
  <c r="B70" i="6"/>
  <c r="K69" i="6"/>
  <c r="J69" i="6"/>
  <c r="B69" i="6"/>
  <c r="K68" i="6"/>
  <c r="J68" i="6"/>
  <c r="B68" i="6"/>
  <c r="L67" i="6"/>
  <c r="K67" i="6"/>
  <c r="J67" i="6"/>
  <c r="B67" i="6"/>
  <c r="K66" i="6"/>
  <c r="J66" i="6"/>
  <c r="B66" i="6"/>
  <c r="K65" i="6"/>
  <c r="J65" i="6"/>
  <c r="B65" i="6"/>
  <c r="K64" i="6"/>
  <c r="J64" i="6"/>
  <c r="B64" i="6"/>
  <c r="K63" i="6"/>
  <c r="J63" i="6"/>
  <c r="B63" i="6"/>
  <c r="L62" i="6"/>
  <c r="K62" i="6"/>
  <c r="J62" i="6"/>
  <c r="B62" i="6"/>
  <c r="K61" i="6"/>
  <c r="J61" i="6"/>
  <c r="B61" i="6"/>
  <c r="K60" i="6"/>
  <c r="J60" i="6"/>
  <c r="B60" i="6"/>
  <c r="K59" i="6"/>
  <c r="J59" i="6"/>
  <c r="B59" i="6"/>
  <c r="K58" i="6"/>
  <c r="J58" i="6"/>
  <c r="B58" i="6"/>
  <c r="K57" i="6"/>
  <c r="J57" i="6"/>
  <c r="B57" i="6"/>
  <c r="K56" i="6"/>
  <c r="J56" i="6"/>
  <c r="B56" i="6"/>
  <c r="K55" i="6"/>
  <c r="J55" i="6"/>
  <c r="B55" i="6"/>
  <c r="K54" i="6"/>
  <c r="J54" i="6"/>
  <c r="B54" i="6"/>
  <c r="K53" i="6"/>
  <c r="J53" i="6"/>
  <c r="B53" i="6"/>
  <c r="K52" i="6"/>
  <c r="J52" i="6"/>
  <c r="B52" i="6"/>
  <c r="K51" i="6"/>
  <c r="J51" i="6"/>
  <c r="B51" i="6"/>
  <c r="K50" i="6"/>
  <c r="J50" i="6"/>
  <c r="B50" i="6"/>
  <c r="K49" i="6"/>
  <c r="J49" i="6"/>
  <c r="B49" i="6"/>
  <c r="K48" i="6"/>
  <c r="J48" i="6"/>
  <c r="B48" i="6"/>
  <c r="K47" i="6"/>
  <c r="J47" i="6"/>
  <c r="B47" i="6"/>
  <c r="K46" i="6"/>
  <c r="J46" i="6"/>
  <c r="B46" i="6"/>
  <c r="K45" i="6"/>
  <c r="J45" i="6"/>
  <c r="B45" i="6"/>
  <c r="K44" i="6"/>
  <c r="J44" i="6"/>
  <c r="B44" i="6"/>
  <c r="K43" i="6"/>
  <c r="J43" i="6"/>
  <c r="B43" i="6"/>
  <c r="K42" i="6"/>
  <c r="J42" i="6"/>
  <c r="B42" i="6"/>
  <c r="K41" i="6"/>
  <c r="J41" i="6"/>
  <c r="B41" i="6"/>
  <c r="K40" i="6"/>
  <c r="J40" i="6"/>
  <c r="B40" i="6"/>
  <c r="K39" i="6"/>
  <c r="J39" i="6"/>
  <c r="B39" i="6"/>
  <c r="L38" i="6"/>
  <c r="K38" i="6"/>
  <c r="J38" i="6"/>
  <c r="B38" i="6"/>
  <c r="K37" i="6"/>
  <c r="J37" i="6"/>
  <c r="B37" i="6"/>
  <c r="K36" i="6"/>
  <c r="J36" i="6"/>
  <c r="B36" i="6"/>
  <c r="K35" i="6"/>
  <c r="J35" i="6"/>
  <c r="B35" i="6"/>
  <c r="K34" i="6"/>
  <c r="J34" i="6"/>
  <c r="B34" i="6"/>
  <c r="K33" i="6"/>
  <c r="J33" i="6"/>
  <c r="B33" i="6"/>
  <c r="K32" i="6"/>
  <c r="J32" i="6"/>
  <c r="B32" i="6"/>
  <c r="K31" i="6"/>
  <c r="J31" i="6"/>
  <c r="B31" i="6"/>
  <c r="L30" i="6"/>
  <c r="K30" i="6"/>
  <c r="J30" i="6"/>
  <c r="B30" i="6"/>
  <c r="K29" i="6"/>
  <c r="J29" i="6"/>
  <c r="B29" i="6"/>
  <c r="K28" i="6"/>
  <c r="J28" i="6"/>
  <c r="B28" i="6"/>
  <c r="K27" i="6"/>
  <c r="J27" i="6"/>
  <c r="B27" i="6"/>
  <c r="K26" i="6"/>
  <c r="J26" i="6"/>
  <c r="B26" i="6"/>
  <c r="K25" i="6"/>
  <c r="J25" i="6"/>
  <c r="B25" i="6"/>
  <c r="K24" i="6"/>
  <c r="J24" i="6"/>
  <c r="B24" i="6"/>
  <c r="K23" i="6"/>
  <c r="J23" i="6"/>
  <c r="B23" i="6"/>
  <c r="K22" i="6"/>
  <c r="J22" i="6"/>
  <c r="B22" i="6"/>
  <c r="K21" i="6"/>
  <c r="J21" i="6"/>
  <c r="B21" i="6"/>
  <c r="K20" i="6"/>
  <c r="J20" i="6"/>
  <c r="B20" i="6"/>
  <c r="K18" i="6"/>
  <c r="J18" i="6"/>
  <c r="B18" i="6"/>
  <c r="K17" i="6"/>
  <c r="J17" i="6"/>
  <c r="B17" i="6"/>
  <c r="K16" i="6"/>
  <c r="J16" i="6"/>
  <c r="B16" i="6"/>
  <c r="K15" i="6"/>
  <c r="J15" i="6"/>
  <c r="B15" i="6"/>
  <c r="K14" i="6"/>
  <c r="J14" i="6"/>
  <c r="B14" i="6"/>
  <c r="K13" i="6"/>
  <c r="J13" i="6"/>
  <c r="B13" i="6"/>
  <c r="K12" i="6"/>
  <c r="J12" i="6"/>
  <c r="B12" i="6"/>
  <c r="K11" i="6"/>
  <c r="J11" i="6"/>
  <c r="B11" i="6"/>
  <c r="K10" i="6"/>
  <c r="J10" i="6"/>
  <c r="B10" i="6"/>
  <c r="K9" i="6"/>
  <c r="J9" i="6"/>
  <c r="B9" i="6"/>
  <c r="K8" i="6"/>
  <c r="J8" i="6"/>
  <c r="B8" i="6"/>
  <c r="K7" i="6"/>
  <c r="J7" i="6"/>
  <c r="B7" i="6"/>
  <c r="K6" i="6"/>
  <c r="J6" i="6"/>
  <c r="B6" i="6"/>
  <c r="K5" i="6"/>
  <c r="J5" i="6"/>
  <c r="B5" i="6"/>
  <c r="K4" i="6"/>
  <c r="J4" i="6"/>
  <c r="B4" i="6"/>
  <c r="K3" i="6"/>
  <c r="J3" i="6"/>
  <c r="B3" i="6"/>
  <c r="K666" i="5"/>
  <c r="J666" i="5"/>
  <c r="B666" i="5"/>
  <c r="K665" i="5"/>
  <c r="J665" i="5"/>
  <c r="B665" i="5"/>
  <c r="K664" i="5"/>
  <c r="J664" i="5"/>
  <c r="B664" i="5"/>
  <c r="K663" i="5"/>
  <c r="J663" i="5"/>
  <c r="B663" i="5"/>
  <c r="K662" i="5"/>
  <c r="J662" i="5"/>
  <c r="B662" i="5"/>
  <c r="K661" i="5"/>
  <c r="J661" i="5"/>
  <c r="B661" i="5"/>
  <c r="K660" i="5"/>
  <c r="J660" i="5"/>
  <c r="B660" i="5"/>
  <c r="K659" i="5"/>
  <c r="J659" i="5"/>
  <c r="B659" i="5"/>
  <c r="K658" i="5"/>
  <c r="J658" i="5"/>
  <c r="B658" i="5"/>
  <c r="K657" i="5"/>
  <c r="J657" i="5"/>
  <c r="B657" i="5"/>
  <c r="K656" i="5"/>
  <c r="J656" i="5"/>
  <c r="B656" i="5"/>
  <c r="K655" i="5"/>
  <c r="J655" i="5"/>
  <c r="B655" i="5"/>
  <c r="K654" i="5"/>
  <c r="J654" i="5"/>
  <c r="B654" i="5"/>
  <c r="K653" i="5"/>
  <c r="J653" i="5"/>
  <c r="B653" i="5"/>
  <c r="K652" i="5"/>
  <c r="J652" i="5"/>
  <c r="B652" i="5"/>
  <c r="K651" i="5"/>
  <c r="J651" i="5"/>
  <c r="B651" i="5"/>
  <c r="K650" i="5"/>
  <c r="J650" i="5"/>
  <c r="B650" i="5"/>
  <c r="K649" i="5"/>
  <c r="J649" i="5"/>
  <c r="B649" i="5"/>
  <c r="K648" i="5"/>
  <c r="J648" i="5"/>
  <c r="B648" i="5"/>
  <c r="K647" i="5"/>
  <c r="J647" i="5"/>
  <c r="B647" i="5"/>
  <c r="K646" i="5"/>
  <c r="J646" i="5"/>
  <c r="B646" i="5"/>
  <c r="K645" i="5"/>
  <c r="J645" i="5"/>
  <c r="B645" i="5"/>
  <c r="K644" i="5"/>
  <c r="J644" i="5"/>
  <c r="B644" i="5"/>
  <c r="K643" i="5"/>
  <c r="J643" i="5"/>
  <c r="B643" i="5"/>
  <c r="K642" i="5"/>
  <c r="J642" i="5"/>
  <c r="B642" i="5"/>
  <c r="K641" i="5"/>
  <c r="J641" i="5"/>
  <c r="B641" i="5"/>
  <c r="K640" i="5"/>
  <c r="J640" i="5"/>
  <c r="B640" i="5"/>
  <c r="K639" i="5"/>
  <c r="J639" i="5"/>
  <c r="B639" i="5"/>
  <c r="K638" i="5"/>
  <c r="J638" i="5"/>
  <c r="B638" i="5"/>
  <c r="K637" i="5"/>
  <c r="J637" i="5"/>
  <c r="B637" i="5"/>
  <c r="K636" i="5"/>
  <c r="J636" i="5"/>
  <c r="B636" i="5"/>
  <c r="K635" i="5"/>
  <c r="J635" i="5"/>
  <c r="B635" i="5"/>
  <c r="K634" i="5"/>
  <c r="J634" i="5"/>
  <c r="B634" i="5"/>
  <c r="K633" i="5"/>
  <c r="J633" i="5"/>
  <c r="B633" i="5"/>
  <c r="K632" i="5"/>
  <c r="J632" i="5"/>
  <c r="B632" i="5"/>
  <c r="K631" i="5"/>
  <c r="J631" i="5"/>
  <c r="B631" i="5"/>
  <c r="K630" i="5"/>
  <c r="J630" i="5"/>
  <c r="B630" i="5"/>
  <c r="K629" i="5"/>
  <c r="J629" i="5"/>
  <c r="B629" i="5"/>
  <c r="K628" i="5"/>
  <c r="J628" i="5"/>
  <c r="B628" i="5"/>
  <c r="K627" i="5"/>
  <c r="J627" i="5"/>
  <c r="B627" i="5"/>
  <c r="K626" i="5"/>
  <c r="J626" i="5"/>
  <c r="B626" i="5"/>
  <c r="K625" i="5"/>
  <c r="J625" i="5"/>
  <c r="B625" i="5"/>
  <c r="K624" i="5"/>
  <c r="J624" i="5"/>
  <c r="B624" i="5"/>
  <c r="K623" i="5"/>
  <c r="J623" i="5"/>
  <c r="B623" i="5"/>
  <c r="K622" i="5"/>
  <c r="J622" i="5"/>
  <c r="B622" i="5"/>
  <c r="K621" i="5"/>
  <c r="J621" i="5"/>
  <c r="B621" i="5"/>
  <c r="K620" i="5"/>
  <c r="J620" i="5"/>
  <c r="B620" i="5"/>
  <c r="K619" i="5"/>
  <c r="J619" i="5"/>
  <c r="B619" i="5"/>
  <c r="K618" i="5"/>
  <c r="J618" i="5"/>
  <c r="B618" i="5"/>
  <c r="K617" i="5"/>
  <c r="J617" i="5"/>
  <c r="B617" i="5"/>
  <c r="K616" i="5"/>
  <c r="J616" i="5"/>
  <c r="B616" i="5"/>
  <c r="K615" i="5"/>
  <c r="J615" i="5"/>
  <c r="B615" i="5"/>
  <c r="K614" i="5"/>
  <c r="J614" i="5"/>
  <c r="B614" i="5"/>
  <c r="K613" i="5"/>
  <c r="J613" i="5"/>
  <c r="B613" i="5"/>
  <c r="K612" i="5"/>
  <c r="J612" i="5"/>
  <c r="B612" i="5"/>
  <c r="K611" i="5"/>
  <c r="J611" i="5"/>
  <c r="B611" i="5"/>
  <c r="K610" i="5"/>
  <c r="J610" i="5"/>
  <c r="B610" i="5"/>
  <c r="K609" i="5"/>
  <c r="J609" i="5"/>
  <c r="B609" i="5"/>
  <c r="K608" i="5"/>
  <c r="J608" i="5"/>
  <c r="B608" i="5"/>
  <c r="K607" i="5"/>
  <c r="J607" i="5"/>
  <c r="B607" i="5"/>
  <c r="K606" i="5"/>
  <c r="J606" i="5"/>
  <c r="B606" i="5"/>
  <c r="K605" i="5"/>
  <c r="J605" i="5"/>
  <c r="B605" i="5"/>
  <c r="K604" i="5"/>
  <c r="J604" i="5"/>
  <c r="B604" i="5"/>
  <c r="K603" i="5"/>
  <c r="J603" i="5"/>
  <c r="B603" i="5"/>
  <c r="K602" i="5"/>
  <c r="J602" i="5"/>
  <c r="B602" i="5"/>
  <c r="K601" i="5"/>
  <c r="J601" i="5"/>
  <c r="B601" i="5"/>
  <c r="K600" i="5"/>
  <c r="J600" i="5"/>
  <c r="B600" i="5"/>
  <c r="K599" i="5"/>
  <c r="J599" i="5"/>
  <c r="B599" i="5"/>
  <c r="K598" i="5"/>
  <c r="J598" i="5"/>
  <c r="B598" i="5"/>
  <c r="K597" i="5"/>
  <c r="J597" i="5"/>
  <c r="B597" i="5"/>
  <c r="K596" i="5"/>
  <c r="J596" i="5"/>
  <c r="B596" i="5"/>
  <c r="K595" i="5"/>
  <c r="J595" i="5"/>
  <c r="B595" i="5"/>
  <c r="K594" i="5"/>
  <c r="J594" i="5"/>
  <c r="B594" i="5"/>
  <c r="K593" i="5"/>
  <c r="J593" i="5"/>
  <c r="B593" i="5"/>
  <c r="K592" i="5"/>
  <c r="J592" i="5"/>
  <c r="B592" i="5"/>
  <c r="K591" i="5"/>
  <c r="J591" i="5"/>
  <c r="B591" i="5"/>
  <c r="K590" i="5"/>
  <c r="J590" i="5"/>
  <c r="B590" i="5"/>
  <c r="K589" i="5"/>
  <c r="J589" i="5"/>
  <c r="B589" i="5"/>
  <c r="K588" i="5"/>
  <c r="J588" i="5"/>
  <c r="B588" i="5"/>
  <c r="K587" i="5"/>
  <c r="J587" i="5"/>
  <c r="B587" i="5"/>
  <c r="K586" i="5"/>
  <c r="J586" i="5"/>
  <c r="B586" i="5"/>
  <c r="K585" i="5"/>
  <c r="J585" i="5"/>
  <c r="B585" i="5"/>
  <c r="K584" i="5"/>
  <c r="J584" i="5"/>
  <c r="B584" i="5"/>
  <c r="K583" i="5"/>
  <c r="J583" i="5"/>
  <c r="B583" i="5"/>
  <c r="K582" i="5"/>
  <c r="J582" i="5"/>
  <c r="B582" i="5"/>
  <c r="K581" i="5"/>
  <c r="J581" i="5"/>
  <c r="B581" i="5"/>
  <c r="K580" i="5"/>
  <c r="J580" i="5"/>
  <c r="B580" i="5"/>
  <c r="K579" i="5"/>
  <c r="J579" i="5"/>
  <c r="B579" i="5"/>
  <c r="K578" i="5"/>
  <c r="J578" i="5"/>
  <c r="B578" i="5"/>
  <c r="K577" i="5"/>
  <c r="J577" i="5"/>
  <c r="B577" i="5"/>
  <c r="K576" i="5"/>
  <c r="J576" i="5"/>
  <c r="B576" i="5"/>
  <c r="K575" i="5"/>
  <c r="J575" i="5"/>
  <c r="B575" i="5"/>
  <c r="K574" i="5"/>
  <c r="J574" i="5"/>
  <c r="B574" i="5"/>
  <c r="K573" i="5"/>
  <c r="J573" i="5"/>
  <c r="B573" i="5"/>
  <c r="K572" i="5"/>
  <c r="J572" i="5"/>
  <c r="B572" i="5"/>
  <c r="K571" i="5"/>
  <c r="J571" i="5"/>
  <c r="B571" i="5"/>
  <c r="K570" i="5"/>
  <c r="J570" i="5"/>
  <c r="B570" i="5"/>
  <c r="K569" i="5"/>
  <c r="J569" i="5"/>
  <c r="B569" i="5"/>
  <c r="K568" i="5"/>
  <c r="J568" i="5"/>
  <c r="B568" i="5"/>
  <c r="K567" i="5"/>
  <c r="J567" i="5"/>
  <c r="B567" i="5"/>
  <c r="K566" i="5"/>
  <c r="J566" i="5"/>
  <c r="B566" i="5"/>
  <c r="K565" i="5"/>
  <c r="J565" i="5"/>
  <c r="B565" i="5"/>
  <c r="K564" i="5"/>
  <c r="J564" i="5"/>
  <c r="B564" i="5"/>
  <c r="K563" i="5"/>
  <c r="J563" i="5"/>
  <c r="B563" i="5"/>
  <c r="K562" i="5"/>
  <c r="J562" i="5"/>
  <c r="B562" i="5"/>
  <c r="K561" i="5"/>
  <c r="J561" i="5"/>
  <c r="B561" i="5"/>
  <c r="K560" i="5"/>
  <c r="J560" i="5"/>
  <c r="B560" i="5"/>
  <c r="K559" i="5"/>
  <c r="J559" i="5"/>
  <c r="B559" i="5"/>
  <c r="K558" i="5"/>
  <c r="J558" i="5"/>
  <c r="B558" i="5"/>
  <c r="K557" i="5"/>
  <c r="J557" i="5"/>
  <c r="B557" i="5"/>
  <c r="K556" i="5"/>
  <c r="J556" i="5"/>
  <c r="B556" i="5"/>
  <c r="K555" i="5"/>
  <c r="J555" i="5"/>
  <c r="B555" i="5"/>
  <c r="K554" i="5"/>
  <c r="J554" i="5"/>
  <c r="B554" i="5"/>
  <c r="K553" i="5"/>
  <c r="J553" i="5"/>
  <c r="B553" i="5"/>
  <c r="K552" i="5"/>
  <c r="J552" i="5"/>
  <c r="B552" i="5"/>
  <c r="K551" i="5"/>
  <c r="J551" i="5"/>
  <c r="B551" i="5"/>
  <c r="K550" i="5"/>
  <c r="J550" i="5"/>
  <c r="B550" i="5"/>
  <c r="K549" i="5"/>
  <c r="J549" i="5"/>
  <c r="B549" i="5"/>
  <c r="K548" i="5"/>
  <c r="J548" i="5"/>
  <c r="B548" i="5"/>
  <c r="K547" i="5"/>
  <c r="J547" i="5"/>
  <c r="B547" i="5"/>
  <c r="K546" i="5"/>
  <c r="J546" i="5"/>
  <c r="B546" i="5"/>
  <c r="K545" i="5"/>
  <c r="J545" i="5"/>
  <c r="B545" i="5"/>
  <c r="K544" i="5"/>
  <c r="J544" i="5"/>
  <c r="B544" i="5"/>
  <c r="K543" i="5"/>
  <c r="J543" i="5"/>
  <c r="B543" i="5"/>
  <c r="K542" i="5"/>
  <c r="J542" i="5"/>
  <c r="B542" i="5"/>
  <c r="K541" i="5"/>
  <c r="J541" i="5"/>
  <c r="B541" i="5"/>
  <c r="K540" i="5"/>
  <c r="J540" i="5"/>
  <c r="B540" i="5"/>
  <c r="K539" i="5"/>
  <c r="J539" i="5"/>
  <c r="B539" i="5"/>
  <c r="K538" i="5"/>
  <c r="J538" i="5"/>
  <c r="B538" i="5"/>
  <c r="K537" i="5"/>
  <c r="J537" i="5"/>
  <c r="B537" i="5"/>
  <c r="K536" i="5"/>
  <c r="J536" i="5"/>
  <c r="B536" i="5"/>
  <c r="K535" i="5"/>
  <c r="J535" i="5"/>
  <c r="B535" i="5"/>
  <c r="K534" i="5"/>
  <c r="J534" i="5"/>
  <c r="B534" i="5"/>
  <c r="K533" i="5"/>
  <c r="J533" i="5"/>
  <c r="B533" i="5"/>
  <c r="K532" i="5"/>
  <c r="J532" i="5"/>
  <c r="B532" i="5"/>
  <c r="K531" i="5"/>
  <c r="J531" i="5"/>
  <c r="B531" i="5"/>
  <c r="K530" i="5"/>
  <c r="J530" i="5"/>
  <c r="B530" i="5"/>
  <c r="K529" i="5"/>
  <c r="J529" i="5"/>
  <c r="B529" i="5"/>
  <c r="K528" i="5"/>
  <c r="J528" i="5"/>
  <c r="B528" i="5"/>
  <c r="K527" i="5"/>
  <c r="J527" i="5"/>
  <c r="B527" i="5"/>
  <c r="K526" i="5"/>
  <c r="J526" i="5"/>
  <c r="B526" i="5"/>
  <c r="K525" i="5"/>
  <c r="J525" i="5"/>
  <c r="B525" i="5"/>
  <c r="K524" i="5"/>
  <c r="J524" i="5"/>
  <c r="B524" i="5"/>
  <c r="K523" i="5"/>
  <c r="J523" i="5"/>
  <c r="B523" i="5"/>
  <c r="K522" i="5"/>
  <c r="J522" i="5"/>
  <c r="B522" i="5"/>
  <c r="K521" i="5"/>
  <c r="J521" i="5"/>
  <c r="B521" i="5"/>
  <c r="K520" i="5"/>
  <c r="J520" i="5"/>
  <c r="B520" i="5"/>
  <c r="K519" i="5"/>
  <c r="J519" i="5"/>
  <c r="B519" i="5"/>
  <c r="K518" i="5"/>
  <c r="J518" i="5"/>
  <c r="B518" i="5"/>
  <c r="K517" i="5"/>
  <c r="J517" i="5"/>
  <c r="B517" i="5"/>
  <c r="K516" i="5"/>
  <c r="J516" i="5"/>
  <c r="B516" i="5"/>
  <c r="K515" i="5"/>
  <c r="J515" i="5"/>
  <c r="B515" i="5"/>
  <c r="K514" i="5"/>
  <c r="J514" i="5"/>
  <c r="B514" i="5"/>
  <c r="K513" i="5"/>
  <c r="J513" i="5"/>
  <c r="B513" i="5"/>
  <c r="K512" i="5"/>
  <c r="J512" i="5"/>
  <c r="B512" i="5"/>
  <c r="K511" i="5"/>
  <c r="J511" i="5"/>
  <c r="B511" i="5"/>
  <c r="K510" i="5"/>
  <c r="J510" i="5"/>
  <c r="B510" i="5"/>
  <c r="K509" i="5"/>
  <c r="J509" i="5"/>
  <c r="B509" i="5"/>
  <c r="K508" i="5"/>
  <c r="J508" i="5"/>
  <c r="B508" i="5"/>
  <c r="K507" i="5"/>
  <c r="J507" i="5"/>
  <c r="B507" i="5"/>
  <c r="K506" i="5"/>
  <c r="J506" i="5"/>
  <c r="B506" i="5"/>
  <c r="K505" i="5"/>
  <c r="J505" i="5"/>
  <c r="B505" i="5"/>
  <c r="K504" i="5"/>
  <c r="J504" i="5"/>
  <c r="B504" i="5"/>
  <c r="K503" i="5"/>
  <c r="J503" i="5"/>
  <c r="B503" i="5"/>
  <c r="K502" i="5"/>
  <c r="J502" i="5"/>
  <c r="B502" i="5"/>
  <c r="K501" i="5"/>
  <c r="J501" i="5"/>
  <c r="B501" i="5"/>
  <c r="K500" i="5"/>
  <c r="J500" i="5"/>
  <c r="B500" i="5"/>
  <c r="K499" i="5"/>
  <c r="J499" i="5"/>
  <c r="B499" i="5"/>
  <c r="K498" i="5"/>
  <c r="J498" i="5"/>
  <c r="B498" i="5"/>
  <c r="K497" i="5"/>
  <c r="J497" i="5"/>
  <c r="B497" i="5"/>
  <c r="K496" i="5"/>
  <c r="J496" i="5"/>
  <c r="B496" i="5"/>
  <c r="K495" i="5"/>
  <c r="J495" i="5"/>
  <c r="B495" i="5"/>
  <c r="K494" i="5"/>
  <c r="J494" i="5"/>
  <c r="B494" i="5"/>
  <c r="K493" i="5"/>
  <c r="J493" i="5"/>
  <c r="B493" i="5"/>
  <c r="K492" i="5"/>
  <c r="J492" i="5"/>
  <c r="B492" i="5"/>
  <c r="K491" i="5"/>
  <c r="J491" i="5"/>
  <c r="B491" i="5"/>
  <c r="K490" i="5"/>
  <c r="J490" i="5"/>
  <c r="B490" i="5"/>
  <c r="K489" i="5"/>
  <c r="J489" i="5"/>
  <c r="B489" i="5"/>
  <c r="K488" i="5"/>
  <c r="J488" i="5"/>
  <c r="B488" i="5"/>
  <c r="K487" i="5"/>
  <c r="J487" i="5"/>
  <c r="B487" i="5"/>
  <c r="K486" i="5"/>
  <c r="J486" i="5"/>
  <c r="B486" i="5"/>
  <c r="K485" i="5"/>
  <c r="J485" i="5"/>
  <c r="B485" i="5"/>
  <c r="K484" i="5"/>
  <c r="J484" i="5"/>
  <c r="B484" i="5"/>
  <c r="K483" i="5"/>
  <c r="J483" i="5"/>
  <c r="B483" i="5"/>
  <c r="K482" i="5"/>
  <c r="J482" i="5"/>
  <c r="B482" i="5"/>
  <c r="K481" i="5"/>
  <c r="J481" i="5"/>
  <c r="B481" i="5"/>
  <c r="K480" i="5"/>
  <c r="J480" i="5"/>
  <c r="B480" i="5"/>
  <c r="K479" i="5"/>
  <c r="J479" i="5"/>
  <c r="B479" i="5"/>
  <c r="K478" i="5"/>
  <c r="J478" i="5"/>
  <c r="B478" i="5"/>
  <c r="K477" i="5"/>
  <c r="J477" i="5"/>
  <c r="B477" i="5"/>
  <c r="K476" i="5"/>
  <c r="J476" i="5"/>
  <c r="B476" i="5"/>
  <c r="K475" i="5"/>
  <c r="J475" i="5"/>
  <c r="B475" i="5"/>
  <c r="K474" i="5"/>
  <c r="J474" i="5"/>
  <c r="B474" i="5"/>
  <c r="K473" i="5"/>
  <c r="J473" i="5"/>
  <c r="B473" i="5"/>
  <c r="K472" i="5"/>
  <c r="J472" i="5"/>
  <c r="B472" i="5"/>
  <c r="K471" i="5"/>
  <c r="J471" i="5"/>
  <c r="B471" i="5"/>
  <c r="K470" i="5"/>
  <c r="J470" i="5"/>
  <c r="B470" i="5"/>
  <c r="K469" i="5"/>
  <c r="J469" i="5"/>
  <c r="B469" i="5"/>
  <c r="K468" i="5"/>
  <c r="J468" i="5"/>
  <c r="B468" i="5"/>
  <c r="K467" i="5"/>
  <c r="J467" i="5"/>
  <c r="B467" i="5"/>
  <c r="K466" i="5"/>
  <c r="J466" i="5"/>
  <c r="B466" i="5"/>
  <c r="K465" i="5"/>
  <c r="J465" i="5"/>
  <c r="B465" i="5"/>
  <c r="K464" i="5"/>
  <c r="J464" i="5"/>
  <c r="B464" i="5"/>
  <c r="K463" i="5"/>
  <c r="J463" i="5"/>
  <c r="B463" i="5"/>
  <c r="K462" i="5"/>
  <c r="J462" i="5"/>
  <c r="B462" i="5"/>
  <c r="K461" i="5"/>
  <c r="J461" i="5"/>
  <c r="B461" i="5"/>
  <c r="K460" i="5"/>
  <c r="J460" i="5"/>
  <c r="B460" i="5"/>
  <c r="K459" i="5"/>
  <c r="J459" i="5"/>
  <c r="B459" i="5"/>
  <c r="K458" i="5"/>
  <c r="J458" i="5"/>
  <c r="B458" i="5"/>
  <c r="K457" i="5"/>
  <c r="J457" i="5"/>
  <c r="B457" i="5"/>
  <c r="K456" i="5"/>
  <c r="J456" i="5"/>
  <c r="B456" i="5"/>
  <c r="K455" i="5"/>
  <c r="J455" i="5"/>
  <c r="B455" i="5"/>
  <c r="K454" i="5"/>
  <c r="J454" i="5"/>
  <c r="B454" i="5"/>
  <c r="K453" i="5"/>
  <c r="J453" i="5"/>
  <c r="B453" i="5"/>
  <c r="K452" i="5"/>
  <c r="J452" i="5"/>
  <c r="B452" i="5"/>
  <c r="K451" i="5"/>
  <c r="J451" i="5"/>
  <c r="B451" i="5"/>
  <c r="K450" i="5"/>
  <c r="J450" i="5"/>
  <c r="B450" i="5"/>
  <c r="K449" i="5"/>
  <c r="J449" i="5"/>
  <c r="B449" i="5"/>
  <c r="K448" i="5"/>
  <c r="J448" i="5"/>
  <c r="B448" i="5"/>
  <c r="K447" i="5"/>
  <c r="J447" i="5"/>
  <c r="B447" i="5"/>
  <c r="K446" i="5"/>
  <c r="J446" i="5"/>
  <c r="B446" i="5"/>
  <c r="K445" i="5"/>
  <c r="J445" i="5"/>
  <c r="B445" i="5"/>
  <c r="K444" i="5"/>
  <c r="J444" i="5"/>
  <c r="B444" i="5"/>
  <c r="K443" i="5"/>
  <c r="J443" i="5"/>
  <c r="B443" i="5"/>
  <c r="K442" i="5"/>
  <c r="J442" i="5"/>
  <c r="B442" i="5"/>
  <c r="K441" i="5"/>
  <c r="J441" i="5"/>
  <c r="B441" i="5"/>
  <c r="K440" i="5"/>
  <c r="J440" i="5"/>
  <c r="B440" i="5"/>
  <c r="K439" i="5"/>
  <c r="J439" i="5"/>
  <c r="B439" i="5"/>
  <c r="K438" i="5"/>
  <c r="J438" i="5"/>
  <c r="B438" i="5"/>
  <c r="K437" i="5"/>
  <c r="J437" i="5"/>
  <c r="B437" i="5"/>
  <c r="K436" i="5"/>
  <c r="J436" i="5"/>
  <c r="B436" i="5"/>
  <c r="K435" i="5"/>
  <c r="J435" i="5"/>
  <c r="B435" i="5"/>
  <c r="K434" i="5"/>
  <c r="J434" i="5"/>
  <c r="B434" i="5"/>
  <c r="K433" i="5"/>
  <c r="J433" i="5"/>
  <c r="B433" i="5"/>
  <c r="K432" i="5"/>
  <c r="J432" i="5"/>
  <c r="B432" i="5"/>
  <c r="K431" i="5"/>
  <c r="J431" i="5"/>
  <c r="B431" i="5"/>
  <c r="K430" i="5"/>
  <c r="J430" i="5"/>
  <c r="B430" i="5"/>
  <c r="K429" i="5"/>
  <c r="J429" i="5"/>
  <c r="B429" i="5"/>
  <c r="K428" i="5"/>
  <c r="J428" i="5"/>
  <c r="B428" i="5"/>
  <c r="K427" i="5"/>
  <c r="J427" i="5"/>
  <c r="B427" i="5"/>
  <c r="K426" i="5"/>
  <c r="J426" i="5"/>
  <c r="B426" i="5"/>
  <c r="K425" i="5"/>
  <c r="J425" i="5"/>
  <c r="B425" i="5"/>
  <c r="K424" i="5"/>
  <c r="J424" i="5"/>
  <c r="B424" i="5"/>
  <c r="K423" i="5"/>
  <c r="J423" i="5"/>
  <c r="B423" i="5"/>
  <c r="K422" i="5"/>
  <c r="J422" i="5"/>
  <c r="B422" i="5"/>
  <c r="K421" i="5"/>
  <c r="J421" i="5"/>
  <c r="B421" i="5"/>
  <c r="K420" i="5"/>
  <c r="J420" i="5"/>
  <c r="B420" i="5"/>
  <c r="K419" i="5"/>
  <c r="J419" i="5"/>
  <c r="B419" i="5"/>
  <c r="K418" i="5"/>
  <c r="J418" i="5"/>
  <c r="B418" i="5"/>
  <c r="K417" i="5"/>
  <c r="J417" i="5"/>
  <c r="B417" i="5"/>
  <c r="K416" i="5"/>
  <c r="J416" i="5"/>
  <c r="B416" i="5"/>
  <c r="K415" i="5"/>
  <c r="J415" i="5"/>
  <c r="B415" i="5"/>
  <c r="K414" i="5"/>
  <c r="J414" i="5"/>
  <c r="B414" i="5"/>
  <c r="K413" i="5"/>
  <c r="J413" i="5"/>
  <c r="B413" i="5"/>
  <c r="K412" i="5"/>
  <c r="J412" i="5"/>
  <c r="B412" i="5"/>
  <c r="K411" i="5"/>
  <c r="J411" i="5"/>
  <c r="B411" i="5"/>
  <c r="K410" i="5"/>
  <c r="J410" i="5"/>
  <c r="B410" i="5"/>
  <c r="K409" i="5"/>
  <c r="J409" i="5"/>
  <c r="B409" i="5"/>
  <c r="K408" i="5"/>
  <c r="J408" i="5"/>
  <c r="B408" i="5"/>
  <c r="K407" i="5"/>
  <c r="J407" i="5"/>
  <c r="B407" i="5"/>
  <c r="K406" i="5"/>
  <c r="J406" i="5"/>
  <c r="B406" i="5"/>
  <c r="K405" i="5"/>
  <c r="J405" i="5"/>
  <c r="B405" i="5"/>
  <c r="K404" i="5"/>
  <c r="J404" i="5"/>
  <c r="B404" i="5"/>
  <c r="K403" i="5"/>
  <c r="J403" i="5"/>
  <c r="B403" i="5"/>
  <c r="K402" i="5"/>
  <c r="J402" i="5"/>
  <c r="B402" i="5"/>
  <c r="K401" i="5"/>
  <c r="J401" i="5"/>
  <c r="B401" i="5"/>
  <c r="K400" i="5"/>
  <c r="J400" i="5"/>
  <c r="B400" i="5"/>
  <c r="K399" i="5"/>
  <c r="J399" i="5"/>
  <c r="B399" i="5"/>
  <c r="K398" i="5"/>
  <c r="J398" i="5"/>
  <c r="B398" i="5"/>
  <c r="K397" i="5"/>
  <c r="J397" i="5"/>
  <c r="B397" i="5"/>
  <c r="K396" i="5"/>
  <c r="J396" i="5"/>
  <c r="B396" i="5"/>
  <c r="K395" i="5"/>
  <c r="J395" i="5"/>
  <c r="B395" i="5"/>
  <c r="K394" i="5"/>
  <c r="J394" i="5"/>
  <c r="B394" i="5"/>
  <c r="K393" i="5"/>
  <c r="J393" i="5"/>
  <c r="B393" i="5"/>
  <c r="K392" i="5"/>
  <c r="J392" i="5"/>
  <c r="B392" i="5"/>
  <c r="K391" i="5"/>
  <c r="J391" i="5"/>
  <c r="B391" i="5"/>
  <c r="K390" i="5"/>
  <c r="J390" i="5"/>
  <c r="B390" i="5"/>
  <c r="K389" i="5"/>
  <c r="J389" i="5"/>
  <c r="B389" i="5"/>
  <c r="K388" i="5"/>
  <c r="J388" i="5"/>
  <c r="B388" i="5"/>
  <c r="K387" i="5"/>
  <c r="J387" i="5"/>
  <c r="B387" i="5"/>
  <c r="K386" i="5"/>
  <c r="J386" i="5"/>
  <c r="B386" i="5"/>
  <c r="K385" i="5"/>
  <c r="J385" i="5"/>
  <c r="B385" i="5"/>
  <c r="K384" i="5"/>
  <c r="J384" i="5"/>
  <c r="B384" i="5"/>
  <c r="K383" i="5"/>
  <c r="J383" i="5"/>
  <c r="B383" i="5"/>
  <c r="K382" i="5"/>
  <c r="J382" i="5"/>
  <c r="B382" i="5"/>
  <c r="K381" i="5"/>
  <c r="J381" i="5"/>
  <c r="B381" i="5"/>
  <c r="K380" i="5"/>
  <c r="J380" i="5"/>
  <c r="B380" i="5"/>
  <c r="K379" i="5"/>
  <c r="J379" i="5"/>
  <c r="B379" i="5"/>
  <c r="K378" i="5"/>
  <c r="J378" i="5"/>
  <c r="B378" i="5"/>
  <c r="K377" i="5"/>
  <c r="J377" i="5"/>
  <c r="B377" i="5"/>
  <c r="K376" i="5"/>
  <c r="J376" i="5"/>
  <c r="B376" i="5"/>
  <c r="K375" i="5"/>
  <c r="J375" i="5"/>
  <c r="B375" i="5"/>
  <c r="K374" i="5"/>
  <c r="J374" i="5"/>
  <c r="B374" i="5"/>
  <c r="K373" i="5"/>
  <c r="J373" i="5"/>
  <c r="B373" i="5"/>
  <c r="K372" i="5"/>
  <c r="J372" i="5"/>
  <c r="B372" i="5"/>
  <c r="K371" i="5"/>
  <c r="J371" i="5"/>
  <c r="B371" i="5"/>
  <c r="K370" i="5"/>
  <c r="J370" i="5"/>
  <c r="B370" i="5"/>
  <c r="K369" i="5"/>
  <c r="J369" i="5"/>
  <c r="B369" i="5"/>
  <c r="K368" i="5"/>
  <c r="J368" i="5"/>
  <c r="B368" i="5"/>
  <c r="K367" i="5"/>
  <c r="J367" i="5"/>
  <c r="B367" i="5"/>
  <c r="K366" i="5"/>
  <c r="J366" i="5"/>
  <c r="B366" i="5"/>
  <c r="K365" i="5"/>
  <c r="J365" i="5"/>
  <c r="B365" i="5"/>
  <c r="K364" i="5"/>
  <c r="J364" i="5"/>
  <c r="B364" i="5"/>
  <c r="K363" i="5"/>
  <c r="J363" i="5"/>
  <c r="B363" i="5"/>
  <c r="K362" i="5"/>
  <c r="J362" i="5"/>
  <c r="B362" i="5"/>
  <c r="K361" i="5"/>
  <c r="J361" i="5"/>
  <c r="B361" i="5"/>
  <c r="K360" i="5"/>
  <c r="J360" i="5"/>
  <c r="B360" i="5"/>
  <c r="K359" i="5"/>
  <c r="J359" i="5"/>
  <c r="B359" i="5"/>
  <c r="K358" i="5"/>
  <c r="J358" i="5"/>
  <c r="B358" i="5"/>
  <c r="K357" i="5"/>
  <c r="J357" i="5"/>
  <c r="B357" i="5"/>
  <c r="K356" i="5"/>
  <c r="J356" i="5"/>
  <c r="B356" i="5"/>
  <c r="K355" i="5"/>
  <c r="J355" i="5"/>
  <c r="B355" i="5"/>
  <c r="K354" i="5"/>
  <c r="J354" i="5"/>
  <c r="B354" i="5"/>
  <c r="K353" i="5"/>
  <c r="J353" i="5"/>
  <c r="B353" i="5"/>
  <c r="K352" i="5"/>
  <c r="J352" i="5"/>
  <c r="B352" i="5"/>
  <c r="K351" i="5"/>
  <c r="J351" i="5"/>
  <c r="B351" i="5"/>
  <c r="K350" i="5"/>
  <c r="J350" i="5"/>
  <c r="B350" i="5"/>
  <c r="K349" i="5"/>
  <c r="J349" i="5"/>
  <c r="B349" i="5"/>
  <c r="K348" i="5"/>
  <c r="J348" i="5"/>
  <c r="B348" i="5"/>
  <c r="K347" i="5"/>
  <c r="J347" i="5"/>
  <c r="B347" i="5"/>
  <c r="K346" i="5"/>
  <c r="J346" i="5"/>
  <c r="B346" i="5"/>
  <c r="K345" i="5"/>
  <c r="J345" i="5"/>
  <c r="B345" i="5"/>
  <c r="K344" i="5"/>
  <c r="J344" i="5"/>
  <c r="B344" i="5"/>
  <c r="K343" i="5"/>
  <c r="J343" i="5"/>
  <c r="B343" i="5"/>
  <c r="K342" i="5"/>
  <c r="J342" i="5"/>
  <c r="B342" i="5"/>
  <c r="K341" i="5"/>
  <c r="J341" i="5"/>
  <c r="B341" i="5"/>
  <c r="K340" i="5"/>
  <c r="J340" i="5"/>
  <c r="B340" i="5"/>
  <c r="K339" i="5"/>
  <c r="J339" i="5"/>
  <c r="B339" i="5"/>
  <c r="K338" i="5"/>
  <c r="J338" i="5"/>
  <c r="B338" i="5"/>
  <c r="K337" i="5"/>
  <c r="J337" i="5"/>
  <c r="B337" i="5"/>
  <c r="K336" i="5"/>
  <c r="J336" i="5"/>
  <c r="B336" i="5"/>
  <c r="K335" i="5"/>
  <c r="J335" i="5"/>
  <c r="B335" i="5"/>
  <c r="K334" i="5"/>
  <c r="J334" i="5"/>
  <c r="B334" i="5"/>
  <c r="K333" i="5"/>
  <c r="J333" i="5"/>
  <c r="B333" i="5"/>
  <c r="K332" i="5"/>
  <c r="J332" i="5"/>
  <c r="B332" i="5"/>
  <c r="K331" i="5"/>
  <c r="J331" i="5"/>
  <c r="B331" i="5"/>
  <c r="K330" i="5"/>
  <c r="J330" i="5"/>
  <c r="B330" i="5"/>
  <c r="K329" i="5"/>
  <c r="J329" i="5"/>
  <c r="B329" i="5"/>
  <c r="K328" i="5"/>
  <c r="J328" i="5"/>
  <c r="B328" i="5"/>
  <c r="K327" i="5"/>
  <c r="J327" i="5"/>
  <c r="B327" i="5"/>
  <c r="K326" i="5"/>
  <c r="J326" i="5"/>
  <c r="B326" i="5"/>
  <c r="K325" i="5"/>
  <c r="J325" i="5"/>
  <c r="B325" i="5"/>
  <c r="K324" i="5"/>
  <c r="J324" i="5"/>
  <c r="B324" i="5"/>
  <c r="K323" i="5"/>
  <c r="J323" i="5"/>
  <c r="B323" i="5"/>
  <c r="K322" i="5"/>
  <c r="J322" i="5"/>
  <c r="B322" i="5"/>
  <c r="K321" i="5"/>
  <c r="J321" i="5"/>
  <c r="B321" i="5"/>
  <c r="K320" i="5"/>
  <c r="J320" i="5"/>
  <c r="B320" i="5"/>
  <c r="K319" i="5"/>
  <c r="J319" i="5"/>
  <c r="B319" i="5"/>
  <c r="K318" i="5"/>
  <c r="J318" i="5"/>
  <c r="B318" i="5"/>
  <c r="K317" i="5"/>
  <c r="J317" i="5"/>
  <c r="B317" i="5"/>
  <c r="K316" i="5"/>
  <c r="J316" i="5"/>
  <c r="B316" i="5"/>
  <c r="K315" i="5"/>
  <c r="J315" i="5"/>
  <c r="B315" i="5"/>
  <c r="K314" i="5"/>
  <c r="J314" i="5"/>
  <c r="B314" i="5"/>
  <c r="K313" i="5"/>
  <c r="J313" i="5"/>
  <c r="B313" i="5"/>
  <c r="K312" i="5"/>
  <c r="J312" i="5"/>
  <c r="B312" i="5"/>
  <c r="K311" i="5"/>
  <c r="J311" i="5"/>
  <c r="B311" i="5"/>
  <c r="K310" i="5"/>
  <c r="J310" i="5"/>
  <c r="B310" i="5"/>
  <c r="K309" i="5"/>
  <c r="J309" i="5"/>
  <c r="B309" i="5"/>
  <c r="K308" i="5"/>
  <c r="J308" i="5"/>
  <c r="B308" i="5"/>
  <c r="K307" i="5"/>
  <c r="J307" i="5"/>
  <c r="B307" i="5"/>
  <c r="K306" i="5"/>
  <c r="J306" i="5"/>
  <c r="B306" i="5"/>
  <c r="K305" i="5"/>
  <c r="J305" i="5"/>
  <c r="B305" i="5"/>
  <c r="K304" i="5"/>
  <c r="J304" i="5"/>
  <c r="B304" i="5"/>
  <c r="K303" i="5"/>
  <c r="J303" i="5"/>
  <c r="B303" i="5"/>
  <c r="K302" i="5"/>
  <c r="J302" i="5"/>
  <c r="B302" i="5"/>
  <c r="K301" i="5"/>
  <c r="J301" i="5"/>
  <c r="B301" i="5"/>
  <c r="K300" i="5"/>
  <c r="J300" i="5"/>
  <c r="B300" i="5"/>
  <c r="K299" i="5"/>
  <c r="J299" i="5"/>
  <c r="B299" i="5"/>
  <c r="K298" i="5"/>
  <c r="J298" i="5"/>
  <c r="B298" i="5"/>
  <c r="K297" i="5"/>
  <c r="J297" i="5"/>
  <c r="B297" i="5"/>
  <c r="K296" i="5"/>
  <c r="J296" i="5"/>
  <c r="B296" i="5"/>
  <c r="K295" i="5"/>
  <c r="J295" i="5"/>
  <c r="B295" i="5"/>
  <c r="K294" i="5"/>
  <c r="J294" i="5"/>
  <c r="B294" i="5"/>
  <c r="K293" i="5"/>
  <c r="J293" i="5"/>
  <c r="B293" i="5"/>
  <c r="K292" i="5"/>
  <c r="J292" i="5"/>
  <c r="B292" i="5"/>
  <c r="K291" i="5"/>
  <c r="J291" i="5"/>
  <c r="B291" i="5"/>
  <c r="K290" i="5"/>
  <c r="J290" i="5"/>
  <c r="B290" i="5"/>
  <c r="K289" i="5"/>
  <c r="J289" i="5"/>
  <c r="B289" i="5"/>
  <c r="K288" i="5"/>
  <c r="J288" i="5"/>
  <c r="B288" i="5"/>
  <c r="K287" i="5"/>
  <c r="J287" i="5"/>
  <c r="B287" i="5"/>
  <c r="K286" i="5"/>
  <c r="J286" i="5"/>
  <c r="B286" i="5"/>
  <c r="K285" i="5"/>
  <c r="J285" i="5"/>
  <c r="B285" i="5"/>
  <c r="K284" i="5"/>
  <c r="J284" i="5"/>
  <c r="B284" i="5"/>
  <c r="K283" i="5"/>
  <c r="J283" i="5"/>
  <c r="B283" i="5"/>
  <c r="K282" i="5"/>
  <c r="J282" i="5"/>
  <c r="B282" i="5"/>
  <c r="K281" i="5"/>
  <c r="J281" i="5"/>
  <c r="B281" i="5"/>
  <c r="K280" i="5"/>
  <c r="J280" i="5"/>
  <c r="B280" i="5"/>
  <c r="K279" i="5"/>
  <c r="J279" i="5"/>
  <c r="B279" i="5"/>
  <c r="K278" i="5"/>
  <c r="J278" i="5"/>
  <c r="B278" i="5"/>
  <c r="K277" i="5"/>
  <c r="J277" i="5"/>
  <c r="B277" i="5"/>
  <c r="K276" i="5"/>
  <c r="J276" i="5"/>
  <c r="B276" i="5"/>
  <c r="K275" i="5"/>
  <c r="J275" i="5"/>
  <c r="B275" i="5"/>
  <c r="K274" i="5"/>
  <c r="J274" i="5"/>
  <c r="B274" i="5"/>
  <c r="K273" i="5"/>
  <c r="J273" i="5"/>
  <c r="B273" i="5"/>
  <c r="K272" i="5"/>
  <c r="J272" i="5"/>
  <c r="B272" i="5"/>
  <c r="K271" i="5"/>
  <c r="J271" i="5"/>
  <c r="B271" i="5"/>
  <c r="K270" i="5"/>
  <c r="J270" i="5"/>
  <c r="B270" i="5"/>
  <c r="K269" i="5"/>
  <c r="J269" i="5"/>
  <c r="B269" i="5"/>
  <c r="K268" i="5"/>
  <c r="J268" i="5"/>
  <c r="B268" i="5"/>
  <c r="K267" i="5"/>
  <c r="J267" i="5"/>
  <c r="B267" i="5"/>
  <c r="K266" i="5"/>
  <c r="J266" i="5"/>
  <c r="B266" i="5"/>
  <c r="K265" i="5"/>
  <c r="J265" i="5"/>
  <c r="B265" i="5"/>
  <c r="K264" i="5"/>
  <c r="J264" i="5"/>
  <c r="B264" i="5"/>
  <c r="K263" i="5"/>
  <c r="J263" i="5"/>
  <c r="B263" i="5"/>
  <c r="K262" i="5"/>
  <c r="J262" i="5"/>
  <c r="B262" i="5"/>
  <c r="K261" i="5"/>
  <c r="J261" i="5"/>
  <c r="B261" i="5"/>
  <c r="K260" i="5"/>
  <c r="J260" i="5"/>
  <c r="B260" i="5"/>
  <c r="K259" i="5"/>
  <c r="J259" i="5"/>
  <c r="B259" i="5"/>
  <c r="K258" i="5"/>
  <c r="J258" i="5"/>
  <c r="B258" i="5"/>
  <c r="K257" i="5"/>
  <c r="J257" i="5"/>
  <c r="B257" i="5"/>
  <c r="K256" i="5"/>
  <c r="J256" i="5"/>
  <c r="B256" i="5"/>
  <c r="K255" i="5"/>
  <c r="J255" i="5"/>
  <c r="B255" i="5"/>
  <c r="K254" i="5"/>
  <c r="J254" i="5"/>
  <c r="B254" i="5"/>
  <c r="K253" i="5"/>
  <c r="J253" i="5"/>
  <c r="B253" i="5"/>
  <c r="K252" i="5"/>
  <c r="J252" i="5"/>
  <c r="B252" i="5"/>
  <c r="K251" i="5"/>
  <c r="J251" i="5"/>
  <c r="B251" i="5"/>
  <c r="K250" i="5"/>
  <c r="J250" i="5"/>
  <c r="B250" i="5"/>
  <c r="K249" i="5"/>
  <c r="J249" i="5"/>
  <c r="B249" i="5"/>
  <c r="K248" i="5"/>
  <c r="J248" i="5"/>
  <c r="B248" i="5"/>
  <c r="K247" i="5"/>
  <c r="J247" i="5"/>
  <c r="B247" i="5"/>
  <c r="K246" i="5"/>
  <c r="J246" i="5"/>
  <c r="B246" i="5"/>
  <c r="K245" i="5"/>
  <c r="J245" i="5"/>
  <c r="B245" i="5"/>
  <c r="K244" i="5"/>
  <c r="J244" i="5"/>
  <c r="B244" i="5"/>
  <c r="K243" i="5"/>
  <c r="J243" i="5"/>
  <c r="B243" i="5"/>
  <c r="K242" i="5"/>
  <c r="J242" i="5"/>
  <c r="B242" i="5"/>
  <c r="K241" i="5"/>
  <c r="J241" i="5"/>
  <c r="B241" i="5"/>
  <c r="K240" i="5"/>
  <c r="J240" i="5"/>
  <c r="B240" i="5"/>
  <c r="K239" i="5"/>
  <c r="J239" i="5"/>
  <c r="B239" i="5"/>
  <c r="K238" i="5"/>
  <c r="J238" i="5"/>
  <c r="B238" i="5"/>
  <c r="K237" i="5"/>
  <c r="J237" i="5"/>
  <c r="B237" i="5"/>
  <c r="K236" i="5"/>
  <c r="J236" i="5"/>
  <c r="B236" i="5"/>
  <c r="K235" i="5"/>
  <c r="J235" i="5"/>
  <c r="B235" i="5"/>
  <c r="K234" i="5"/>
  <c r="J234" i="5"/>
  <c r="B234" i="5"/>
  <c r="K233" i="5"/>
  <c r="J233" i="5"/>
  <c r="B233" i="5"/>
  <c r="K232" i="5"/>
  <c r="J232" i="5"/>
  <c r="B232" i="5"/>
  <c r="K231" i="5"/>
  <c r="J231" i="5"/>
  <c r="B231" i="5"/>
  <c r="K230" i="5"/>
  <c r="J230" i="5"/>
  <c r="B230" i="5"/>
  <c r="K229" i="5"/>
  <c r="J229" i="5"/>
  <c r="B229" i="5"/>
  <c r="K228" i="5"/>
  <c r="J228" i="5"/>
  <c r="B228" i="5"/>
  <c r="K227" i="5"/>
  <c r="J227" i="5"/>
  <c r="B227" i="5"/>
  <c r="K226" i="5"/>
  <c r="J226" i="5"/>
  <c r="B226" i="5"/>
  <c r="K225" i="5"/>
  <c r="J225" i="5"/>
  <c r="B225" i="5"/>
  <c r="K224" i="5"/>
  <c r="J224" i="5"/>
  <c r="B224" i="5"/>
  <c r="K223" i="5"/>
  <c r="J223" i="5"/>
  <c r="B223" i="5"/>
  <c r="K222" i="5"/>
  <c r="J222" i="5"/>
  <c r="B222" i="5"/>
  <c r="K221" i="5"/>
  <c r="J221" i="5"/>
  <c r="B221" i="5"/>
  <c r="K220" i="5"/>
  <c r="J220" i="5"/>
  <c r="B220" i="5"/>
  <c r="K219" i="5"/>
  <c r="J219" i="5"/>
  <c r="B219" i="5"/>
  <c r="K218" i="5"/>
  <c r="J218" i="5"/>
  <c r="B218" i="5"/>
  <c r="K217" i="5"/>
  <c r="J217" i="5"/>
  <c r="B217" i="5"/>
  <c r="K216" i="5"/>
  <c r="J216" i="5"/>
  <c r="B216" i="5"/>
  <c r="K215" i="5"/>
  <c r="J215" i="5"/>
  <c r="B215" i="5"/>
  <c r="K214" i="5"/>
  <c r="J214" i="5"/>
  <c r="B214" i="5"/>
  <c r="K213" i="5"/>
  <c r="J213" i="5"/>
  <c r="B213" i="5"/>
  <c r="K212" i="5"/>
  <c r="J212" i="5"/>
  <c r="B212" i="5"/>
  <c r="K211" i="5"/>
  <c r="J211" i="5"/>
  <c r="B211" i="5"/>
  <c r="K210" i="5"/>
  <c r="J210" i="5"/>
  <c r="B210" i="5"/>
  <c r="K209" i="5"/>
  <c r="J209" i="5"/>
  <c r="B209" i="5"/>
  <c r="K208" i="5"/>
  <c r="J208" i="5"/>
  <c r="B208" i="5"/>
  <c r="K207" i="5"/>
  <c r="J207" i="5"/>
  <c r="B207" i="5"/>
  <c r="K206" i="5"/>
  <c r="J206" i="5"/>
  <c r="B206" i="5"/>
  <c r="K205" i="5"/>
  <c r="J205" i="5"/>
  <c r="B205" i="5"/>
  <c r="K204" i="5"/>
  <c r="J204" i="5"/>
  <c r="B204" i="5"/>
  <c r="K203" i="5"/>
  <c r="J203" i="5"/>
  <c r="B203" i="5"/>
  <c r="K202" i="5"/>
  <c r="J202" i="5"/>
  <c r="B202" i="5"/>
  <c r="K201" i="5"/>
  <c r="J201" i="5"/>
  <c r="B201" i="5"/>
  <c r="K200" i="5"/>
  <c r="J200" i="5"/>
  <c r="B200" i="5"/>
  <c r="K199" i="5"/>
  <c r="J199" i="5"/>
  <c r="B199" i="5"/>
  <c r="K198" i="5"/>
  <c r="J198" i="5"/>
  <c r="B198" i="5"/>
  <c r="K197" i="5"/>
  <c r="J197" i="5"/>
  <c r="B197" i="5"/>
  <c r="K196" i="5"/>
  <c r="J196" i="5"/>
  <c r="B196" i="5"/>
  <c r="K195" i="5"/>
  <c r="J195" i="5"/>
  <c r="B195" i="5"/>
  <c r="K194" i="5"/>
  <c r="J194" i="5"/>
  <c r="B194" i="5"/>
  <c r="K193" i="5"/>
  <c r="J193" i="5"/>
  <c r="B193" i="5"/>
  <c r="K192" i="5"/>
  <c r="J192" i="5"/>
  <c r="B192" i="5"/>
  <c r="K191" i="5"/>
  <c r="J191" i="5"/>
  <c r="B191" i="5"/>
  <c r="K190" i="5"/>
  <c r="J190" i="5"/>
  <c r="B190" i="5"/>
  <c r="K189" i="5"/>
  <c r="J189" i="5"/>
  <c r="B189" i="5"/>
  <c r="K188" i="5"/>
  <c r="J188" i="5"/>
  <c r="B188" i="5"/>
  <c r="K187" i="5"/>
  <c r="J187" i="5"/>
  <c r="B187" i="5"/>
  <c r="K186" i="5"/>
  <c r="J186" i="5"/>
  <c r="B186" i="5"/>
  <c r="K185" i="5"/>
  <c r="J185" i="5"/>
  <c r="B185" i="5"/>
  <c r="K184" i="5"/>
  <c r="J184" i="5"/>
  <c r="B184" i="5"/>
  <c r="K183" i="5"/>
  <c r="J183" i="5"/>
  <c r="B183" i="5"/>
  <c r="K182" i="5"/>
  <c r="J182" i="5"/>
  <c r="B182" i="5"/>
  <c r="K181" i="5"/>
  <c r="J181" i="5"/>
  <c r="B181" i="5"/>
  <c r="K180" i="5"/>
  <c r="J180" i="5"/>
  <c r="B180" i="5"/>
  <c r="K179" i="5"/>
  <c r="J179" i="5"/>
  <c r="B179" i="5"/>
  <c r="K178" i="5"/>
  <c r="J178" i="5"/>
  <c r="B178" i="5"/>
  <c r="K177" i="5"/>
  <c r="J177" i="5"/>
  <c r="B177" i="5"/>
  <c r="K176" i="5"/>
  <c r="J176" i="5"/>
  <c r="B176" i="5"/>
  <c r="K175" i="5"/>
  <c r="J175" i="5"/>
  <c r="B175" i="5"/>
  <c r="K174" i="5"/>
  <c r="J174" i="5"/>
  <c r="B174" i="5"/>
  <c r="K173" i="5"/>
  <c r="J173" i="5"/>
  <c r="B173" i="5"/>
  <c r="K172" i="5"/>
  <c r="J172" i="5"/>
  <c r="B172" i="5"/>
  <c r="K171" i="5"/>
  <c r="J171" i="5"/>
  <c r="B171" i="5"/>
  <c r="K170" i="5"/>
  <c r="J170" i="5"/>
  <c r="B170" i="5"/>
  <c r="K169" i="5"/>
  <c r="J169" i="5"/>
  <c r="B169" i="5"/>
  <c r="K168" i="5"/>
  <c r="J168" i="5"/>
  <c r="B168" i="5"/>
  <c r="K167" i="5"/>
  <c r="J167" i="5"/>
  <c r="B167" i="5"/>
  <c r="K166" i="5"/>
  <c r="J166" i="5"/>
  <c r="B166" i="5"/>
  <c r="K165" i="5"/>
  <c r="J165" i="5"/>
  <c r="B165" i="5"/>
  <c r="K164" i="5"/>
  <c r="J164" i="5"/>
  <c r="B164" i="5"/>
  <c r="K163" i="5"/>
  <c r="J163" i="5"/>
  <c r="B163" i="5"/>
  <c r="K162" i="5"/>
  <c r="J162" i="5"/>
  <c r="B162" i="5"/>
  <c r="K161" i="5"/>
  <c r="J161" i="5"/>
  <c r="B161" i="5"/>
  <c r="K160" i="5"/>
  <c r="J160" i="5"/>
  <c r="B160" i="5"/>
  <c r="K159" i="5"/>
  <c r="J159" i="5"/>
  <c r="B159" i="5"/>
  <c r="K158" i="5"/>
  <c r="J158" i="5"/>
  <c r="B158" i="5"/>
  <c r="K157" i="5"/>
  <c r="J157" i="5"/>
  <c r="B157" i="5"/>
  <c r="K156" i="5"/>
  <c r="J156" i="5"/>
  <c r="B156" i="5"/>
  <c r="K155" i="5"/>
  <c r="J155" i="5"/>
  <c r="B155" i="5"/>
  <c r="K154" i="5"/>
  <c r="J154" i="5"/>
  <c r="B154" i="5"/>
  <c r="K153" i="5"/>
  <c r="J153" i="5"/>
  <c r="B153" i="5"/>
  <c r="K152" i="5"/>
  <c r="J152" i="5"/>
  <c r="B152" i="5"/>
  <c r="K151" i="5"/>
  <c r="J151" i="5"/>
  <c r="B151" i="5"/>
  <c r="K150" i="5"/>
  <c r="J150" i="5"/>
  <c r="B150" i="5"/>
  <c r="K149" i="5"/>
  <c r="J149" i="5"/>
  <c r="B149" i="5"/>
  <c r="K148" i="5"/>
  <c r="J148" i="5"/>
  <c r="B148" i="5"/>
  <c r="K147" i="5"/>
  <c r="J147" i="5"/>
  <c r="B147" i="5"/>
  <c r="K146" i="5"/>
  <c r="J146" i="5"/>
  <c r="B146" i="5"/>
  <c r="K145" i="5"/>
  <c r="J145" i="5"/>
  <c r="B145" i="5"/>
  <c r="K144" i="5"/>
  <c r="J144" i="5"/>
  <c r="B144" i="5"/>
  <c r="K143" i="5"/>
  <c r="J143" i="5"/>
  <c r="B143" i="5"/>
  <c r="K142" i="5"/>
  <c r="J142" i="5"/>
  <c r="B142" i="5"/>
  <c r="K141" i="5"/>
  <c r="J141" i="5"/>
  <c r="B141" i="5"/>
  <c r="K140" i="5"/>
  <c r="J140" i="5"/>
  <c r="B140" i="5"/>
  <c r="K139" i="5"/>
  <c r="J139" i="5"/>
  <c r="B139" i="5"/>
  <c r="K138" i="5"/>
  <c r="J138" i="5"/>
  <c r="B138" i="5"/>
  <c r="K137" i="5"/>
  <c r="J137" i="5"/>
  <c r="B137" i="5"/>
  <c r="K136" i="5"/>
  <c r="J136" i="5"/>
  <c r="B136" i="5"/>
  <c r="K135" i="5"/>
  <c r="J135" i="5"/>
  <c r="B135" i="5"/>
  <c r="K134" i="5"/>
  <c r="J134" i="5"/>
  <c r="B134" i="5"/>
  <c r="K133" i="5"/>
  <c r="J133" i="5"/>
  <c r="B133" i="5"/>
  <c r="K132" i="5"/>
  <c r="J132" i="5"/>
  <c r="B132" i="5"/>
  <c r="K131" i="5"/>
  <c r="J131" i="5"/>
  <c r="B131" i="5"/>
  <c r="K130" i="5"/>
  <c r="J130" i="5"/>
  <c r="B130" i="5"/>
  <c r="K129" i="5"/>
  <c r="J129" i="5"/>
  <c r="B129" i="5"/>
  <c r="K128" i="5"/>
  <c r="J128" i="5"/>
  <c r="B128" i="5"/>
  <c r="K127" i="5"/>
  <c r="J127" i="5"/>
  <c r="B127" i="5"/>
  <c r="K126" i="5"/>
  <c r="J126" i="5"/>
  <c r="B126" i="5"/>
  <c r="K125" i="5"/>
  <c r="J125" i="5"/>
  <c r="B125" i="5"/>
  <c r="K124" i="5"/>
  <c r="J124" i="5"/>
  <c r="B124" i="5"/>
  <c r="K123" i="5"/>
  <c r="J123" i="5"/>
  <c r="B123" i="5"/>
  <c r="K122" i="5"/>
  <c r="J122" i="5"/>
  <c r="B122" i="5"/>
  <c r="K121" i="5"/>
  <c r="J121" i="5"/>
  <c r="B121" i="5"/>
  <c r="K120" i="5"/>
  <c r="J120" i="5"/>
  <c r="B120" i="5"/>
  <c r="K119" i="5"/>
  <c r="J119" i="5"/>
  <c r="B119" i="5"/>
  <c r="K118" i="5"/>
  <c r="J118" i="5"/>
  <c r="B118" i="5"/>
  <c r="K117" i="5"/>
  <c r="J117" i="5"/>
  <c r="B117" i="5"/>
  <c r="K116" i="5"/>
  <c r="J116" i="5"/>
  <c r="B116" i="5"/>
  <c r="K115" i="5"/>
  <c r="J115" i="5"/>
  <c r="B115" i="5"/>
  <c r="K114" i="5"/>
  <c r="J114" i="5"/>
  <c r="B114" i="5"/>
  <c r="K113" i="5"/>
  <c r="J113" i="5"/>
  <c r="B113" i="5"/>
  <c r="K112" i="5"/>
  <c r="J112" i="5"/>
  <c r="B112" i="5"/>
  <c r="K111" i="5"/>
  <c r="J111" i="5"/>
  <c r="B111" i="5"/>
  <c r="K110" i="5"/>
  <c r="J110" i="5"/>
  <c r="B110" i="5"/>
  <c r="K109" i="5"/>
  <c r="J109" i="5"/>
  <c r="B109" i="5"/>
  <c r="K108" i="5"/>
  <c r="J108" i="5"/>
  <c r="B108" i="5"/>
  <c r="K107" i="5"/>
  <c r="J107" i="5"/>
  <c r="B107" i="5"/>
  <c r="K106" i="5"/>
  <c r="J106" i="5"/>
  <c r="B106" i="5"/>
  <c r="K105" i="5"/>
  <c r="J105" i="5"/>
  <c r="B105" i="5"/>
  <c r="K104" i="5"/>
  <c r="J104" i="5"/>
  <c r="B104" i="5"/>
  <c r="K103" i="5"/>
  <c r="J103" i="5"/>
  <c r="B103" i="5"/>
  <c r="K102" i="5"/>
  <c r="J102" i="5"/>
  <c r="B102" i="5"/>
  <c r="K101" i="5"/>
  <c r="J101" i="5"/>
  <c r="B101" i="5"/>
  <c r="K100" i="5"/>
  <c r="J100" i="5"/>
  <c r="B100" i="5"/>
  <c r="K99" i="5"/>
  <c r="J99" i="5"/>
  <c r="B99" i="5"/>
  <c r="K98" i="5"/>
  <c r="J98" i="5"/>
  <c r="B98" i="5"/>
  <c r="K97" i="5"/>
  <c r="J97" i="5"/>
  <c r="B97" i="5"/>
  <c r="K96" i="5"/>
  <c r="J96" i="5"/>
  <c r="B96" i="5"/>
  <c r="K95" i="5"/>
  <c r="J95" i="5"/>
  <c r="B95" i="5"/>
  <c r="K94" i="5"/>
  <c r="J94" i="5"/>
  <c r="B94" i="5"/>
  <c r="K93" i="5"/>
  <c r="J93" i="5"/>
  <c r="B93" i="5"/>
  <c r="K92" i="5"/>
  <c r="J92" i="5"/>
  <c r="B92" i="5"/>
  <c r="K91" i="5"/>
  <c r="J91" i="5"/>
  <c r="B91" i="5"/>
  <c r="K90" i="5"/>
  <c r="J90" i="5"/>
  <c r="B90" i="5"/>
  <c r="K89" i="5"/>
  <c r="J89" i="5"/>
  <c r="B89" i="5"/>
  <c r="K88" i="5"/>
  <c r="J88" i="5"/>
  <c r="B88" i="5"/>
  <c r="K87" i="5"/>
  <c r="J87" i="5"/>
  <c r="B87" i="5"/>
  <c r="K86" i="5"/>
  <c r="J86" i="5"/>
  <c r="B86" i="5"/>
  <c r="K85" i="5"/>
  <c r="J85" i="5"/>
  <c r="B85" i="5"/>
  <c r="K84" i="5"/>
  <c r="J84" i="5"/>
  <c r="B84" i="5"/>
  <c r="K83" i="5"/>
  <c r="J83" i="5"/>
  <c r="B83" i="5"/>
  <c r="K82" i="5"/>
  <c r="J82" i="5"/>
  <c r="B82" i="5"/>
  <c r="K81" i="5"/>
  <c r="J81" i="5"/>
  <c r="B81" i="5"/>
  <c r="K80" i="5"/>
  <c r="J80" i="5"/>
  <c r="B80" i="5"/>
  <c r="K79" i="5"/>
  <c r="J79" i="5"/>
  <c r="B79" i="5"/>
  <c r="K78" i="5"/>
  <c r="J78" i="5"/>
  <c r="B78" i="5"/>
  <c r="K77" i="5"/>
  <c r="J77" i="5"/>
  <c r="B77" i="5"/>
  <c r="K76" i="5"/>
  <c r="J76" i="5"/>
  <c r="B76" i="5"/>
  <c r="K75" i="5"/>
  <c r="J75" i="5"/>
  <c r="B75" i="5"/>
  <c r="K74" i="5"/>
  <c r="J74" i="5"/>
  <c r="B74" i="5"/>
  <c r="K73" i="5"/>
  <c r="J73" i="5"/>
  <c r="B73" i="5"/>
  <c r="K72" i="5"/>
  <c r="J72" i="5"/>
  <c r="B72" i="5"/>
  <c r="K71" i="5"/>
  <c r="J71" i="5"/>
  <c r="B71" i="5"/>
  <c r="K70" i="5"/>
  <c r="J70" i="5"/>
  <c r="B70" i="5"/>
  <c r="K69" i="5"/>
  <c r="J69" i="5"/>
  <c r="B69" i="5"/>
  <c r="K68" i="5"/>
  <c r="J68" i="5"/>
  <c r="B68" i="5"/>
  <c r="K67" i="5"/>
  <c r="J67" i="5"/>
  <c r="B67" i="5"/>
  <c r="L66" i="5"/>
  <c r="K66" i="5"/>
  <c r="J66" i="5"/>
  <c r="B66" i="5"/>
  <c r="K65" i="5"/>
  <c r="J65" i="5"/>
  <c r="B65" i="5"/>
  <c r="K64" i="5"/>
  <c r="J64" i="5"/>
  <c r="B64" i="5"/>
  <c r="K63" i="5"/>
  <c r="J63" i="5"/>
  <c r="B63" i="5"/>
  <c r="K62" i="5"/>
  <c r="J62" i="5"/>
  <c r="B62" i="5"/>
  <c r="L61" i="5"/>
  <c r="K61" i="5"/>
  <c r="J61" i="5"/>
  <c r="B61" i="5"/>
  <c r="K60" i="5"/>
  <c r="J60" i="5"/>
  <c r="B60" i="5"/>
  <c r="K59" i="5"/>
  <c r="J59" i="5"/>
  <c r="B59" i="5"/>
  <c r="K58" i="5"/>
  <c r="J58" i="5"/>
  <c r="B58" i="5"/>
  <c r="K57" i="5"/>
  <c r="J57" i="5"/>
  <c r="B57" i="5"/>
  <c r="K56" i="5"/>
  <c r="J56" i="5"/>
  <c r="B56" i="5"/>
  <c r="K55" i="5"/>
  <c r="J55" i="5"/>
  <c r="B55" i="5"/>
  <c r="K54" i="5"/>
  <c r="J54" i="5"/>
  <c r="B54" i="5"/>
  <c r="K53" i="5"/>
  <c r="J53" i="5"/>
  <c r="B53" i="5"/>
  <c r="K52" i="5"/>
  <c r="J52" i="5"/>
  <c r="B52" i="5"/>
  <c r="K51" i="5"/>
  <c r="J51" i="5"/>
  <c r="B51" i="5"/>
  <c r="K50" i="5"/>
  <c r="J50" i="5"/>
  <c r="B50" i="5"/>
  <c r="K49" i="5"/>
  <c r="J49" i="5"/>
  <c r="B49" i="5"/>
  <c r="K48" i="5"/>
  <c r="J48" i="5"/>
  <c r="B48" i="5"/>
  <c r="K47" i="5"/>
  <c r="J47" i="5"/>
  <c r="B47" i="5"/>
  <c r="K46" i="5"/>
  <c r="J46" i="5"/>
  <c r="B46" i="5"/>
  <c r="K45" i="5"/>
  <c r="J45" i="5"/>
  <c r="B45" i="5"/>
  <c r="K44" i="5"/>
  <c r="J44" i="5"/>
  <c r="B44" i="5"/>
  <c r="K43" i="5"/>
  <c r="J43" i="5"/>
  <c r="B43" i="5"/>
  <c r="K42" i="5"/>
  <c r="J42" i="5"/>
  <c r="B42" i="5"/>
  <c r="K41" i="5"/>
  <c r="J41" i="5"/>
  <c r="B41" i="5"/>
  <c r="K40" i="5"/>
  <c r="J40" i="5"/>
  <c r="B40" i="5"/>
  <c r="K39" i="5"/>
  <c r="J39" i="5"/>
  <c r="B39" i="5"/>
  <c r="K38" i="5"/>
  <c r="J38" i="5"/>
  <c r="B38" i="5"/>
  <c r="L37" i="5"/>
  <c r="K37" i="5"/>
  <c r="J37" i="5"/>
  <c r="B37" i="5"/>
  <c r="K36" i="5"/>
  <c r="J36" i="5"/>
  <c r="B36" i="5"/>
  <c r="K35" i="5"/>
  <c r="J35" i="5"/>
  <c r="B35" i="5"/>
  <c r="K34" i="5"/>
  <c r="J34" i="5"/>
  <c r="B34" i="5"/>
  <c r="K33" i="5"/>
  <c r="J33" i="5"/>
  <c r="B33" i="5"/>
  <c r="K32" i="5"/>
  <c r="J32" i="5"/>
  <c r="B32" i="5"/>
  <c r="K31" i="5"/>
  <c r="J31" i="5"/>
  <c r="B31" i="5"/>
  <c r="K30" i="5"/>
  <c r="J30" i="5"/>
  <c r="B30" i="5"/>
  <c r="L29" i="5"/>
  <c r="K29" i="5"/>
  <c r="J29" i="5"/>
  <c r="B29" i="5"/>
  <c r="K28" i="5"/>
  <c r="J28" i="5"/>
  <c r="B28" i="5"/>
  <c r="K27" i="5"/>
  <c r="J27" i="5"/>
  <c r="B27" i="5"/>
  <c r="K26" i="5"/>
  <c r="J26" i="5"/>
  <c r="B26" i="5"/>
  <c r="K25" i="5"/>
  <c r="J25" i="5"/>
  <c r="B25" i="5"/>
  <c r="K24" i="5"/>
  <c r="J24" i="5"/>
  <c r="B24" i="5"/>
  <c r="K23" i="5"/>
  <c r="J23" i="5"/>
  <c r="B23" i="5"/>
  <c r="K22" i="5"/>
  <c r="J22" i="5"/>
  <c r="B22" i="5"/>
  <c r="K21" i="5"/>
  <c r="J21" i="5"/>
  <c r="B21" i="5"/>
  <c r="K20" i="5"/>
  <c r="J20" i="5"/>
  <c r="B20" i="5"/>
  <c r="K19" i="5"/>
  <c r="J19" i="5"/>
  <c r="B19" i="5"/>
  <c r="K18" i="5"/>
  <c r="J18" i="5"/>
  <c r="B18" i="5"/>
  <c r="K17" i="5"/>
  <c r="J17" i="5"/>
  <c r="B17" i="5"/>
  <c r="K16" i="5"/>
  <c r="J16" i="5"/>
  <c r="B16" i="5"/>
  <c r="K15" i="5"/>
  <c r="J15" i="5"/>
  <c r="B15" i="5"/>
  <c r="K14" i="5"/>
  <c r="J14" i="5"/>
  <c r="B14" i="5"/>
  <c r="K13" i="5"/>
  <c r="J13" i="5"/>
  <c r="B13" i="5"/>
  <c r="K12" i="5"/>
  <c r="J12" i="5"/>
  <c r="B12" i="5"/>
  <c r="K11" i="5"/>
  <c r="J11" i="5"/>
  <c r="B11" i="5"/>
  <c r="K10" i="5"/>
  <c r="J10" i="5"/>
  <c r="B10" i="5"/>
  <c r="K9" i="5"/>
  <c r="J9" i="5"/>
  <c r="B9" i="5"/>
  <c r="K8" i="5"/>
  <c r="J8" i="5"/>
  <c r="B8" i="5"/>
  <c r="K7" i="5"/>
  <c r="J7" i="5"/>
  <c r="B7" i="5"/>
  <c r="K6" i="5"/>
  <c r="J6" i="5"/>
  <c r="B6" i="5"/>
  <c r="K5" i="5"/>
  <c r="J5" i="5"/>
  <c r="B5" i="5"/>
  <c r="K4" i="5"/>
  <c r="J4" i="5"/>
  <c r="B4" i="5"/>
  <c r="K3" i="5"/>
  <c r="J3" i="5"/>
  <c r="B3" i="5"/>
  <c r="J664" i="1"/>
  <c r="J665" i="1"/>
  <c r="J666" i="1"/>
  <c r="K664" i="1"/>
  <c r="K665" i="1"/>
  <c r="K666" i="1"/>
  <c r="B666" i="1"/>
  <c r="B665" i="1"/>
  <c r="B664" i="1"/>
  <c r="K662" i="1"/>
  <c r="K663" i="1"/>
  <c r="J662" i="1"/>
  <c r="J663" i="1"/>
  <c r="K661" i="1"/>
  <c r="J661" i="1"/>
  <c r="B663" i="1"/>
  <c r="B662" i="1"/>
  <c r="B661" i="1"/>
  <c r="B658" i="1"/>
  <c r="B659" i="1"/>
  <c r="B660" i="1"/>
  <c r="B657" i="1"/>
  <c r="J658" i="1"/>
  <c r="J659" i="1"/>
  <c r="J660" i="1"/>
  <c r="K658" i="1"/>
  <c r="K659" i="1"/>
  <c r="K660" i="1"/>
  <c r="J657" i="1"/>
  <c r="K657" i="1"/>
  <c r="B652" i="1"/>
  <c r="B653" i="1"/>
  <c r="B654" i="1"/>
  <c r="B655" i="1"/>
  <c r="B656" i="1"/>
  <c r="B651" i="1"/>
  <c r="J652" i="1"/>
  <c r="J653" i="1"/>
  <c r="J654" i="1"/>
  <c r="J655" i="1"/>
  <c r="J656" i="1"/>
  <c r="K656" i="1"/>
  <c r="K655" i="1"/>
  <c r="K654" i="1"/>
  <c r="K653" i="1"/>
  <c r="K652" i="1"/>
  <c r="K651" i="1"/>
  <c r="J651" i="1"/>
  <c r="B642" i="1"/>
  <c r="B643" i="1"/>
  <c r="B644" i="1"/>
  <c r="B645" i="1"/>
  <c r="B646" i="1"/>
  <c r="B647" i="1"/>
  <c r="B648" i="1"/>
  <c r="B649" i="1"/>
  <c r="B650" i="1"/>
  <c r="K646" i="1"/>
  <c r="J646" i="1"/>
  <c r="K643" i="1"/>
  <c r="K644" i="1"/>
  <c r="K645" i="1"/>
  <c r="K647" i="1"/>
  <c r="K648" i="1"/>
  <c r="K649" i="1"/>
  <c r="K650" i="1"/>
  <c r="J643" i="1"/>
  <c r="J644" i="1"/>
  <c r="J645" i="1"/>
  <c r="J647" i="1"/>
  <c r="J648" i="1"/>
  <c r="J649" i="1"/>
  <c r="J650" i="1"/>
  <c r="K642" i="1"/>
  <c r="J642" i="1"/>
  <c r="J68" i="1"/>
  <c r="K68" i="1"/>
  <c r="B68" i="1"/>
  <c r="B635" i="1"/>
  <c r="B636" i="1"/>
  <c r="B637" i="1"/>
  <c r="B638" i="1"/>
  <c r="B639" i="1"/>
  <c r="B640" i="1"/>
  <c r="B641" i="1"/>
  <c r="B634" i="1"/>
  <c r="K634" i="1"/>
  <c r="K635" i="1"/>
  <c r="K636" i="1"/>
  <c r="K637" i="1"/>
  <c r="K638" i="1"/>
  <c r="K639" i="1"/>
  <c r="K640" i="1"/>
  <c r="K641" i="1"/>
  <c r="J634" i="1"/>
  <c r="J635" i="1"/>
  <c r="J636" i="1"/>
  <c r="J637" i="1"/>
  <c r="J638" i="1"/>
  <c r="J639" i="1"/>
  <c r="J640" i="1"/>
  <c r="J641" i="1"/>
  <c r="B631" i="1"/>
  <c r="B632" i="1"/>
  <c r="B633" i="1"/>
  <c r="K631" i="1"/>
  <c r="K632" i="1"/>
  <c r="K633" i="1"/>
  <c r="J630" i="1"/>
  <c r="J631" i="1"/>
  <c r="J632" i="1"/>
  <c r="J633" i="1"/>
  <c r="K630" i="1"/>
  <c r="B630" i="1"/>
  <c r="B624" i="1"/>
  <c r="B625" i="1"/>
  <c r="B626" i="1"/>
  <c r="B627" i="1"/>
  <c r="B628" i="1"/>
  <c r="B629" i="1"/>
  <c r="K624" i="1"/>
  <c r="K625" i="1"/>
  <c r="K626" i="1"/>
  <c r="K627" i="1"/>
  <c r="K628" i="1"/>
  <c r="K629" i="1"/>
  <c r="J624" i="1"/>
  <c r="J625" i="1"/>
  <c r="J626" i="1"/>
  <c r="J627" i="1"/>
  <c r="J628" i="1"/>
  <c r="J629" i="1"/>
  <c r="K621" i="1"/>
  <c r="K622" i="1"/>
  <c r="K623" i="1"/>
  <c r="J621" i="1"/>
  <c r="J622" i="1"/>
  <c r="J623" i="1"/>
  <c r="J620" i="1"/>
  <c r="K620" i="1"/>
  <c r="B620" i="1"/>
  <c r="B621" i="1"/>
  <c r="B622" i="1"/>
  <c r="B623" i="1"/>
  <c r="K617" i="1"/>
  <c r="K618" i="1"/>
  <c r="K619" i="1"/>
  <c r="J617" i="1"/>
  <c r="J618" i="1"/>
  <c r="J619" i="1"/>
  <c r="K616" i="1"/>
  <c r="J616" i="1"/>
  <c r="B616" i="1"/>
  <c r="B617" i="1"/>
  <c r="B618" i="1"/>
  <c r="B619" i="1"/>
  <c r="J613" i="1"/>
  <c r="J614" i="1"/>
  <c r="J615" i="1"/>
  <c r="K613" i="1"/>
  <c r="K614" i="1"/>
  <c r="K615" i="1"/>
  <c r="J612" i="1"/>
  <c r="K612" i="1"/>
  <c r="B612" i="1"/>
  <c r="B613" i="1"/>
  <c r="B614" i="1"/>
  <c r="B615" i="1"/>
  <c r="B605" i="1"/>
  <c r="B606" i="1"/>
  <c r="B607" i="1"/>
  <c r="B608" i="1"/>
  <c r="B609" i="1"/>
  <c r="B610" i="1"/>
  <c r="B611" i="1"/>
  <c r="B604" i="1"/>
  <c r="K605" i="1"/>
  <c r="K606" i="1"/>
  <c r="K607" i="1"/>
  <c r="K608" i="1"/>
  <c r="K609" i="1"/>
  <c r="K610" i="1"/>
  <c r="K611" i="1"/>
  <c r="J605" i="1"/>
  <c r="J606" i="1"/>
  <c r="J607" i="1"/>
  <c r="J608" i="1"/>
  <c r="J609" i="1"/>
  <c r="J610" i="1"/>
  <c r="J611" i="1"/>
  <c r="J604" i="1"/>
  <c r="K604" i="1"/>
  <c r="B600" i="1"/>
  <c r="B601" i="1"/>
  <c r="B602" i="1"/>
  <c r="B603" i="1"/>
  <c r="B599" i="1"/>
  <c r="K600" i="1"/>
  <c r="K601" i="1"/>
  <c r="K602" i="1"/>
  <c r="K603" i="1"/>
  <c r="J600" i="1"/>
  <c r="J601" i="1"/>
  <c r="J602" i="1"/>
  <c r="J603" i="1"/>
  <c r="J599" i="1"/>
  <c r="K599" i="1"/>
  <c r="B596" i="1"/>
  <c r="B597" i="1"/>
  <c r="B598" i="1"/>
  <c r="B595" i="1"/>
  <c r="K596" i="1"/>
  <c r="K597" i="1"/>
  <c r="K598" i="1"/>
  <c r="J596" i="1"/>
  <c r="J597" i="1"/>
  <c r="J598" i="1"/>
  <c r="J595" i="1"/>
  <c r="K595" i="1"/>
  <c r="B591" i="1"/>
  <c r="B592" i="1"/>
  <c r="B593" i="1"/>
  <c r="B594" i="1"/>
  <c r="B590" i="1"/>
  <c r="K590" i="1"/>
  <c r="K591" i="1"/>
  <c r="K592" i="1"/>
  <c r="K593" i="1"/>
  <c r="K594" i="1"/>
  <c r="J590" i="1"/>
  <c r="J591" i="1"/>
  <c r="J592" i="1"/>
  <c r="J593" i="1"/>
  <c r="J594" i="1"/>
  <c r="B134" i="1"/>
  <c r="K134" i="1"/>
  <c r="J134" i="1"/>
  <c r="K386" i="1"/>
  <c r="J386" i="1"/>
  <c r="B386" i="1"/>
  <c r="B346" i="1"/>
  <c r="K346" i="1"/>
  <c r="J346" i="1"/>
  <c r="B587" i="1"/>
  <c r="B588" i="1"/>
  <c r="B589" i="1"/>
  <c r="B586" i="1"/>
  <c r="K587" i="1"/>
  <c r="K588" i="1"/>
  <c r="K589" i="1"/>
  <c r="J586" i="1"/>
  <c r="J587" i="1"/>
  <c r="J588" i="1"/>
  <c r="J589" i="1"/>
  <c r="K586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B568" i="1"/>
  <c r="K568" i="1"/>
  <c r="J568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B554" i="1"/>
  <c r="K553" i="1"/>
  <c r="K554" i="1"/>
  <c r="J554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29" i="1"/>
  <c r="K529" i="1"/>
  <c r="J529" i="1"/>
  <c r="K542" i="1"/>
  <c r="K543" i="1"/>
  <c r="K544" i="1"/>
  <c r="K545" i="1"/>
  <c r="K546" i="1"/>
  <c r="K547" i="1"/>
  <c r="K548" i="1"/>
  <c r="K549" i="1"/>
  <c r="K550" i="1"/>
  <c r="K551" i="1"/>
  <c r="K552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B532" i="1"/>
  <c r="B533" i="1"/>
  <c r="B534" i="1"/>
  <c r="B535" i="1"/>
  <c r="B536" i="1"/>
  <c r="B537" i="1"/>
  <c r="B538" i="1"/>
  <c r="B539" i="1"/>
  <c r="B540" i="1"/>
  <c r="B541" i="1"/>
  <c r="K532" i="1"/>
  <c r="K533" i="1"/>
  <c r="K534" i="1"/>
  <c r="K535" i="1"/>
  <c r="K536" i="1"/>
  <c r="K537" i="1"/>
  <c r="K538" i="1"/>
  <c r="K539" i="1"/>
  <c r="K540" i="1"/>
  <c r="K541" i="1"/>
  <c r="J532" i="1"/>
  <c r="J533" i="1"/>
  <c r="J534" i="1"/>
  <c r="J535" i="1"/>
  <c r="J536" i="1"/>
  <c r="J537" i="1"/>
  <c r="J538" i="1"/>
  <c r="J539" i="1"/>
  <c r="J540" i="1"/>
  <c r="J541" i="1"/>
  <c r="B518" i="1"/>
  <c r="B519" i="1"/>
  <c r="B520" i="1"/>
  <c r="B521" i="1"/>
  <c r="B522" i="1"/>
  <c r="B523" i="1"/>
  <c r="B524" i="1"/>
  <c r="B525" i="1"/>
  <c r="B526" i="1"/>
  <c r="B527" i="1"/>
  <c r="B528" i="1"/>
  <c r="B530" i="1"/>
  <c r="B531" i="1"/>
  <c r="K519" i="1"/>
  <c r="K520" i="1"/>
  <c r="K521" i="1"/>
  <c r="K522" i="1"/>
  <c r="K523" i="1"/>
  <c r="K524" i="1"/>
  <c r="K525" i="1"/>
  <c r="K526" i="1"/>
  <c r="K527" i="1"/>
  <c r="K528" i="1"/>
  <c r="K530" i="1"/>
  <c r="K531" i="1"/>
  <c r="J518" i="1"/>
  <c r="J519" i="1"/>
  <c r="J520" i="1"/>
  <c r="J521" i="1"/>
  <c r="J522" i="1"/>
  <c r="J523" i="1"/>
  <c r="J524" i="1"/>
  <c r="J525" i="1"/>
  <c r="J526" i="1"/>
  <c r="J527" i="1"/>
  <c r="J528" i="1"/>
  <c r="J530" i="1"/>
  <c r="J531" i="1"/>
  <c r="K518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00" i="1"/>
  <c r="B469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B486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K265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K471" i="1"/>
  <c r="K470" i="1"/>
  <c r="J471" i="1"/>
  <c r="J470" i="1"/>
  <c r="B471" i="1"/>
  <c r="B470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K323" i="1"/>
  <c r="K322" i="1"/>
  <c r="K321" i="1"/>
  <c r="K320" i="1"/>
  <c r="K319" i="1"/>
  <c r="K318" i="1"/>
  <c r="K317" i="1"/>
  <c r="K316" i="1"/>
  <c r="K315" i="1"/>
  <c r="K314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4" i="1"/>
  <c r="J323" i="1"/>
  <c r="J322" i="1"/>
  <c r="J321" i="1"/>
  <c r="J320" i="1"/>
  <c r="J319" i="1"/>
  <c r="J318" i="1"/>
  <c r="J317" i="1"/>
  <c r="J316" i="1"/>
  <c r="J315" i="1"/>
  <c r="J314" i="1"/>
  <c r="B315" i="1"/>
  <c r="B316" i="1"/>
  <c r="B317" i="1"/>
  <c r="B318" i="1"/>
  <c r="B319" i="1"/>
  <c r="B320" i="1"/>
  <c r="B321" i="1"/>
  <c r="B322" i="1"/>
  <c r="B323" i="1"/>
  <c r="B324" i="1"/>
  <c r="K263" i="1"/>
  <c r="K262" i="1"/>
  <c r="K261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170" i="1"/>
  <c r="J243" i="1"/>
  <c r="J242" i="1"/>
  <c r="J241" i="1"/>
  <c r="J240" i="1"/>
  <c r="J239" i="1"/>
  <c r="J238" i="1"/>
  <c r="J237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37" i="1"/>
  <c r="B238" i="1"/>
  <c r="B239" i="1"/>
  <c r="B240" i="1"/>
  <c r="B241" i="1"/>
  <c r="B242" i="1"/>
  <c r="B243" i="1"/>
  <c r="B244" i="1"/>
  <c r="B245" i="1"/>
  <c r="B160" i="1"/>
  <c r="B161" i="1"/>
  <c r="B162" i="1"/>
  <c r="B163" i="1"/>
  <c r="B164" i="1"/>
  <c r="B165" i="1"/>
  <c r="B166" i="1"/>
  <c r="B167" i="1"/>
  <c r="B168" i="1"/>
  <c r="J160" i="1"/>
  <c r="J161" i="1"/>
  <c r="J162" i="1"/>
  <c r="J163" i="1"/>
  <c r="J164" i="1"/>
  <c r="J165" i="1"/>
  <c r="J166" i="1"/>
  <c r="J167" i="1"/>
  <c r="J168" i="1"/>
  <c r="J169" i="1"/>
  <c r="J170" i="1"/>
  <c r="K168" i="1"/>
  <c r="K167" i="1"/>
  <c r="K166" i="1"/>
  <c r="K165" i="1"/>
  <c r="K164" i="1"/>
  <c r="K163" i="1"/>
  <c r="K162" i="1"/>
  <c r="K161" i="1"/>
  <c r="K160" i="1"/>
  <c r="K156" i="1"/>
  <c r="J156" i="1"/>
  <c r="K150" i="1"/>
  <c r="K151" i="1"/>
  <c r="K152" i="1"/>
  <c r="K153" i="1"/>
  <c r="J143" i="1"/>
  <c r="J144" i="1"/>
  <c r="J145" i="1"/>
  <c r="J146" i="1"/>
  <c r="J147" i="1"/>
  <c r="J148" i="1"/>
  <c r="J149" i="1"/>
  <c r="J150" i="1"/>
  <c r="J151" i="1"/>
  <c r="J152" i="1"/>
  <c r="J153" i="1"/>
  <c r="B156" i="1"/>
  <c r="B149" i="1"/>
  <c r="B150" i="1"/>
  <c r="B151" i="1"/>
  <c r="B152" i="1"/>
  <c r="B153" i="1"/>
  <c r="B154" i="1"/>
  <c r="K149" i="1"/>
  <c r="K89" i="1"/>
  <c r="J89" i="1"/>
  <c r="B89" i="1"/>
  <c r="K28" i="1"/>
  <c r="J28" i="1"/>
  <c r="B28" i="1"/>
  <c r="K9" i="1"/>
  <c r="J9" i="1"/>
  <c r="B9" i="1"/>
  <c r="K7" i="1"/>
  <c r="J7" i="1"/>
  <c r="B7" i="1"/>
  <c r="L109" i="6" l="1"/>
  <c r="L82" i="6"/>
  <c r="L39" i="6"/>
  <c r="L47" i="6"/>
  <c r="L81" i="6"/>
  <c r="L126" i="6"/>
  <c r="L137" i="6"/>
  <c r="L16" i="6"/>
  <c r="L3" i="6"/>
  <c r="L105" i="6"/>
  <c r="L136" i="6"/>
  <c r="L108" i="5"/>
  <c r="L54" i="5"/>
  <c r="L135" i="5"/>
  <c r="L81" i="5"/>
  <c r="L38" i="5"/>
  <c r="L46" i="5"/>
  <c r="L80" i="5"/>
  <c r="L104" i="5"/>
  <c r="L125" i="5"/>
  <c r="L16" i="5"/>
  <c r="L136" i="5"/>
  <c r="L3" i="5"/>
  <c r="L127" i="6"/>
  <c r="L55" i="6"/>
  <c r="N121" i="6"/>
  <c r="L126" i="5"/>
  <c r="N120" i="5"/>
  <c r="B468" i="1" l="1"/>
  <c r="K469" i="1"/>
  <c r="J469" i="1"/>
  <c r="K468" i="1"/>
  <c r="J468" i="1"/>
  <c r="B466" i="1" l="1"/>
  <c r="B467" i="1"/>
  <c r="B465" i="1"/>
  <c r="J466" i="1"/>
  <c r="J467" i="1"/>
  <c r="K467" i="1"/>
  <c r="K466" i="1"/>
  <c r="K465" i="1"/>
  <c r="J465" i="1"/>
  <c r="J464" i="1"/>
  <c r="B461" i="1"/>
  <c r="B462" i="1"/>
  <c r="B463" i="1"/>
  <c r="B464" i="1"/>
  <c r="J462" i="1"/>
  <c r="J463" i="1"/>
  <c r="K464" i="1"/>
  <c r="K463" i="1"/>
  <c r="K462" i="1"/>
  <c r="K461" i="1"/>
  <c r="J461" i="1"/>
  <c r="B458" i="1"/>
  <c r="B459" i="1"/>
  <c r="B460" i="1"/>
  <c r="J459" i="1"/>
  <c r="J460" i="1"/>
  <c r="K458" i="1"/>
  <c r="K459" i="1"/>
  <c r="K460" i="1"/>
  <c r="J458" i="1"/>
  <c r="B455" i="1"/>
  <c r="B456" i="1"/>
  <c r="B457" i="1"/>
  <c r="J455" i="1"/>
  <c r="J456" i="1"/>
  <c r="J457" i="1"/>
  <c r="K456" i="1"/>
  <c r="K457" i="1"/>
  <c r="K455" i="1"/>
  <c r="B452" i="1"/>
  <c r="B453" i="1"/>
  <c r="B454" i="1"/>
  <c r="K452" i="1"/>
  <c r="K453" i="1"/>
  <c r="K454" i="1"/>
  <c r="J454" i="1"/>
  <c r="J452" i="1"/>
  <c r="J453" i="1"/>
  <c r="K450" i="1"/>
  <c r="K451" i="1"/>
  <c r="J450" i="1"/>
  <c r="J451" i="1"/>
  <c r="J449" i="1"/>
  <c r="K449" i="1"/>
  <c r="B449" i="1"/>
  <c r="B450" i="1"/>
  <c r="B451" i="1"/>
  <c r="K448" i="1"/>
  <c r="J448" i="1"/>
  <c r="J447" i="1"/>
  <c r="K447" i="1"/>
  <c r="B446" i="1"/>
  <c r="B447" i="1"/>
  <c r="B448" i="1"/>
  <c r="B444" i="1"/>
  <c r="B445" i="1"/>
  <c r="K445" i="1"/>
  <c r="K446" i="1"/>
  <c r="J445" i="1"/>
  <c r="J446" i="1"/>
  <c r="K444" i="1"/>
  <c r="J444" i="1"/>
  <c r="K439" i="1"/>
  <c r="K440" i="1"/>
  <c r="K441" i="1"/>
  <c r="K442" i="1"/>
  <c r="K443" i="1"/>
  <c r="J440" i="1"/>
  <c r="J441" i="1"/>
  <c r="J442" i="1"/>
  <c r="J443" i="1"/>
  <c r="J439" i="1"/>
  <c r="B439" i="1"/>
  <c r="B440" i="1"/>
  <c r="B441" i="1"/>
  <c r="B442" i="1"/>
  <c r="B443" i="1"/>
  <c r="K429" i="1"/>
  <c r="K430" i="1"/>
  <c r="K431" i="1"/>
  <c r="K432" i="1"/>
  <c r="K433" i="1"/>
  <c r="K434" i="1"/>
  <c r="K435" i="1"/>
  <c r="K436" i="1"/>
  <c r="K437" i="1"/>
  <c r="K438" i="1"/>
  <c r="J430" i="1"/>
  <c r="J431" i="1"/>
  <c r="J432" i="1"/>
  <c r="J433" i="1"/>
  <c r="J434" i="1"/>
  <c r="J435" i="1"/>
  <c r="J436" i="1"/>
  <c r="J437" i="1"/>
  <c r="J438" i="1"/>
  <c r="B432" i="1"/>
  <c r="B433" i="1"/>
  <c r="B434" i="1"/>
  <c r="B435" i="1"/>
  <c r="B436" i="1"/>
  <c r="B437" i="1"/>
  <c r="B438" i="1"/>
  <c r="J429" i="1"/>
  <c r="B431" i="1"/>
  <c r="B430" i="1"/>
  <c r="B429" i="1"/>
  <c r="K428" i="1"/>
  <c r="K427" i="1"/>
  <c r="K426" i="1"/>
  <c r="K425" i="1"/>
  <c r="K424" i="1"/>
  <c r="K423" i="1"/>
  <c r="J423" i="1"/>
  <c r="J424" i="1"/>
  <c r="J425" i="1"/>
  <c r="J426" i="1"/>
  <c r="J427" i="1"/>
  <c r="J428" i="1"/>
  <c r="B424" i="1"/>
  <c r="B425" i="1"/>
  <c r="B426" i="1"/>
  <c r="B427" i="1"/>
  <c r="B428" i="1"/>
  <c r="B423" i="1"/>
  <c r="B420" i="1"/>
  <c r="B421" i="1"/>
  <c r="B422" i="1"/>
  <c r="K420" i="1"/>
  <c r="K421" i="1"/>
  <c r="K422" i="1"/>
  <c r="J420" i="1"/>
  <c r="J421" i="1"/>
  <c r="J422" i="1"/>
  <c r="J419" i="1"/>
  <c r="K419" i="1"/>
  <c r="B419" i="1"/>
  <c r="J418" i="1"/>
  <c r="K418" i="1"/>
  <c r="J417" i="1"/>
  <c r="K417" i="1"/>
  <c r="B417" i="1"/>
  <c r="B418" i="1"/>
  <c r="J416" i="1" l="1"/>
  <c r="K416" i="1"/>
  <c r="B416" i="1"/>
  <c r="J415" i="1" l="1"/>
  <c r="K415" i="1"/>
  <c r="B415" i="1"/>
  <c r="J413" i="1" l="1"/>
  <c r="J414" i="1"/>
  <c r="K414" i="1"/>
  <c r="K413" i="1"/>
  <c r="K412" i="1"/>
  <c r="J412" i="1"/>
  <c r="B414" i="1"/>
  <c r="B413" i="1"/>
  <c r="B412" i="1"/>
  <c r="AK13" i="2" l="1"/>
  <c r="B410" i="1" l="1"/>
  <c r="B411" i="1"/>
  <c r="B409" i="1"/>
  <c r="J411" i="1"/>
  <c r="K411" i="1"/>
  <c r="K408" i="1"/>
  <c r="K409" i="1"/>
  <c r="K410" i="1"/>
  <c r="J410" i="1"/>
  <c r="J409" i="1"/>
  <c r="K407" i="1" l="1"/>
  <c r="J407" i="1"/>
  <c r="J408" i="1"/>
  <c r="K406" i="1"/>
  <c r="J406" i="1"/>
  <c r="B408" i="1"/>
  <c r="B407" i="1"/>
  <c r="B406" i="1"/>
  <c r="K401" i="1" l="1"/>
  <c r="K402" i="1"/>
  <c r="K403" i="1"/>
  <c r="K404" i="1"/>
  <c r="K405" i="1"/>
  <c r="J401" i="1"/>
  <c r="J402" i="1"/>
  <c r="J403" i="1"/>
  <c r="J404" i="1"/>
  <c r="J405" i="1"/>
  <c r="B405" i="1"/>
  <c r="B404" i="1"/>
  <c r="B403" i="1"/>
  <c r="B402" i="1"/>
  <c r="B401" i="1"/>
  <c r="K399" i="1"/>
  <c r="K400" i="1"/>
  <c r="J399" i="1"/>
  <c r="J400" i="1"/>
  <c r="B400" i="1"/>
  <c r="B399" i="1"/>
  <c r="J398" i="1"/>
  <c r="K398" i="1"/>
  <c r="B398" i="1"/>
  <c r="J183" i="1" l="1"/>
  <c r="K183" i="1"/>
  <c r="J182" i="1"/>
  <c r="K182" i="1"/>
  <c r="B183" i="1"/>
  <c r="B182" i="1"/>
  <c r="K192" i="1" l="1"/>
  <c r="J192" i="1"/>
  <c r="K191" i="1"/>
  <c r="J191" i="1"/>
  <c r="B192" i="1"/>
  <c r="B191" i="1"/>
  <c r="J397" i="1"/>
  <c r="K397" i="1"/>
  <c r="J396" i="1"/>
  <c r="K396" i="1"/>
  <c r="B397" i="1"/>
  <c r="B396" i="1"/>
  <c r="B390" i="1" l="1"/>
  <c r="B391" i="1"/>
  <c r="B392" i="1"/>
  <c r="B393" i="1"/>
  <c r="B394" i="1"/>
  <c r="B395" i="1"/>
  <c r="K395" i="1"/>
  <c r="K394" i="1"/>
  <c r="J395" i="1"/>
  <c r="J394" i="1"/>
  <c r="K393" i="1"/>
  <c r="J391" i="1"/>
  <c r="J392" i="1"/>
  <c r="J393" i="1"/>
  <c r="K392" i="1"/>
  <c r="K391" i="1"/>
  <c r="K390" i="1"/>
  <c r="J390" i="1"/>
  <c r="K389" i="1"/>
  <c r="K388" i="1"/>
  <c r="J389" i="1"/>
  <c r="J388" i="1"/>
  <c r="B389" i="1"/>
  <c r="B388" i="1"/>
  <c r="K387" i="1"/>
  <c r="J387" i="1"/>
  <c r="J385" i="1"/>
  <c r="K385" i="1"/>
  <c r="B387" i="1"/>
  <c r="B385" i="1"/>
  <c r="K384" i="1" l="1"/>
  <c r="J384" i="1"/>
  <c r="B384" i="1"/>
  <c r="K383" i="1"/>
  <c r="J383" i="1"/>
  <c r="B383" i="1"/>
  <c r="K382" i="1"/>
  <c r="J382" i="1"/>
  <c r="B382" i="1"/>
  <c r="K381" i="1"/>
  <c r="J381" i="1"/>
  <c r="B381" i="1"/>
  <c r="K380" i="1"/>
  <c r="J380" i="1"/>
  <c r="B380" i="1"/>
  <c r="K379" i="1"/>
  <c r="J379" i="1"/>
  <c r="B379" i="1"/>
  <c r="K378" i="1"/>
  <c r="J378" i="1"/>
  <c r="B378" i="1"/>
  <c r="K377" i="1"/>
  <c r="J377" i="1"/>
  <c r="B377" i="1"/>
  <c r="K376" i="1"/>
  <c r="J376" i="1"/>
  <c r="B376" i="1"/>
  <c r="K375" i="1"/>
  <c r="J375" i="1"/>
  <c r="B375" i="1"/>
  <c r="K372" i="1" l="1"/>
  <c r="J372" i="1"/>
  <c r="B372" i="1"/>
  <c r="K370" i="1"/>
  <c r="K371" i="1"/>
  <c r="J370" i="1"/>
  <c r="J371" i="1"/>
  <c r="B371" i="1"/>
  <c r="B370" i="1"/>
  <c r="K367" i="1"/>
  <c r="K368" i="1"/>
  <c r="K369" i="1"/>
  <c r="J367" i="1"/>
  <c r="J368" i="1"/>
  <c r="J369" i="1"/>
  <c r="J366" i="1"/>
  <c r="K366" i="1"/>
  <c r="B368" i="1"/>
  <c r="B369" i="1"/>
  <c r="B366" i="1"/>
  <c r="B367" i="1"/>
  <c r="J365" i="1"/>
  <c r="K365" i="1"/>
  <c r="B365" i="1"/>
  <c r="J82" i="1" l="1"/>
  <c r="B374" i="1" l="1"/>
  <c r="K374" i="1"/>
  <c r="J374" i="1"/>
  <c r="K373" i="1"/>
  <c r="J373" i="1"/>
  <c r="B373" i="1"/>
  <c r="B364" i="1" l="1"/>
  <c r="J364" i="1"/>
  <c r="K364" i="1"/>
  <c r="K363" i="1"/>
  <c r="J363" i="1"/>
  <c r="B363" i="1"/>
  <c r="B106" i="1"/>
  <c r="B107" i="1"/>
  <c r="B108" i="1"/>
  <c r="B109" i="1"/>
  <c r="B110" i="1"/>
  <c r="K110" i="1"/>
  <c r="J110" i="1"/>
  <c r="K109" i="1"/>
  <c r="J109" i="1"/>
  <c r="K108" i="1"/>
  <c r="J108" i="1"/>
  <c r="K107" i="1"/>
  <c r="J107" i="1"/>
  <c r="K106" i="1"/>
  <c r="J106" i="1"/>
  <c r="B362" i="1" l="1"/>
  <c r="K362" i="1"/>
  <c r="K361" i="1"/>
  <c r="J362" i="1"/>
  <c r="J361" i="1"/>
  <c r="B361" i="1"/>
  <c r="B358" i="1"/>
  <c r="B359" i="1"/>
  <c r="B360" i="1"/>
  <c r="K358" i="1"/>
  <c r="K359" i="1"/>
  <c r="K360" i="1"/>
  <c r="J358" i="1"/>
  <c r="J359" i="1"/>
  <c r="J360" i="1"/>
  <c r="J357" i="1"/>
  <c r="K357" i="1"/>
  <c r="B357" i="1"/>
  <c r="B353" i="1" l="1"/>
  <c r="B354" i="1"/>
  <c r="B355" i="1"/>
  <c r="B356" i="1"/>
  <c r="J355" i="1"/>
  <c r="J356" i="1"/>
  <c r="K356" i="1"/>
  <c r="K355" i="1"/>
  <c r="J354" i="1"/>
  <c r="K354" i="1"/>
  <c r="K353" i="1"/>
  <c r="J353" i="1"/>
  <c r="J352" i="1"/>
  <c r="K352" i="1"/>
  <c r="B352" i="1"/>
  <c r="B351" i="1" l="1"/>
  <c r="K351" i="1"/>
  <c r="J351" i="1"/>
  <c r="K350" i="1"/>
  <c r="J350" i="1"/>
  <c r="B350" i="1"/>
  <c r="K349" i="1"/>
  <c r="J349" i="1"/>
  <c r="B349" i="1"/>
  <c r="K146" i="1"/>
  <c r="B146" i="1"/>
  <c r="K348" i="1"/>
  <c r="J348" i="1"/>
  <c r="B348" i="1"/>
  <c r="K345" i="1"/>
  <c r="K347" i="1"/>
  <c r="J347" i="1"/>
  <c r="J345" i="1"/>
  <c r="B347" i="1"/>
  <c r="B345" i="1"/>
  <c r="K344" i="1"/>
  <c r="J344" i="1"/>
  <c r="B344" i="1"/>
  <c r="B343" i="1"/>
  <c r="K343" i="1"/>
  <c r="J343" i="1"/>
  <c r="J342" i="1"/>
  <c r="K342" i="1"/>
  <c r="B342" i="1"/>
  <c r="K117" i="1" l="1"/>
  <c r="K118" i="1"/>
  <c r="J117" i="1"/>
  <c r="J118" i="1"/>
  <c r="B118" i="1"/>
  <c r="B117" i="1"/>
  <c r="K341" i="1"/>
  <c r="J341" i="1"/>
  <c r="K340" i="1"/>
  <c r="J340" i="1"/>
  <c r="B341" i="1"/>
  <c r="B340" i="1"/>
  <c r="K327" i="1"/>
  <c r="J327" i="1"/>
  <c r="B327" i="1"/>
  <c r="B325" i="1" l="1"/>
  <c r="B326" i="1"/>
  <c r="K326" i="1"/>
  <c r="J326" i="1"/>
  <c r="K325" i="1"/>
  <c r="J325" i="1"/>
  <c r="K324" i="1"/>
  <c r="J324" i="1"/>
  <c r="B314" i="1"/>
  <c r="K198" i="1" l="1"/>
  <c r="J198" i="1"/>
  <c r="B198" i="1"/>
  <c r="K312" i="1"/>
  <c r="K313" i="1"/>
  <c r="K311" i="1"/>
  <c r="J313" i="1"/>
  <c r="J312" i="1"/>
  <c r="J311" i="1"/>
  <c r="B312" i="1"/>
  <c r="B313" i="1"/>
  <c r="B311" i="1"/>
  <c r="K310" i="1" l="1"/>
  <c r="J310" i="1"/>
  <c r="B310" i="1"/>
  <c r="J309" i="1"/>
  <c r="K309" i="1"/>
  <c r="B309" i="1"/>
  <c r="B304" i="1"/>
  <c r="B305" i="1"/>
  <c r="B306" i="1"/>
  <c r="B307" i="1"/>
  <c r="B308" i="1"/>
  <c r="K308" i="1"/>
  <c r="J308" i="1"/>
  <c r="K307" i="1"/>
  <c r="K306" i="1"/>
  <c r="J307" i="1"/>
  <c r="J306" i="1"/>
  <c r="K305" i="1"/>
  <c r="K304" i="1"/>
  <c r="K303" i="1"/>
  <c r="J305" i="1"/>
  <c r="J304" i="1"/>
  <c r="J303" i="1"/>
  <c r="B303" i="1"/>
  <c r="K202" i="1"/>
  <c r="K201" i="1"/>
  <c r="J202" i="1"/>
  <c r="J201" i="1"/>
  <c r="B202" i="1"/>
  <c r="B201" i="1"/>
  <c r="K64" i="1" l="1"/>
  <c r="J64" i="1"/>
  <c r="B64" i="1"/>
  <c r="K302" i="1" l="1"/>
  <c r="J302" i="1"/>
  <c r="J301" i="1"/>
  <c r="K301" i="1"/>
  <c r="B302" i="1"/>
  <c r="B301" i="1"/>
  <c r="K230" i="1"/>
  <c r="J230" i="1"/>
  <c r="B230" i="1"/>
  <c r="K300" i="1"/>
  <c r="J300" i="1"/>
  <c r="B300" i="1"/>
  <c r="K299" i="1"/>
  <c r="J299" i="1"/>
  <c r="B299" i="1"/>
  <c r="K298" i="1"/>
  <c r="J298" i="1"/>
  <c r="B298" i="1"/>
  <c r="K297" i="1"/>
  <c r="J297" i="1"/>
  <c r="B297" i="1"/>
  <c r="K296" i="1"/>
  <c r="J296" i="1"/>
  <c r="B296" i="1"/>
  <c r="K295" i="1"/>
  <c r="J295" i="1"/>
  <c r="B295" i="1"/>
  <c r="K294" i="1"/>
  <c r="J294" i="1"/>
  <c r="B294" i="1"/>
  <c r="K293" i="1"/>
  <c r="J293" i="1"/>
  <c r="B293" i="1"/>
  <c r="K292" i="1"/>
  <c r="J292" i="1"/>
  <c r="B292" i="1"/>
  <c r="K291" i="1"/>
  <c r="J291" i="1"/>
  <c r="B291" i="1"/>
  <c r="K290" i="1"/>
  <c r="J290" i="1"/>
  <c r="B290" i="1"/>
  <c r="K289" i="1"/>
  <c r="J289" i="1"/>
  <c r="B289" i="1"/>
  <c r="K288" i="1"/>
  <c r="J288" i="1"/>
  <c r="B288" i="1"/>
  <c r="K287" i="1"/>
  <c r="J287" i="1"/>
  <c r="B287" i="1"/>
  <c r="K286" i="1"/>
  <c r="J286" i="1"/>
  <c r="B286" i="1"/>
  <c r="K285" i="1"/>
  <c r="J285" i="1"/>
  <c r="B285" i="1"/>
  <c r="K284" i="1"/>
  <c r="J284" i="1"/>
  <c r="B284" i="1"/>
  <c r="K283" i="1"/>
  <c r="J283" i="1"/>
  <c r="B283" i="1"/>
  <c r="K282" i="1"/>
  <c r="J282" i="1"/>
  <c r="B282" i="1"/>
  <c r="J281" i="1"/>
  <c r="B281" i="1"/>
  <c r="J280" i="1"/>
  <c r="B280" i="1"/>
  <c r="J279" i="1"/>
  <c r="B279" i="1"/>
  <c r="J278" i="1"/>
  <c r="B278" i="1"/>
  <c r="J277" i="1"/>
  <c r="B277" i="1"/>
  <c r="B263" i="1"/>
  <c r="J262" i="1"/>
  <c r="B262" i="1"/>
  <c r="J261" i="1"/>
  <c r="B261" i="1"/>
  <c r="K260" i="1"/>
  <c r="J260" i="1"/>
  <c r="B260" i="1"/>
  <c r="K259" i="1"/>
  <c r="J259" i="1"/>
  <c r="B259" i="1"/>
  <c r="K258" i="1"/>
  <c r="J258" i="1"/>
  <c r="B258" i="1"/>
  <c r="K257" i="1"/>
  <c r="J257" i="1"/>
  <c r="B257" i="1"/>
  <c r="K256" i="1"/>
  <c r="J256" i="1"/>
  <c r="B256" i="1"/>
  <c r="K255" i="1"/>
  <c r="J255" i="1"/>
  <c r="B255" i="1"/>
  <c r="K254" i="1"/>
  <c r="J254" i="1"/>
  <c r="B254" i="1"/>
  <c r="K253" i="1"/>
  <c r="J253" i="1"/>
  <c r="B253" i="1"/>
  <c r="K252" i="1"/>
  <c r="J252" i="1"/>
  <c r="B252" i="1"/>
  <c r="K251" i="1"/>
  <c r="J251" i="1"/>
  <c r="B251" i="1"/>
  <c r="K250" i="1"/>
  <c r="J250" i="1"/>
  <c r="B250" i="1"/>
  <c r="K249" i="1"/>
  <c r="J249" i="1"/>
  <c r="B249" i="1"/>
  <c r="J248" i="1"/>
  <c r="B248" i="1"/>
  <c r="J247" i="1"/>
  <c r="B247" i="1"/>
  <c r="J246" i="1"/>
  <c r="B246" i="1"/>
  <c r="J245" i="1"/>
  <c r="J244" i="1"/>
  <c r="J236" i="1"/>
  <c r="B236" i="1"/>
  <c r="J235" i="1"/>
  <c r="B235" i="1"/>
  <c r="K234" i="1"/>
  <c r="J234" i="1"/>
  <c r="B234" i="1"/>
  <c r="K233" i="1"/>
  <c r="J233" i="1"/>
  <c r="B233" i="1"/>
  <c r="K232" i="1"/>
  <c r="J232" i="1"/>
  <c r="B232" i="1"/>
  <c r="K231" i="1"/>
  <c r="J231" i="1"/>
  <c r="B231" i="1"/>
  <c r="K229" i="1"/>
  <c r="J229" i="1"/>
  <c r="B229" i="1"/>
  <c r="K228" i="1"/>
  <c r="J228" i="1"/>
  <c r="B228" i="1"/>
  <c r="K227" i="1"/>
  <c r="J227" i="1"/>
  <c r="B227" i="1"/>
  <c r="K226" i="1"/>
  <c r="J226" i="1"/>
  <c r="B226" i="1"/>
  <c r="K225" i="1"/>
  <c r="J225" i="1"/>
  <c r="B225" i="1"/>
  <c r="K224" i="1"/>
  <c r="J224" i="1"/>
  <c r="B224" i="1"/>
  <c r="K223" i="1"/>
  <c r="J223" i="1"/>
  <c r="B223" i="1"/>
  <c r="K222" i="1"/>
  <c r="J222" i="1"/>
  <c r="B222" i="1"/>
  <c r="K221" i="1"/>
  <c r="J221" i="1"/>
  <c r="B221" i="1"/>
  <c r="K220" i="1"/>
  <c r="J220" i="1"/>
  <c r="B220" i="1"/>
  <c r="K219" i="1"/>
  <c r="J219" i="1"/>
  <c r="B219" i="1"/>
  <c r="K218" i="1"/>
  <c r="J218" i="1"/>
  <c r="B218" i="1"/>
  <c r="K217" i="1"/>
  <c r="J217" i="1"/>
  <c r="B217" i="1"/>
  <c r="K216" i="1"/>
  <c r="J216" i="1"/>
  <c r="B216" i="1"/>
  <c r="K215" i="1"/>
  <c r="J215" i="1"/>
  <c r="B215" i="1"/>
  <c r="K214" i="1"/>
  <c r="J214" i="1"/>
  <c r="B214" i="1"/>
  <c r="K213" i="1"/>
  <c r="J213" i="1"/>
  <c r="B213" i="1"/>
  <c r="K212" i="1"/>
  <c r="J212" i="1"/>
  <c r="B212" i="1"/>
  <c r="K211" i="1"/>
  <c r="J211" i="1"/>
  <c r="B211" i="1"/>
  <c r="K210" i="1"/>
  <c r="J210" i="1"/>
  <c r="B210" i="1"/>
  <c r="K209" i="1"/>
  <c r="J209" i="1"/>
  <c r="B209" i="1"/>
  <c r="K208" i="1"/>
  <c r="J208" i="1"/>
  <c r="B208" i="1"/>
  <c r="K207" i="1"/>
  <c r="J207" i="1"/>
  <c r="B207" i="1"/>
  <c r="K206" i="1"/>
  <c r="J206" i="1"/>
  <c r="B206" i="1"/>
  <c r="K205" i="1"/>
  <c r="J205" i="1"/>
  <c r="B205" i="1"/>
  <c r="K204" i="1"/>
  <c r="J204" i="1"/>
  <c r="B204" i="1"/>
  <c r="K203" i="1"/>
  <c r="J203" i="1"/>
  <c r="B203" i="1"/>
  <c r="K200" i="1"/>
  <c r="J200" i="1"/>
  <c r="B200" i="1"/>
  <c r="K199" i="1"/>
  <c r="J199" i="1"/>
  <c r="B199" i="1"/>
  <c r="K197" i="1"/>
  <c r="J197" i="1"/>
  <c r="B197" i="1"/>
  <c r="K196" i="1"/>
  <c r="J196" i="1"/>
  <c r="B196" i="1"/>
  <c r="K195" i="1"/>
  <c r="J195" i="1"/>
  <c r="B195" i="1"/>
  <c r="K194" i="1"/>
  <c r="J194" i="1"/>
  <c r="B194" i="1"/>
  <c r="K193" i="1"/>
  <c r="J193" i="1"/>
  <c r="B193" i="1"/>
  <c r="K190" i="1"/>
  <c r="J190" i="1"/>
  <c r="B190" i="1"/>
  <c r="K189" i="1"/>
  <c r="J189" i="1"/>
  <c r="B189" i="1"/>
  <c r="K188" i="1"/>
  <c r="J188" i="1"/>
  <c r="B188" i="1"/>
  <c r="K187" i="1"/>
  <c r="J187" i="1"/>
  <c r="B187" i="1"/>
  <c r="K186" i="1"/>
  <c r="J186" i="1"/>
  <c r="B186" i="1"/>
  <c r="K185" i="1"/>
  <c r="J185" i="1"/>
  <c r="B185" i="1"/>
  <c r="K184" i="1"/>
  <c r="J184" i="1"/>
  <c r="B184" i="1"/>
  <c r="K181" i="1"/>
  <c r="J181" i="1"/>
  <c r="B181" i="1"/>
  <c r="K180" i="1"/>
  <c r="J180" i="1"/>
  <c r="B180" i="1"/>
  <c r="K179" i="1"/>
  <c r="J179" i="1"/>
  <c r="B179" i="1"/>
  <c r="K178" i="1"/>
  <c r="J178" i="1"/>
  <c r="B178" i="1"/>
  <c r="K177" i="1"/>
  <c r="J177" i="1"/>
  <c r="B177" i="1"/>
  <c r="K176" i="1"/>
  <c r="J176" i="1"/>
  <c r="B176" i="1"/>
  <c r="K175" i="1"/>
  <c r="J175" i="1"/>
  <c r="B175" i="1"/>
  <c r="K174" i="1"/>
  <c r="J174" i="1"/>
  <c r="B174" i="1"/>
  <c r="K173" i="1"/>
  <c r="J173" i="1"/>
  <c r="B173" i="1"/>
  <c r="K172" i="1"/>
  <c r="J172" i="1"/>
  <c r="B172" i="1"/>
  <c r="K171" i="1"/>
  <c r="J171" i="1"/>
  <c r="B171" i="1"/>
  <c r="B170" i="1"/>
  <c r="K169" i="1"/>
  <c r="B169" i="1"/>
  <c r="K159" i="1"/>
  <c r="B159" i="1"/>
  <c r="K158" i="1"/>
  <c r="J158" i="1"/>
  <c r="B158" i="1"/>
  <c r="K157" i="1"/>
  <c r="J157" i="1"/>
  <c r="B157" i="1"/>
  <c r="K155" i="1"/>
  <c r="J155" i="1"/>
  <c r="B155" i="1"/>
  <c r="K154" i="1"/>
  <c r="J154" i="1"/>
  <c r="K148" i="1"/>
  <c r="B148" i="1"/>
  <c r="K147" i="1"/>
  <c r="B147" i="1"/>
  <c r="K145" i="1"/>
  <c r="B145" i="1"/>
  <c r="K144" i="1"/>
  <c r="B144" i="1"/>
  <c r="K143" i="1"/>
  <c r="B143" i="1"/>
  <c r="K142" i="1"/>
  <c r="J142" i="1"/>
  <c r="B142" i="1"/>
  <c r="K141" i="1"/>
  <c r="J141" i="1"/>
  <c r="B141" i="1"/>
  <c r="K140" i="1"/>
  <c r="J140" i="1"/>
  <c r="B140" i="1"/>
  <c r="K139" i="1"/>
  <c r="J139" i="1"/>
  <c r="B139" i="1"/>
  <c r="K138" i="1"/>
  <c r="J138" i="1"/>
  <c r="B138" i="1"/>
  <c r="K137" i="1"/>
  <c r="J137" i="1"/>
  <c r="B137" i="1"/>
  <c r="K136" i="1"/>
  <c r="J136" i="1"/>
  <c r="B136" i="1"/>
  <c r="K135" i="1"/>
  <c r="J135" i="1"/>
  <c r="B135" i="1"/>
  <c r="K133" i="1"/>
  <c r="J133" i="1"/>
  <c r="B133" i="1"/>
  <c r="K132" i="1"/>
  <c r="J132" i="1"/>
  <c r="B132" i="1"/>
  <c r="K131" i="1"/>
  <c r="J131" i="1"/>
  <c r="B131" i="1"/>
  <c r="K130" i="1"/>
  <c r="J130" i="1"/>
  <c r="B130" i="1"/>
  <c r="K129" i="1"/>
  <c r="J129" i="1"/>
  <c r="B129" i="1"/>
  <c r="K128" i="1"/>
  <c r="J128" i="1"/>
  <c r="B128" i="1"/>
  <c r="K127" i="1"/>
  <c r="J127" i="1"/>
  <c r="B127" i="1"/>
  <c r="K126" i="1"/>
  <c r="J126" i="1"/>
  <c r="B126" i="1"/>
  <c r="K125" i="1"/>
  <c r="J125" i="1"/>
  <c r="B125" i="1"/>
  <c r="K124" i="1"/>
  <c r="J124" i="1"/>
  <c r="B124" i="1"/>
  <c r="K123" i="1"/>
  <c r="J123" i="1"/>
  <c r="B123" i="1"/>
  <c r="K122" i="1"/>
  <c r="J122" i="1"/>
  <c r="B122" i="1"/>
  <c r="K121" i="1"/>
  <c r="J121" i="1"/>
  <c r="B121" i="1"/>
  <c r="K120" i="1"/>
  <c r="J120" i="1"/>
  <c r="B120" i="1"/>
  <c r="K119" i="1"/>
  <c r="J119" i="1"/>
  <c r="B119" i="1"/>
  <c r="K116" i="1"/>
  <c r="J116" i="1"/>
  <c r="B116" i="1"/>
  <c r="K115" i="1"/>
  <c r="J115" i="1"/>
  <c r="B115" i="1"/>
  <c r="K114" i="1"/>
  <c r="J114" i="1"/>
  <c r="B114" i="1"/>
  <c r="K113" i="1"/>
  <c r="J113" i="1"/>
  <c r="B113" i="1"/>
  <c r="K112" i="1"/>
  <c r="J112" i="1"/>
  <c r="B112" i="1"/>
  <c r="K111" i="1"/>
  <c r="J111" i="1"/>
  <c r="B111" i="1"/>
  <c r="K105" i="1"/>
  <c r="J105" i="1"/>
  <c r="B105" i="1"/>
  <c r="K104" i="1"/>
  <c r="J104" i="1"/>
  <c r="B104" i="1"/>
  <c r="K103" i="1"/>
  <c r="J103" i="1"/>
  <c r="B103" i="1"/>
  <c r="K102" i="1"/>
  <c r="J102" i="1"/>
  <c r="B102" i="1"/>
  <c r="K101" i="1"/>
  <c r="J101" i="1"/>
  <c r="B101" i="1"/>
  <c r="K100" i="1"/>
  <c r="J100" i="1"/>
  <c r="B100" i="1"/>
  <c r="K99" i="1"/>
  <c r="J99" i="1"/>
  <c r="B99" i="1"/>
  <c r="K98" i="1"/>
  <c r="J98" i="1"/>
  <c r="B98" i="1"/>
  <c r="K97" i="1"/>
  <c r="J97" i="1"/>
  <c r="B97" i="1"/>
  <c r="K96" i="1"/>
  <c r="J96" i="1"/>
  <c r="B96" i="1"/>
  <c r="K95" i="1"/>
  <c r="J95" i="1"/>
  <c r="B95" i="1"/>
  <c r="K94" i="1"/>
  <c r="J94" i="1"/>
  <c r="B94" i="1"/>
  <c r="K93" i="1"/>
  <c r="J93" i="1"/>
  <c r="B93" i="1"/>
  <c r="K92" i="1"/>
  <c r="J92" i="1"/>
  <c r="B92" i="1"/>
  <c r="K91" i="1"/>
  <c r="J91" i="1"/>
  <c r="B91" i="1"/>
  <c r="K90" i="1"/>
  <c r="J90" i="1"/>
  <c r="B90" i="1"/>
  <c r="K88" i="1"/>
  <c r="J88" i="1"/>
  <c r="B88" i="1"/>
  <c r="K87" i="1"/>
  <c r="J87" i="1"/>
  <c r="B87" i="1"/>
  <c r="K86" i="1"/>
  <c r="J86" i="1"/>
  <c r="B86" i="1"/>
  <c r="K85" i="1"/>
  <c r="J85" i="1"/>
  <c r="B85" i="1"/>
  <c r="K84" i="1"/>
  <c r="J84" i="1"/>
  <c r="B84" i="1"/>
  <c r="K83" i="1"/>
  <c r="J83" i="1"/>
  <c r="B83" i="1"/>
  <c r="K82" i="1"/>
  <c r="B82" i="1"/>
  <c r="K81" i="1"/>
  <c r="J81" i="1"/>
  <c r="B81" i="1"/>
  <c r="K80" i="1"/>
  <c r="J80" i="1"/>
  <c r="B80" i="1"/>
  <c r="K79" i="1"/>
  <c r="J79" i="1"/>
  <c r="B79" i="1"/>
  <c r="K78" i="1"/>
  <c r="J78" i="1"/>
  <c r="B78" i="1"/>
  <c r="K77" i="1"/>
  <c r="J77" i="1"/>
  <c r="B77" i="1"/>
  <c r="K76" i="1"/>
  <c r="J76" i="1"/>
  <c r="B76" i="1"/>
  <c r="K75" i="1"/>
  <c r="J75" i="1"/>
  <c r="B75" i="1"/>
  <c r="K74" i="1"/>
  <c r="J74" i="1"/>
  <c r="B74" i="1"/>
  <c r="K73" i="1"/>
  <c r="J73" i="1"/>
  <c r="B73" i="1"/>
  <c r="K72" i="1"/>
  <c r="J72" i="1"/>
  <c r="B72" i="1"/>
  <c r="K71" i="1"/>
  <c r="J71" i="1"/>
  <c r="B71" i="1"/>
  <c r="K70" i="1"/>
  <c r="J70" i="1"/>
  <c r="B70" i="1"/>
  <c r="K69" i="1"/>
  <c r="J69" i="1"/>
  <c r="B69" i="1"/>
  <c r="K67" i="1"/>
  <c r="J67" i="1"/>
  <c r="B67" i="1"/>
  <c r="K66" i="1"/>
  <c r="J66" i="1"/>
  <c r="B66" i="1"/>
  <c r="K65" i="1"/>
  <c r="J65" i="1"/>
  <c r="B65" i="1"/>
  <c r="K63" i="1"/>
  <c r="J63" i="1"/>
  <c r="B63" i="1"/>
  <c r="K62" i="1"/>
  <c r="J62" i="1"/>
  <c r="B62" i="1"/>
  <c r="K61" i="1"/>
  <c r="J61" i="1"/>
  <c r="B61" i="1"/>
  <c r="K60" i="1"/>
  <c r="J60" i="1"/>
  <c r="B60" i="1"/>
  <c r="K59" i="1"/>
  <c r="J59" i="1"/>
  <c r="B59" i="1"/>
  <c r="K58" i="1"/>
  <c r="J58" i="1"/>
  <c r="B58" i="1"/>
  <c r="K57" i="1"/>
  <c r="J57" i="1"/>
  <c r="B57" i="1"/>
  <c r="K56" i="1"/>
  <c r="J56" i="1"/>
  <c r="B56" i="1"/>
  <c r="K55" i="1"/>
  <c r="J55" i="1"/>
  <c r="B55" i="1"/>
  <c r="K54" i="1"/>
  <c r="J54" i="1"/>
  <c r="B54" i="1"/>
  <c r="K53" i="1"/>
  <c r="J53" i="1"/>
  <c r="B53" i="1"/>
  <c r="K52" i="1"/>
  <c r="J52" i="1"/>
  <c r="B52" i="1"/>
  <c r="K51" i="1"/>
  <c r="J51" i="1"/>
  <c r="B51" i="1"/>
  <c r="K50" i="1"/>
  <c r="J50" i="1"/>
  <c r="B50" i="1"/>
  <c r="K49" i="1"/>
  <c r="J49" i="1"/>
  <c r="B49" i="1"/>
  <c r="K48" i="1"/>
  <c r="J48" i="1"/>
  <c r="B48" i="1"/>
  <c r="K47" i="1"/>
  <c r="J47" i="1"/>
  <c r="B47" i="1"/>
  <c r="K46" i="1"/>
  <c r="J46" i="1"/>
  <c r="B46" i="1"/>
  <c r="K45" i="1"/>
  <c r="J45" i="1"/>
  <c r="B45" i="1"/>
  <c r="K44" i="1"/>
  <c r="J44" i="1"/>
  <c r="B44" i="1"/>
  <c r="K43" i="1"/>
  <c r="J43" i="1"/>
  <c r="B43" i="1"/>
  <c r="K42" i="1"/>
  <c r="J42" i="1"/>
  <c r="B42" i="1"/>
  <c r="K41" i="1"/>
  <c r="J41" i="1"/>
  <c r="B41" i="1"/>
  <c r="K40" i="1"/>
  <c r="J40" i="1"/>
  <c r="B40" i="1"/>
  <c r="K39" i="1"/>
  <c r="J39" i="1"/>
  <c r="B39" i="1"/>
  <c r="K38" i="1"/>
  <c r="J38" i="1"/>
  <c r="B38" i="1"/>
  <c r="K37" i="1"/>
  <c r="J37" i="1"/>
  <c r="B37" i="1"/>
  <c r="K36" i="1"/>
  <c r="J36" i="1"/>
  <c r="B36" i="1"/>
  <c r="K35" i="1"/>
  <c r="J35" i="1"/>
  <c r="B35" i="1"/>
  <c r="K34" i="1"/>
  <c r="J34" i="1"/>
  <c r="B34" i="1"/>
  <c r="K33" i="1"/>
  <c r="J33" i="1"/>
  <c r="B33" i="1"/>
  <c r="K32" i="1"/>
  <c r="J32" i="1"/>
  <c r="B32" i="1"/>
  <c r="K31" i="1"/>
  <c r="J31" i="1"/>
  <c r="B31" i="1"/>
  <c r="K30" i="1"/>
  <c r="J30" i="1"/>
  <c r="B30" i="1"/>
  <c r="K29" i="1"/>
  <c r="J29" i="1"/>
  <c r="B29" i="1"/>
  <c r="K27" i="1"/>
  <c r="J27" i="1"/>
  <c r="B27" i="1"/>
  <c r="K26" i="1"/>
  <c r="J26" i="1"/>
  <c r="B26" i="1"/>
  <c r="K25" i="1"/>
  <c r="J25" i="1"/>
  <c r="B25" i="1"/>
  <c r="K24" i="1"/>
  <c r="J24" i="1"/>
  <c r="B24" i="1"/>
  <c r="K23" i="1"/>
  <c r="J23" i="1"/>
  <c r="B23" i="1"/>
  <c r="K22" i="1"/>
  <c r="J22" i="1"/>
  <c r="B22" i="1"/>
  <c r="K21" i="1"/>
  <c r="J21" i="1"/>
  <c r="B21" i="1"/>
  <c r="K20" i="1"/>
  <c r="J20" i="1"/>
  <c r="B20" i="1"/>
  <c r="K19" i="1"/>
  <c r="J19" i="1"/>
  <c r="B19" i="1"/>
  <c r="K18" i="1"/>
  <c r="J18" i="1"/>
  <c r="B18" i="1"/>
  <c r="K17" i="1"/>
  <c r="J17" i="1"/>
  <c r="B17" i="1"/>
  <c r="K16" i="1"/>
  <c r="J16" i="1"/>
  <c r="B16" i="1"/>
  <c r="K15" i="1"/>
  <c r="J15" i="1"/>
  <c r="B15" i="1"/>
  <c r="K14" i="1"/>
  <c r="J14" i="1"/>
  <c r="B14" i="1"/>
  <c r="K13" i="1"/>
  <c r="J13" i="1"/>
  <c r="B13" i="1"/>
  <c r="K12" i="1"/>
  <c r="J12" i="1"/>
  <c r="B12" i="1"/>
  <c r="K11" i="1"/>
  <c r="J11" i="1"/>
  <c r="B11" i="1"/>
  <c r="K10" i="1"/>
  <c r="J10" i="1"/>
  <c r="B10" i="1"/>
  <c r="K8" i="1"/>
  <c r="J8" i="1"/>
  <c r="B8" i="1"/>
  <c r="K6" i="1"/>
  <c r="J6" i="1"/>
  <c r="B6" i="1"/>
  <c r="K5" i="1"/>
  <c r="J5" i="1"/>
  <c r="B5" i="1"/>
  <c r="K4" i="1"/>
  <c r="J4" i="1"/>
  <c r="B4" i="1"/>
  <c r="K3" i="1"/>
  <c r="J3" i="1"/>
  <c r="B3" i="1"/>
  <c r="S28" i="2" l="1"/>
  <c r="S30" i="2"/>
  <c r="S29" i="2"/>
  <c r="I20" i="3"/>
  <c r="I29" i="2"/>
  <c r="I34" i="2"/>
  <c r="I31" i="2"/>
  <c r="I35" i="2"/>
  <c r="I33" i="2"/>
  <c r="N29" i="2"/>
  <c r="I32" i="2"/>
  <c r="M30" i="2"/>
  <c r="P30" i="2" s="1"/>
  <c r="R30" i="2" s="1"/>
  <c r="I28" i="2"/>
  <c r="M29" i="2"/>
  <c r="P29" i="2" s="1"/>
  <c r="R29" i="2" s="1"/>
  <c r="I30" i="2"/>
  <c r="N30" i="2"/>
  <c r="I17" i="3"/>
  <c r="N39" i="2"/>
  <c r="N40" i="2"/>
  <c r="M39" i="2"/>
  <c r="M40" i="2"/>
  <c r="N38" i="2"/>
  <c r="M38" i="2"/>
  <c r="D33" i="2"/>
  <c r="D37" i="2"/>
  <c r="C35" i="2"/>
  <c r="C39" i="2"/>
  <c r="D34" i="2"/>
  <c r="D35" i="2"/>
  <c r="C33" i="2"/>
  <c r="C37" i="2"/>
  <c r="D38" i="2"/>
  <c r="D36" i="2"/>
  <c r="C34" i="2"/>
  <c r="C38" i="2"/>
  <c r="C36" i="2"/>
  <c r="D28" i="2"/>
  <c r="D29" i="2"/>
  <c r="D31" i="2"/>
  <c r="D32" i="2"/>
  <c r="C32" i="2"/>
  <c r="C30" i="2"/>
  <c r="C29" i="2"/>
  <c r="D30" i="2"/>
  <c r="C31" i="2"/>
  <c r="C28" i="2"/>
  <c r="C28" i="3"/>
  <c r="N120" i="1"/>
  <c r="I19" i="3"/>
  <c r="I21" i="3"/>
  <c r="I22" i="3"/>
  <c r="C26" i="3"/>
  <c r="C27" i="3"/>
  <c r="C25" i="3"/>
  <c r="C23" i="3"/>
  <c r="C24" i="3"/>
  <c r="C22" i="3"/>
  <c r="C20" i="3"/>
  <c r="D20" i="3" s="1"/>
  <c r="F20" i="3" s="1"/>
  <c r="C19" i="3"/>
  <c r="D19" i="3" s="1"/>
  <c r="F19" i="3" s="1"/>
  <c r="C21" i="3"/>
  <c r="D21" i="3" s="1"/>
  <c r="F21" i="3" s="1"/>
  <c r="J159" i="1"/>
  <c r="T29" i="2" l="1"/>
  <c r="T30" i="2"/>
  <c r="P55" i="2"/>
  <c r="C15" i="2" l="1"/>
  <c r="C14" i="2"/>
  <c r="M19" i="2"/>
  <c r="M18" i="2"/>
  <c r="M17" i="2"/>
  <c r="M16" i="2"/>
  <c r="M15" i="2"/>
  <c r="M14" i="2"/>
  <c r="C17" i="3" l="1"/>
  <c r="S54" i="2"/>
  <c r="S38" i="2"/>
  <c r="S27" i="2"/>
  <c r="S37" i="2"/>
  <c r="S48" i="2"/>
  <c r="S47" i="2"/>
  <c r="S55" i="2"/>
  <c r="M28" i="2"/>
  <c r="P28" i="2" s="1"/>
  <c r="R28" i="2" s="1"/>
  <c r="T28" i="2" s="1"/>
  <c r="N28" i="2"/>
  <c r="C29" i="3"/>
  <c r="D29" i="3" s="1"/>
  <c r="F29" i="3" s="1"/>
  <c r="I15" i="3"/>
  <c r="J15" i="3" s="1"/>
  <c r="L15" i="3" s="1"/>
  <c r="I24" i="3"/>
  <c r="J24" i="3" s="1"/>
  <c r="L24" i="3" s="1"/>
  <c r="C15" i="3"/>
  <c r="D15" i="3" s="1"/>
  <c r="F15" i="3" s="1"/>
  <c r="I27" i="2"/>
  <c r="I36" i="2"/>
  <c r="D39" i="2"/>
  <c r="I37" i="2"/>
  <c r="I38" i="2"/>
  <c r="I39" i="2"/>
  <c r="S75" i="2"/>
  <c r="S76" i="2"/>
  <c r="S74" i="2"/>
  <c r="S77" i="2"/>
  <c r="S78" i="2"/>
  <c r="S64" i="2"/>
  <c r="S65" i="2"/>
  <c r="I26" i="3"/>
  <c r="J26" i="3" s="1"/>
  <c r="L26" i="3" s="1"/>
  <c r="I29" i="3"/>
  <c r="J29" i="3" s="1"/>
  <c r="I25" i="3"/>
  <c r="J25" i="3" s="1"/>
  <c r="L25" i="3" s="1"/>
  <c r="I27" i="3"/>
  <c r="J27" i="3" s="1"/>
  <c r="L27" i="3" s="1"/>
  <c r="I23" i="3"/>
  <c r="J23" i="3" s="1"/>
  <c r="L23" i="3" s="1"/>
  <c r="J19" i="3"/>
  <c r="L19" i="3" s="1"/>
  <c r="J20" i="3"/>
  <c r="L20" i="3" s="1"/>
  <c r="J17" i="3"/>
  <c r="L17" i="3" s="1"/>
  <c r="J22" i="3"/>
  <c r="L22" i="3" s="1"/>
  <c r="J21" i="3"/>
  <c r="L21" i="3" s="1"/>
  <c r="D28" i="3"/>
  <c r="F28" i="3" s="1"/>
  <c r="M77" i="2"/>
  <c r="P77" i="2" s="1"/>
  <c r="R77" i="2" s="1"/>
  <c r="M37" i="2"/>
  <c r="P37" i="2" s="1"/>
  <c r="C18" i="3"/>
  <c r="M47" i="2"/>
  <c r="R55" i="2"/>
  <c r="M75" i="2"/>
  <c r="P75" i="2" s="1"/>
  <c r="R75" i="2" s="1"/>
  <c r="M27" i="2"/>
  <c r="P27" i="2" s="1"/>
  <c r="M78" i="2"/>
  <c r="P78" i="2" s="1"/>
  <c r="R78" i="2" s="1"/>
  <c r="M76" i="2"/>
  <c r="P76" i="2" s="1"/>
  <c r="R76" i="2" s="1"/>
  <c r="I28" i="3"/>
  <c r="J28" i="3" s="1"/>
  <c r="L28" i="3" s="1"/>
  <c r="C16" i="3" l="1"/>
  <c r="D16" i="3" s="1"/>
  <c r="F16" i="3" s="1"/>
  <c r="D23" i="3"/>
  <c r="F23" i="3" s="1"/>
  <c r="D26" i="3"/>
  <c r="F26" i="3" s="1"/>
  <c r="D27" i="3"/>
  <c r="F27" i="3" s="1"/>
  <c r="I18" i="3"/>
  <c r="J18" i="3" s="1"/>
  <c r="L18" i="3" s="1"/>
  <c r="D24" i="3"/>
  <c r="F24" i="3" s="1"/>
  <c r="D17" i="3"/>
  <c r="F17" i="3" s="1"/>
  <c r="D25" i="3"/>
  <c r="F25" i="3" s="1"/>
  <c r="I16" i="3"/>
  <c r="J16" i="3" s="1"/>
  <c r="L16" i="3" s="1"/>
  <c r="M54" i="2"/>
  <c r="P54" i="2" s="1"/>
  <c r="R54" i="2" s="1"/>
  <c r="T54" i="2" s="1"/>
  <c r="D18" i="3"/>
  <c r="F18" i="3" s="1"/>
  <c r="D22" i="3"/>
  <c r="F22" i="3" s="1"/>
  <c r="P47" i="2"/>
  <c r="R47" i="2" s="1"/>
  <c r="T47" i="2" s="1"/>
  <c r="R37" i="2"/>
  <c r="T37" i="2" s="1"/>
  <c r="P38" i="2"/>
  <c r="R38" i="2" s="1"/>
  <c r="T38" i="2" s="1"/>
  <c r="P48" i="2"/>
  <c r="R48" i="2" s="1"/>
  <c r="T48" i="2" s="1"/>
  <c r="R27" i="2"/>
  <c r="T27" i="2" s="1"/>
  <c r="F38" i="2"/>
  <c r="H38" i="2" s="1"/>
  <c r="J38" i="2" s="1"/>
  <c r="F36" i="2"/>
  <c r="H36" i="2" s="1"/>
  <c r="J36" i="2" s="1"/>
  <c r="F31" i="2"/>
  <c r="H31" i="2" s="1"/>
  <c r="J31" i="2" s="1"/>
  <c r="F32" i="2"/>
  <c r="H32" i="2" s="1"/>
  <c r="J32" i="2" s="1"/>
  <c r="T55" i="2"/>
  <c r="M64" i="2"/>
  <c r="P64" i="2" s="1"/>
  <c r="R64" i="2" s="1"/>
  <c r="T64" i="2" s="1"/>
  <c r="M65" i="2"/>
  <c r="P65" i="2" s="1"/>
  <c r="R65" i="2" s="1"/>
  <c r="T65" i="2" s="1"/>
  <c r="M74" i="2"/>
  <c r="P74" i="2" s="1"/>
  <c r="T74" i="2" s="1"/>
  <c r="T78" i="2"/>
  <c r="T75" i="2"/>
  <c r="T76" i="2"/>
  <c r="T77" i="2"/>
  <c r="F39" i="2"/>
  <c r="H39" i="2" s="1"/>
  <c r="J39" i="2" s="1"/>
  <c r="F35" i="2"/>
  <c r="H35" i="2" s="1"/>
  <c r="J35" i="2" s="1"/>
  <c r="F34" i="2"/>
  <c r="H34" i="2" s="1"/>
  <c r="J34" i="2" s="1"/>
  <c r="F29" i="2"/>
  <c r="H29" i="2" s="1"/>
  <c r="J29" i="2" s="1"/>
  <c r="F28" i="2"/>
  <c r="H28" i="2" s="1"/>
  <c r="J28" i="2" s="1"/>
  <c r="F33" i="2"/>
  <c r="H33" i="2" s="1"/>
  <c r="J33" i="2" s="1"/>
  <c r="F37" i="2"/>
  <c r="H37" i="2" s="1"/>
  <c r="J37" i="2" s="1"/>
  <c r="F30" i="2"/>
  <c r="H30" i="2" s="1"/>
  <c r="J30" i="2" s="1"/>
  <c r="T52" i="2" l="1"/>
  <c r="T72" i="2"/>
  <c r="T35" i="2"/>
  <c r="T62" i="2"/>
  <c r="T25" i="2"/>
  <c r="N76" i="2"/>
  <c r="T45" i="2" l="1"/>
  <c r="N78" i="2" l="1"/>
  <c r="N27" i="2"/>
  <c r="N75" i="2"/>
  <c r="N64" i="2"/>
  <c r="N65" i="2"/>
  <c r="N54" i="2"/>
  <c r="N47" i="2"/>
  <c r="N45" i="2" s="1"/>
  <c r="L80" i="1" l="1"/>
  <c r="L104" i="1"/>
  <c r="L81" i="1"/>
  <c r="N52" i="2"/>
  <c r="N17" i="2" s="1"/>
  <c r="N62" i="2"/>
  <c r="N18" i="2" s="1"/>
  <c r="L66" i="1"/>
  <c r="L61" i="1"/>
  <c r="N74" i="2"/>
  <c r="N37" i="2"/>
  <c r="L125" i="1" l="1"/>
  <c r="L54" i="1"/>
  <c r="L46" i="1"/>
  <c r="L126" i="1"/>
  <c r="L135" i="1"/>
  <c r="N16" i="2"/>
  <c r="N35" i="2"/>
  <c r="N15" i="2" s="1"/>
  <c r="N25" i="2"/>
  <c r="N14" i="2" s="1"/>
  <c r="N77" i="2"/>
  <c r="N72" i="2" s="1"/>
  <c r="N19" i="2" l="1"/>
  <c r="N20" i="2" s="1"/>
  <c r="D15" i="2"/>
  <c r="L29" i="1"/>
  <c r="L37" i="1"/>
  <c r="L38" i="1"/>
  <c r="L108" i="1"/>
  <c r="L3" i="1"/>
  <c r="C27" i="2"/>
  <c r="F27" i="2" s="1"/>
  <c r="H27" i="2" s="1"/>
  <c r="J27" i="2" s="1"/>
  <c r="J25" i="2" s="1"/>
  <c r="L136" i="1" l="1"/>
  <c r="D27" i="2"/>
  <c r="L16" i="1"/>
  <c r="D25" i="2" l="1"/>
  <c r="D14" i="2" s="1"/>
  <c r="D16" i="2" s="1"/>
</calcChain>
</file>

<file path=xl/sharedStrings.xml><?xml version="1.0" encoding="utf-8"?>
<sst xmlns="http://schemas.openxmlformats.org/spreadsheetml/2006/main" count="10630" uniqueCount="649">
  <si>
    <t>Menu</t>
  </si>
  <si>
    <t>Món</t>
  </si>
  <si>
    <t>Giá nhập (kg)</t>
  </si>
  <si>
    <t>Cost/khay</t>
  </si>
  <si>
    <t>Thơm</t>
  </si>
  <si>
    <t>Số lượng suất ăn</t>
  </si>
  <si>
    <t>Khối lượng ( kg)</t>
  </si>
  <si>
    <t>Loại món</t>
  </si>
  <si>
    <t>Món mặn</t>
  </si>
  <si>
    <t>Nguyên liệu chính</t>
  </si>
  <si>
    <t>Rau xào thập cẩm</t>
  </si>
  <si>
    <t>Rau thập cẩm</t>
  </si>
  <si>
    <t>Món canh</t>
  </si>
  <si>
    <t>Trứng gà</t>
  </si>
  <si>
    <t>Cà chua</t>
  </si>
  <si>
    <t>Cơm</t>
  </si>
  <si>
    <t>Gạo</t>
  </si>
  <si>
    <t>Trái cây</t>
  </si>
  <si>
    <t>Món chính</t>
  </si>
  <si>
    <t>Món phụ</t>
  </si>
  <si>
    <t>Món nước</t>
  </si>
  <si>
    <t>Gà</t>
  </si>
  <si>
    <t>Su tím</t>
  </si>
  <si>
    <t>Rau quế</t>
  </si>
  <si>
    <t>Hành lá</t>
  </si>
  <si>
    <t>Chanh</t>
  </si>
  <si>
    <t>Giá</t>
  </si>
  <si>
    <t>Thanh long</t>
  </si>
  <si>
    <t>Nấm mèo</t>
  </si>
  <si>
    <t>Bún mọc</t>
  </si>
  <si>
    <t>Heo đùi mông</t>
  </si>
  <si>
    <t>Thịt xay</t>
  </si>
  <si>
    <t>Chả heo chín</t>
  </si>
  <si>
    <t>Da heo</t>
  </si>
  <si>
    <t>Bún</t>
  </si>
  <si>
    <t>Hành tây</t>
  </si>
  <si>
    <t xml:space="preserve">Chanh </t>
  </si>
  <si>
    <t>Tôm</t>
  </si>
  <si>
    <t xml:space="preserve">Xà lách </t>
  </si>
  <si>
    <t>Su trắng</t>
  </si>
  <si>
    <t>Quế</t>
  </si>
  <si>
    <t>Ổi</t>
  </si>
  <si>
    <t>Tổng cost 1 suất</t>
  </si>
  <si>
    <t>Cá kình kho thơm</t>
  </si>
  <si>
    <t>Cá kình</t>
  </si>
  <si>
    <t>Món Phụ</t>
  </si>
  <si>
    <t>Thịt đùi mông</t>
  </si>
  <si>
    <t>Món rau</t>
  </si>
  <si>
    <t>Món Canh</t>
  </si>
  <si>
    <t>Cải ngọt</t>
  </si>
  <si>
    <t>Thịt bằm</t>
  </si>
  <si>
    <t>Sữa chua</t>
  </si>
  <si>
    <t>Tráng miệng</t>
  </si>
  <si>
    <t>Món Chính</t>
  </si>
  <si>
    <t>Cá nục kho xì dầu</t>
  </si>
  <si>
    <t>Cá nục</t>
  </si>
  <si>
    <t>Cá chim kho cà</t>
  </si>
  <si>
    <t>Cá chim</t>
  </si>
  <si>
    <t>Tôm thịt rim</t>
  </si>
  <si>
    <t>Thịt nọng</t>
  </si>
  <si>
    <t>Nạc vai</t>
  </si>
  <si>
    <t>Bí đao nấu tôm</t>
  </si>
  <si>
    <t>Bí đao</t>
  </si>
  <si>
    <t>Rau muống xào tỏi</t>
  </si>
  <si>
    <t>Rau muống</t>
  </si>
  <si>
    <t>Suất cơm DAV</t>
  </si>
  <si>
    <t>Cơm anv</t>
  </si>
  <si>
    <t>Suất cơm chiều</t>
  </si>
  <si>
    <t>Gỏi gà xé</t>
  </si>
  <si>
    <t>Rau răm</t>
  </si>
  <si>
    <t>Cà Rốt</t>
  </si>
  <si>
    <t>Mướp xào giá</t>
  </si>
  <si>
    <t>Mướp</t>
  </si>
  <si>
    <t>Chả cá sốt cà</t>
  </si>
  <si>
    <t>Chả cá</t>
  </si>
  <si>
    <t>Dưa món</t>
  </si>
  <si>
    <t>Canh củ quả</t>
  </si>
  <si>
    <t>Khoai tây</t>
  </si>
  <si>
    <t>Cà rốt</t>
  </si>
  <si>
    <t>Chuối</t>
  </si>
  <si>
    <t>Cơm trưa DAV</t>
  </si>
  <si>
    <t>Cơm trưa ANV gồm sữa chua</t>
  </si>
  <si>
    <t>Cá phèn kho</t>
  </si>
  <si>
    <t>Thịt heo kho sả ruốc</t>
  </si>
  <si>
    <t>Cá phèn</t>
  </si>
  <si>
    <t>Thịt nạc vai</t>
  </si>
  <si>
    <t>Canh cải ngọt thịt bằm</t>
  </si>
  <si>
    <t>Cốt lết</t>
  </si>
  <si>
    <t>Cơm chiều DAV</t>
  </si>
  <si>
    <t>Cơm chiều ANV gồm sữa chua</t>
  </si>
  <si>
    <t>Cá basa kho nghệ</t>
  </si>
  <si>
    <t>Gỏi tai heo</t>
  </si>
  <si>
    <t>Cá basa</t>
  </si>
  <si>
    <t>Tai mui heo</t>
  </si>
  <si>
    <t xml:space="preserve">Su tím </t>
  </si>
  <si>
    <t>Bầu xào giá</t>
  </si>
  <si>
    <t>Bầu</t>
  </si>
  <si>
    <t>Bồ ngốt nấu tôm</t>
  </si>
  <si>
    <t>Bồ ngót</t>
  </si>
  <si>
    <t>Phở gà</t>
  </si>
  <si>
    <t>Phở</t>
  </si>
  <si>
    <t>Ngò gai</t>
  </si>
  <si>
    <t>Dưa hấu</t>
  </si>
  <si>
    <t>Bí đỏ</t>
  </si>
  <si>
    <t>Cá đù kho</t>
  </si>
  <si>
    <t>Cá đù</t>
  </si>
  <si>
    <t>Heo xíu xào giá</t>
  </si>
  <si>
    <t>Củ quả luộc</t>
  </si>
  <si>
    <t>Đậu bắp</t>
  </si>
  <si>
    <t>Cơm trưa AMANN</t>
  </si>
  <si>
    <t>Cá lóc kho</t>
  </si>
  <si>
    <t>Cá lóc</t>
  </si>
  <si>
    <t>Dưa cải xào</t>
  </si>
  <si>
    <t>Dưa cải</t>
  </si>
  <si>
    <t>Đậu khuôn</t>
  </si>
  <si>
    <t>Cá hố kho</t>
  </si>
  <si>
    <t>Cá hố</t>
  </si>
  <si>
    <t>Măng</t>
  </si>
  <si>
    <t>Rau má thịt bằm</t>
  </si>
  <si>
    <t>Rau má</t>
  </si>
  <si>
    <t>Cơm DAV</t>
  </si>
  <si>
    <t>Cơm ANV</t>
  </si>
  <si>
    <t>Cơm sườn que</t>
  </si>
  <si>
    <t>Sườn</t>
  </si>
  <si>
    <t>Trứng xào cà chua</t>
  </si>
  <si>
    <t>Kim chi</t>
  </si>
  <si>
    <t>Cải thảo</t>
  </si>
  <si>
    <t>Bí đỏ thịt bằm</t>
  </si>
  <si>
    <t>Đậu khuôn thịt bằm</t>
  </si>
  <si>
    <t>Gỏi bò</t>
  </si>
  <si>
    <t xml:space="preserve">Bò </t>
  </si>
  <si>
    <t>Đậu bắp hấp</t>
  </si>
  <si>
    <t>Su thịt bằm</t>
  </si>
  <si>
    <t>Chôm chôm</t>
  </si>
  <si>
    <t>Heo xào măng</t>
  </si>
  <si>
    <t>Heo nọng</t>
  </si>
  <si>
    <t>Măng vàng</t>
  </si>
  <si>
    <t>Row Labels</t>
  </si>
  <si>
    <t>Định lượng (gram) / khay</t>
  </si>
  <si>
    <t>Định lượng (kg) / khay</t>
  </si>
  <si>
    <t>Sub-column</t>
  </si>
  <si>
    <t>Cost / khay</t>
  </si>
  <si>
    <t>Khối lượng yêu cầu (kg)</t>
  </si>
  <si>
    <t>Khối lượng cần đặt (kg)</t>
  </si>
  <si>
    <t>Suất ăn DAV</t>
  </si>
  <si>
    <t>Suất ăn AVN</t>
  </si>
  <si>
    <t>Lượng tồn (kg)</t>
  </si>
  <si>
    <t>Thành tiền</t>
  </si>
  <si>
    <t xml:space="preserve">Giá </t>
  </si>
  <si>
    <t>Táo</t>
  </si>
  <si>
    <t>Trưa DAV</t>
  </si>
  <si>
    <t>Cá nhói kho nghệ</t>
  </si>
  <si>
    <t>Cá nhói</t>
  </si>
  <si>
    <t xml:space="preserve">Nén </t>
  </si>
  <si>
    <t>Nghệ</t>
  </si>
  <si>
    <t>Cà tím mỡ hành</t>
  </si>
  <si>
    <t>Cà tím</t>
  </si>
  <si>
    <t xml:space="preserve">Mắm </t>
  </si>
  <si>
    <t>Sườn hon</t>
  </si>
  <si>
    <t>Su trắng xào</t>
  </si>
  <si>
    <t>Cá diêu hồng kho tiêu</t>
  </si>
  <si>
    <t>Cá diêu hồng</t>
  </si>
  <si>
    <t>Vịt kho măng</t>
  </si>
  <si>
    <t>Vịt</t>
  </si>
  <si>
    <t>Chả lá lốt</t>
  </si>
  <si>
    <t>Lá lốt</t>
  </si>
  <si>
    <t>Chả quết</t>
  </si>
  <si>
    <t>Huyết bò</t>
  </si>
  <si>
    <t>Tôm rim trứng cút</t>
  </si>
  <si>
    <t>Trứng cút</t>
  </si>
  <si>
    <t>Rau lang</t>
  </si>
  <si>
    <t xml:space="preserve">Rau lang luộc </t>
  </si>
  <si>
    <t>Cá bạc má kho</t>
  </si>
  <si>
    <t>Cá bạc má</t>
  </si>
  <si>
    <t>Củ cải xào</t>
  </si>
  <si>
    <t>củ cải</t>
  </si>
  <si>
    <t>Thịt heo luộc giá chua</t>
  </si>
  <si>
    <t>Khổ qua thịt bằm</t>
  </si>
  <si>
    <t>Khổ qua</t>
  </si>
  <si>
    <t>Bầu nấu tôm</t>
  </si>
  <si>
    <t xml:space="preserve">Tôm </t>
  </si>
  <si>
    <t>Cơm gà chiên mắm</t>
  </si>
  <si>
    <t>Trứng luộc</t>
  </si>
  <si>
    <t>Trứng gà (cái)</t>
  </si>
  <si>
    <t>Cơm sườn kim chi</t>
  </si>
  <si>
    <t>Trứng ốp la</t>
  </si>
  <si>
    <t xml:space="preserve">Cải thảo </t>
  </si>
  <si>
    <t>Canh chua trứng</t>
  </si>
  <si>
    <t>Trứng</t>
  </si>
  <si>
    <t>Măng chua</t>
  </si>
  <si>
    <t xml:space="preserve">Món chính </t>
  </si>
  <si>
    <t>Mắm</t>
  </si>
  <si>
    <t>Cost</t>
  </si>
  <si>
    <t>Menu món nước</t>
  </si>
  <si>
    <t>Menu món cơm</t>
  </si>
  <si>
    <t>Bò lúc lắc</t>
  </si>
  <si>
    <t>Ớt chuông</t>
  </si>
  <si>
    <t>Xà lách</t>
  </si>
  <si>
    <t>Khoai tây chiên</t>
  </si>
  <si>
    <t xml:space="preserve">Khoai tây </t>
  </si>
  <si>
    <t>Bắp</t>
  </si>
  <si>
    <t>Khoai môn</t>
  </si>
  <si>
    <t>Củ cải</t>
  </si>
  <si>
    <t>Ớt sừng</t>
  </si>
  <si>
    <t>Cá mối kho nghệ</t>
  </si>
  <si>
    <t>Cá mối</t>
  </si>
  <si>
    <t>Sườn hon sả</t>
  </si>
  <si>
    <t>Sả</t>
  </si>
  <si>
    <t>Trứng kho nước dừa</t>
  </si>
  <si>
    <t>Bột cốt dừa</t>
  </si>
  <si>
    <t>Mồng tơi thịt bằm</t>
  </si>
  <si>
    <t>Mồng tơi</t>
  </si>
  <si>
    <t>Cá bạc má kho thơm</t>
  </si>
  <si>
    <t>Trứng hấp thập cẩm</t>
  </si>
  <si>
    <t>Vịt kho gừng</t>
  </si>
  <si>
    <t>Gừng</t>
  </si>
  <si>
    <t>Bún giò heo</t>
  </si>
  <si>
    <t>Giò heo</t>
  </si>
  <si>
    <t>Rau muống nấu hến</t>
  </si>
  <si>
    <t>Hến</t>
  </si>
  <si>
    <t>Đùi gà rô ty</t>
  </si>
  <si>
    <t>Đùi gà</t>
  </si>
  <si>
    <t>Gà xé hành rau răm</t>
  </si>
  <si>
    <t>Đậu đũa xào</t>
  </si>
  <si>
    <t>Đậu đũa</t>
  </si>
  <si>
    <t>Sắn dây xào</t>
  </si>
  <si>
    <t>Sắn dây</t>
  </si>
  <si>
    <t>Tim xào giá hẹ</t>
  </si>
  <si>
    <t xml:space="preserve">Tim </t>
  </si>
  <si>
    <t>lá he</t>
  </si>
  <si>
    <t>CA CHIỀU</t>
  </si>
  <si>
    <t>Supplier</t>
  </si>
  <si>
    <t>NL tươi sống</t>
  </si>
  <si>
    <t>NL Rau</t>
  </si>
  <si>
    <t>MENU CA SÁNG</t>
  </si>
  <si>
    <t>Ca Nấu</t>
  </si>
  <si>
    <t>Số lượng Order</t>
  </si>
  <si>
    <t>Note</t>
  </si>
  <si>
    <t xml:space="preserve">Tên nguyên liệu </t>
  </si>
  <si>
    <t>Các bước thực hiện:</t>
  </si>
  <si>
    <t xml:space="preserve">B1: Chọn lần lượt menu ca sáng, ca chiều </t>
  </si>
  <si>
    <t>BẢNG PHỤ - NGUYÊN LIỆU TỔNG HỢP</t>
  </si>
  <si>
    <t>B3: Copy value vào "BẢNG PHỤ - NGUYÊN LIỆU TỔNG HỢP" theo format bên dưới</t>
  </si>
  <si>
    <r>
      <t xml:space="preserve">B2: Chọn chi tiết "Món" </t>
    </r>
    <r>
      <rPr>
        <b/>
        <sz val="12"/>
        <color theme="1"/>
        <rFont val="Calibri"/>
        <family val="2"/>
        <scheme val="minor"/>
      </rPr>
      <t>-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Ô C12 &amp; ô I12</t>
    </r>
    <r>
      <rPr>
        <sz val="12"/>
        <color theme="1"/>
        <rFont val="Calibri"/>
        <family val="2"/>
        <scheme val="minor"/>
      </rPr>
      <t xml:space="preserve"> để lấy chi tiết nguyên liệu và số lượng order</t>
    </r>
  </si>
  <si>
    <t>Nhà cung cấp</t>
  </si>
  <si>
    <t>CA SÁNG (BẢNG 1)</t>
  </si>
  <si>
    <t>CA CHIỀU (BẢNG 2)</t>
  </si>
  <si>
    <t xml:space="preserve">Lưu ý: </t>
  </si>
  <si>
    <t>Bảng phụ này được nhập tay và copy value từ " Bảng 1" và Bảng 2"</t>
  </si>
  <si>
    <t>Cột "Nhà cung cấp" có thể phân loại nhiều item khác nhau để thuận tiện cho việc order</t>
  </si>
  <si>
    <t>Grand Total</t>
  </si>
  <si>
    <t>Column Labels</t>
  </si>
  <si>
    <t>Sum of Số lượng Order</t>
  </si>
  <si>
    <t>Bảng ORDER này được chạy tự động từ "BẢNG PHỤ - NGUYÊN LIỆU TỔNG HỢP"</t>
  </si>
  <si>
    <t>Có thể thêm dòng ghi chú giao hàng ở cột Z</t>
  </si>
  <si>
    <t>B1: Đưa trỏ chuột vào bảng dữ liệu</t>
  </si>
  <si>
    <t>B2: Click "chuột phải" -&gt; Pivot analys -&gt; change data source -&gt; chọn hết dữ liệu ở BẢNG PHỤ</t>
  </si>
  <si>
    <t xml:space="preserve">B3: Đưa trỏ chuột vào bảng dữ liệu --&gt; click chuột phải -&gt; refresh </t>
  </si>
  <si>
    <t>Bảng này có thể in ra dán trên bảng thay vì viết tay</t>
  </si>
  <si>
    <t>Thứ 2</t>
  </si>
  <si>
    <t>Thứ 3</t>
  </si>
  <si>
    <t>Thứ 4</t>
  </si>
  <si>
    <t>Thứ 5</t>
  </si>
  <si>
    <t>Thứ 6</t>
  </si>
  <si>
    <t>Thứ 7</t>
  </si>
  <si>
    <t>MENU DAV</t>
  </si>
  <si>
    <t>MENU AVN</t>
  </si>
  <si>
    <t>Bún chả cá</t>
  </si>
  <si>
    <t>Chả cá tấm chiên</t>
  </si>
  <si>
    <t>Chả cá hấp</t>
  </si>
  <si>
    <t>Ớt xanh huế</t>
  </si>
  <si>
    <t>Cá phèn mắm tỏi</t>
  </si>
  <si>
    <t>Gà kho măng</t>
  </si>
  <si>
    <t>Chả rim trứng cút</t>
  </si>
  <si>
    <t>Gà kho sả</t>
  </si>
  <si>
    <t>Thịt heo kho trứng</t>
  </si>
  <si>
    <t>Thịt kho đậu khuôn</t>
  </si>
  <si>
    <t>Cá chim mắm tỏi</t>
  </si>
  <si>
    <t>Giò heo kho măng</t>
  </si>
  <si>
    <t>Chả viên sốt cà</t>
  </si>
  <si>
    <t>Rau lang xào</t>
  </si>
  <si>
    <t>Thịt heo nọng nạc</t>
  </si>
  <si>
    <t>Mắm ruốc</t>
  </si>
  <si>
    <t>Heo nạc vai</t>
  </si>
  <si>
    <t>Bồ ngốt thịt bằm</t>
  </si>
  <si>
    <t>(All)</t>
  </si>
  <si>
    <t>Mỳ cá lóc</t>
  </si>
  <si>
    <t>Canh củ quả đặc biệt</t>
  </si>
  <si>
    <t>Cơm gà xé trộn</t>
  </si>
  <si>
    <t>Gà tươi</t>
  </si>
  <si>
    <t>Lòng gà</t>
  </si>
  <si>
    <t>Tôm rim</t>
  </si>
  <si>
    <t>Cá cơm</t>
  </si>
  <si>
    <t>Cá cơm kho</t>
  </si>
  <si>
    <t>Heo xào cải chua</t>
  </si>
  <si>
    <t>Cải chua</t>
  </si>
  <si>
    <t>Mỳ Quảng Tôm Thịt</t>
  </si>
  <si>
    <t>Mỳ Quảng Gà</t>
  </si>
  <si>
    <t>NL rau</t>
  </si>
  <si>
    <t>Đậu khuôn chiên</t>
  </si>
  <si>
    <t>Bún thịt nướng</t>
  </si>
  <si>
    <t>Dưa leo</t>
  </si>
  <si>
    <t>Đu đủ xanh</t>
  </si>
  <si>
    <t>Đậu phộng rang</t>
  </si>
  <si>
    <t>Cá ngừ</t>
  </si>
  <si>
    <t>Cá ngừ sốt cà</t>
  </si>
  <si>
    <t>Cá ngừ kho dưa</t>
  </si>
  <si>
    <t>Dưa trái muối</t>
  </si>
  <si>
    <t>Heo rang cháy cạnh</t>
  </si>
  <si>
    <t>Giò heo kho sả</t>
  </si>
  <si>
    <t>Cải ngọt xào</t>
  </si>
  <si>
    <t>Su su xào</t>
  </si>
  <si>
    <t>Mồng tơi nấu tôm</t>
  </si>
  <si>
    <t>Su su</t>
  </si>
  <si>
    <t>Cơm đùi gà rôty</t>
  </si>
  <si>
    <t>Đùi gà tỏi</t>
  </si>
  <si>
    <t xml:space="preserve">Bí đỏ </t>
  </si>
  <si>
    <t>kg</t>
  </si>
  <si>
    <t>Thịt xay xào củ quả</t>
  </si>
  <si>
    <t>Chả kho đậu khuôn</t>
  </si>
  <si>
    <t>Bún gà nấu nấm</t>
  </si>
  <si>
    <t>Thịt heo kho chả</t>
  </si>
  <si>
    <t>Thịt  heo nọng</t>
  </si>
  <si>
    <t>Ớt xiêm</t>
  </si>
  <si>
    <t>Nấm đùi gà</t>
  </si>
  <si>
    <t>Nấm dai</t>
  </si>
  <si>
    <t>Mỳ Thịt xíu trứng</t>
  </si>
  <si>
    <t>Đậu ve</t>
  </si>
  <si>
    <t>NCC chay</t>
  </si>
  <si>
    <t>Heo xào đậu ve</t>
  </si>
  <si>
    <t>Rau má nấu tôm</t>
  </si>
  <si>
    <t>Cơm thịt xá xíu</t>
  </si>
  <si>
    <t>Rong biển khô</t>
  </si>
  <si>
    <t>Tim heo</t>
  </si>
  <si>
    <t>Tim heo xào măng</t>
  </si>
  <si>
    <t>Khổ qua nấu tôm</t>
  </si>
  <si>
    <t>Rau ngũ điếc</t>
  </si>
  <si>
    <t>Thịt heo ngâm mắm</t>
  </si>
  <si>
    <t>Chả cá chiên sả ớt</t>
  </si>
  <si>
    <t>Chả cá tấm</t>
  </si>
  <si>
    <t>Canh chua</t>
  </si>
  <si>
    <t>Lá lót</t>
  </si>
  <si>
    <t>Mít non nấu tôm</t>
  </si>
  <si>
    <t>Mít non</t>
  </si>
  <si>
    <t>Chả chay</t>
  </si>
  <si>
    <t>Cà ri bò + bánh mỳ</t>
  </si>
  <si>
    <t>Thịt heo nọng</t>
  </si>
  <si>
    <t>Thịt kho dưa muối</t>
  </si>
  <si>
    <t>Bột nở</t>
  </si>
  <si>
    <t>Ghi chú</t>
  </si>
  <si>
    <t>Cải thìa</t>
  </si>
  <si>
    <t>Ba chỉ ĐL</t>
  </si>
  <si>
    <t>Tôm thịt rim củ cải</t>
  </si>
  <si>
    <t>Cải thìa xào</t>
  </si>
  <si>
    <t>lấy tồn</t>
  </si>
  <si>
    <t>Phù chúc khô</t>
  </si>
  <si>
    <t>Đậu ve xào</t>
  </si>
  <si>
    <t>Nấm mèo khô</t>
  </si>
  <si>
    <t>Tương rim</t>
  </si>
  <si>
    <t>Rau húng</t>
  </si>
  <si>
    <t>Căn cuộn</t>
  </si>
  <si>
    <t>Mít non cục</t>
  </si>
  <si>
    <t>Thịt nọng xay</t>
  </si>
  <si>
    <t>Hành phi</t>
  </si>
  <si>
    <t>Mắm cái</t>
  </si>
  <si>
    <t>Tôm ~150c/kg</t>
  </si>
  <si>
    <t>Bánh canh</t>
  </si>
  <si>
    <t>Đu đủ</t>
  </si>
  <si>
    <t>Bún khô</t>
  </si>
  <si>
    <t>Ngò rí</t>
  </si>
  <si>
    <t>Heo nọng nạc</t>
  </si>
  <si>
    <t>Hành tái</t>
  </si>
  <si>
    <t>(blank)</t>
  </si>
  <si>
    <t>Ngũ điếc</t>
  </si>
  <si>
    <t>Tép khô</t>
  </si>
  <si>
    <t>Bún chay</t>
  </si>
  <si>
    <t>Chả cua</t>
  </si>
  <si>
    <t>Mè trắng</t>
  </si>
  <si>
    <t>Thịt nọng nạc</t>
  </si>
  <si>
    <t>Quế hồi</t>
  </si>
  <si>
    <t>Tương ớt</t>
  </si>
  <si>
    <t>Xương ống bò</t>
  </si>
  <si>
    <t>Tỏi</t>
  </si>
  <si>
    <t>Lưỡi heo</t>
  </si>
  <si>
    <t>Giá giò</t>
  </si>
  <si>
    <t>Nạc đùi ĐL</t>
  </si>
  <si>
    <t>Chả cá đồng tiền</t>
  </si>
  <si>
    <t>Bún tươi</t>
  </si>
  <si>
    <t>Măng vàng cục</t>
  </si>
  <si>
    <t>Mỳ tươi</t>
  </si>
  <si>
    <t>Trứng cút lột sẵn</t>
  </si>
  <si>
    <t>Me chua</t>
  </si>
  <si>
    <t xml:space="preserve">cắt sợi </t>
  </si>
  <si>
    <t>Món chay</t>
  </si>
  <si>
    <t>Đậu khuôn chiên lát nhỏ</t>
  </si>
  <si>
    <t>Bánh mì</t>
  </si>
  <si>
    <t>Tôm thịt rim mặn</t>
  </si>
  <si>
    <t>Lưỡi heo xào thơm cà</t>
  </si>
  <si>
    <t>Bún xào căn cuộn</t>
  </si>
  <si>
    <t>Phở tươi</t>
  </si>
  <si>
    <t>Ớt xanh</t>
  </si>
  <si>
    <t>rau quế</t>
  </si>
  <si>
    <t>Lá lót to</t>
  </si>
  <si>
    <t>Cua đồng</t>
  </si>
  <si>
    <t>Khoai lang</t>
  </si>
  <si>
    <t>Nạm bò M19</t>
  </si>
  <si>
    <t>Bò M42</t>
  </si>
  <si>
    <t>Gà enfood</t>
  </si>
  <si>
    <t>hành lá</t>
  </si>
  <si>
    <t>Chuối lùn sống</t>
  </si>
  <si>
    <t>Tía tô</t>
  </si>
  <si>
    <t>Tôm ~150c</t>
  </si>
  <si>
    <t>Nước cốt dừa tươi</t>
  </si>
  <si>
    <t>Gà kiến thùng</t>
  </si>
  <si>
    <t>Tôm nhỏ</t>
  </si>
  <si>
    <t>Bánh tráng rế</t>
  </si>
  <si>
    <t>Trứng gà trung</t>
  </si>
  <si>
    <t>Bún tàu</t>
  </si>
  <si>
    <t>hành tây</t>
  </si>
  <si>
    <t>Rau tía tô</t>
  </si>
  <si>
    <t>rau răm</t>
  </si>
  <si>
    <t>Bắp giò heo</t>
  </si>
  <si>
    <t>Sốt cà ri</t>
  </si>
  <si>
    <t>Sữa tươi ko đường</t>
  </si>
  <si>
    <t>trứng cút lọt sẵn</t>
  </si>
  <si>
    <t>Thịt nọng xay mịn</t>
  </si>
  <si>
    <t>Bánh phồng tôm</t>
  </si>
  <si>
    <t>Mực tép</t>
  </si>
  <si>
    <t>Phồng tôm</t>
  </si>
  <si>
    <t>Thịt xay có mỡ</t>
  </si>
  <si>
    <t>Chả cá viên</t>
  </si>
  <si>
    <t>Thịt xay mịn</t>
  </si>
  <si>
    <t>xương ống bò</t>
  </si>
  <si>
    <t>Chuối cây cắt sẵn</t>
  </si>
  <si>
    <t>bông chuối</t>
  </si>
  <si>
    <t>Xíu  mại trứng cút</t>
  </si>
  <si>
    <t>Mực xào thơm cà</t>
  </si>
  <si>
    <t>Chả cá viên sốt cà</t>
  </si>
  <si>
    <t>Heo kho đậu khuôn</t>
  </si>
  <si>
    <t>Tôm xào mướp</t>
  </si>
  <si>
    <t>Gà kho sả nghệ</t>
  </si>
  <si>
    <t>Gà xé trộn hành</t>
  </si>
  <si>
    <t>Thịt kho sả ruốc</t>
  </si>
  <si>
    <t>nạc vai</t>
  </si>
  <si>
    <t>Miến dong rẻ</t>
  </si>
  <si>
    <t>Chả cá tâm</t>
  </si>
  <si>
    <t>Thịt rim chả cá</t>
  </si>
  <si>
    <t>làm chung vcv và wendler ~35s</t>
  </si>
  <si>
    <t>Canh</t>
  </si>
  <si>
    <t>hành phi</t>
  </si>
  <si>
    <t>cà tím</t>
  </si>
  <si>
    <t>thịt xay có mỡ</t>
  </si>
  <si>
    <t>sả</t>
  </si>
  <si>
    <t>Cá đuối nhỏ</t>
  </si>
  <si>
    <t>Ba chỉ heo lóc sườn</t>
  </si>
  <si>
    <t>Gà chiên mắm</t>
  </si>
  <si>
    <t>Má đùi gà</t>
  </si>
  <si>
    <t>quả</t>
  </si>
  <si>
    <t>Chả quế chiên</t>
  </si>
  <si>
    <t>đậu ve</t>
  </si>
  <si>
    <t>ba chỉ lóc sườn</t>
  </si>
  <si>
    <t>cốt lết nướng</t>
  </si>
  <si>
    <t>chuối cây cắt sẵn</t>
  </si>
  <si>
    <t>bún khô</t>
  </si>
  <si>
    <t>má đùi gà</t>
  </si>
  <si>
    <t>đậu khuôn chiên lát nhỏ</t>
  </si>
  <si>
    <t>tép khô</t>
  </si>
  <si>
    <t>bún tươi</t>
  </si>
  <si>
    <t>đậu phộng sống</t>
  </si>
  <si>
    <t>lát</t>
  </si>
  <si>
    <t>chả cua</t>
  </si>
  <si>
    <t>hộp</t>
  </si>
  <si>
    <t>cái</t>
  </si>
  <si>
    <t>BẢNG ORDER NGÀY 06/07/2026</t>
  </si>
  <si>
    <t>xương ống</t>
  </si>
  <si>
    <t>Nạc đùi mông</t>
  </si>
  <si>
    <t>cua đồng</t>
  </si>
  <si>
    <t>cá lóc um chuối</t>
  </si>
  <si>
    <t>Bún bò chả cua</t>
  </si>
  <si>
    <t>giò heo</t>
  </si>
  <si>
    <t>Cà ri gà + bánh mì</t>
  </si>
  <si>
    <t>bò M19</t>
  </si>
  <si>
    <t>Phở bò</t>
  </si>
  <si>
    <t>Tôm  ~120</t>
  </si>
  <si>
    <t>bánh canh tôm chả trứng</t>
  </si>
  <si>
    <t>Bánh canh cá lóc</t>
  </si>
  <si>
    <t>Bánh canh chả cua</t>
  </si>
  <si>
    <t>bún xương heo</t>
  </si>
  <si>
    <t>xương mềm</t>
  </si>
  <si>
    <t>bún riêu cua</t>
  </si>
  <si>
    <t>vịt nấu lagu</t>
  </si>
  <si>
    <t>món chính</t>
  </si>
  <si>
    <t>Giò heo um đậu</t>
  </si>
  <si>
    <t>ba chi lóc sườn</t>
  </si>
  <si>
    <t>Tôm nhỏ 170c/kg</t>
  </si>
  <si>
    <t>Ram tôm thịt</t>
  </si>
  <si>
    <t>khổ qua nhồi thịt</t>
  </si>
  <si>
    <t>canh chua cá đuối</t>
  </si>
  <si>
    <t>Món cơm đơn</t>
  </si>
  <si>
    <t>heo quay</t>
  </si>
  <si>
    <t>đùi gà tỏi lớn</t>
  </si>
  <si>
    <t>đùi gà rô ty</t>
  </si>
  <si>
    <t>gà chặt phây</t>
  </si>
  <si>
    <t>gà kiến thùng</t>
  </si>
  <si>
    <t>cơm gà xé</t>
  </si>
  <si>
    <t>sườn non nướng</t>
  </si>
  <si>
    <t>sườn bẹ heo pater</t>
  </si>
  <si>
    <t>canh chua cá lóc</t>
  </si>
  <si>
    <t>món canh</t>
  </si>
  <si>
    <t>trứng ốp la</t>
  </si>
  <si>
    <t>bún trộn tôm thịt</t>
  </si>
  <si>
    <t>mít trộn tôm thịt</t>
  </si>
  <si>
    <t>món phụ</t>
  </si>
  <si>
    <t>thịt cuộn lá lót</t>
  </si>
  <si>
    <t>cà tím sốt thịt bằm</t>
  </si>
  <si>
    <t>chả cá rim tóp mỡ</t>
  </si>
  <si>
    <t>mỡ heo có da</t>
  </si>
  <si>
    <t>chả heo chiên</t>
  </si>
  <si>
    <t>Chả cá lý sơn</t>
  </si>
  <si>
    <t>tôm 120</t>
  </si>
  <si>
    <t>Menu suất ăn 25k</t>
  </si>
  <si>
    <t>THỊT KHO SẢ RUỐC</t>
  </si>
  <si>
    <t>CÁ NỤC CHIÊN MẮM TỎI</t>
  </si>
  <si>
    <t>THỊT KHO CỦ CẢI</t>
  </si>
  <si>
    <t>GÀ CHIÊN MẮM</t>
  </si>
  <si>
    <t>THỊT XÀO ĐẬU ĐŨA</t>
  </si>
  <si>
    <t>TÔM RANG MUỐI SẢ</t>
  </si>
  <si>
    <t>TRỨNG ỐP LA</t>
  </si>
  <si>
    <t>HEO XÀO CẢI CHUA</t>
  </si>
  <si>
    <t>CHẢ CÁ SỐT CÀ</t>
  </si>
  <si>
    <t>TRỨNG CHIÊN THẬP CẨM</t>
  </si>
  <si>
    <t>CÁ NGỪ KHO DƯA</t>
  </si>
  <si>
    <t>CÀ TÍM MỠ HÀNH</t>
  </si>
  <si>
    <t>RAU LANG LUỘC</t>
  </si>
  <si>
    <t>GIÁ XÀO HẸ</t>
  </si>
  <si>
    <t>CẢI THÌA LUỘC</t>
  </si>
  <si>
    <t>SU TRẮNG LUỘC</t>
  </si>
  <si>
    <t>CẢI NGỌT LUỘC</t>
  </si>
  <si>
    <t>CANH CHUA</t>
  </si>
  <si>
    <t>KHỔ QUA NẤU TÔM</t>
  </si>
  <si>
    <t>BẦU NẤU TÔM</t>
  </si>
  <si>
    <t>MỒNG TƠI NẤU TÔM</t>
  </si>
  <si>
    <t>BÍ ĐAO NẤU TÔM</t>
  </si>
  <si>
    <t>RAU MÁ THỊT XAY</t>
  </si>
  <si>
    <t>Rau</t>
  </si>
  <si>
    <t xml:space="preserve">MENU MẶN </t>
  </si>
  <si>
    <t>THỊT KHO ĐẬU KHUÔN</t>
  </si>
  <si>
    <t>VỊT NẤU LAGU</t>
  </si>
  <si>
    <t>THỊT XÀO CỦ QUẢ</t>
  </si>
  <si>
    <t>CÁ PHÈN KHO RIM</t>
  </si>
  <si>
    <t>GIÒ HEO UM ĐẬU</t>
  </si>
  <si>
    <t>HEO XÀO ĐẬU ĐŨA</t>
  </si>
  <si>
    <t>CÁ ĐÙ CHIÊN MẮM</t>
  </si>
  <si>
    <t>TÔM RIM CHẢ</t>
  </si>
  <si>
    <t>THỊT RIM TRỨNG CÚT</t>
  </si>
  <si>
    <t>CÁ MỐI RIM NGHỆ</t>
  </si>
  <si>
    <t>BẦU HẤP</t>
  </si>
  <si>
    <t>RAU MUỐNG XÀO</t>
  </si>
  <si>
    <t>BỒ NGÓT NẤU TÔM</t>
  </si>
  <si>
    <t>KHỔ QUA THỊT XAY</t>
  </si>
  <si>
    <t>BÍ ĐỎ NẤU TÔM</t>
  </si>
  <si>
    <t>TRỨNG LUỘC</t>
  </si>
  <si>
    <t>Món mặn 1</t>
  </si>
  <si>
    <t>Món mặn 2</t>
  </si>
  <si>
    <t xml:space="preserve">Món mặn 1 </t>
  </si>
  <si>
    <t>TÔM XÀO MƯỚP</t>
  </si>
  <si>
    <t>THỊT LUỘC GIÁ CHUA</t>
  </si>
  <si>
    <t>CỐT LẾT NƯỚNG</t>
  </si>
  <si>
    <t>BẦU NẤU THỊT BẰM</t>
  </si>
  <si>
    <t>TRÁI CÂY</t>
  </si>
  <si>
    <t>MỲ GÀ</t>
  </si>
  <si>
    <t>GÀ XÉ TRỘN HÀNH</t>
  </si>
  <si>
    <t>CHẢ CÁ NHỒNG SỐT CÀ</t>
  </si>
  <si>
    <t>CÁ PHÈN CHIÊN</t>
  </si>
  <si>
    <t>CÁ NGỪ SỐT MẮM</t>
  </si>
  <si>
    <t xml:space="preserve">THỊT LUỘC MẮM NÊM  </t>
  </si>
  <si>
    <t xml:space="preserve">TRỨNG ỐP LA </t>
  </si>
  <si>
    <t xml:space="preserve">BÚN RIÊU CUA </t>
  </si>
  <si>
    <r>
      <t>THỊT HEO RIM TÔM</t>
    </r>
    <r>
      <rPr>
        <sz val="12"/>
        <color rgb="FFFF0000"/>
        <rFont val="Times New Roman"/>
        <family val="1"/>
      </rPr>
      <t xml:space="preserve"> </t>
    </r>
  </si>
  <si>
    <t xml:space="preserve">CÀ TÍM MỠ HÀNH </t>
  </si>
  <si>
    <t>THỊT XÀO CẢI CHUA</t>
  </si>
  <si>
    <t>SU SU XÀO</t>
  </si>
  <si>
    <t>CÁ NỤC KHO KEO</t>
  </si>
  <si>
    <t>THỊT HEO XÁ XÍU</t>
  </si>
  <si>
    <t xml:space="preserve">RAU MUỐNG XÀO </t>
  </si>
  <si>
    <t xml:space="preserve">BÚN XƯƠNG </t>
  </si>
  <si>
    <t xml:space="preserve">MỲ CÁ LÓC </t>
  </si>
  <si>
    <t xml:space="preserve">GÀ KHO SẢ </t>
  </si>
  <si>
    <r>
      <t xml:space="preserve">GIÁ XÀO HẸ </t>
    </r>
    <r>
      <rPr>
        <sz val="8"/>
        <color rgb="FFFF0000"/>
        <rFont val="Times New Roman"/>
        <family val="1"/>
      </rPr>
      <t xml:space="preserve"> </t>
    </r>
  </si>
  <si>
    <t>CỦ QUẢ LUỘC</t>
  </si>
  <si>
    <t>TÔM XÀO CỦ QUẢ</t>
  </si>
  <si>
    <t>BÚN TRỘN TÔM THỊT</t>
  </si>
  <si>
    <t>ĐẬU KHUÔN NHỒI THỊT</t>
  </si>
  <si>
    <t>CÁ HỐ CHIÊN</t>
  </si>
  <si>
    <t>Menu suất ăn 30k</t>
  </si>
  <si>
    <t>CÁ MỐI KHO RIM</t>
  </si>
  <si>
    <t xml:space="preserve"> ĐÙI GÀ ROTY</t>
  </si>
  <si>
    <t>BÚN THỊT NƯỚNG</t>
  </si>
  <si>
    <t>CÁ NHÓI CHIÊN MẮM</t>
  </si>
  <si>
    <t>THỊT LUỘC MẮM NÊM</t>
  </si>
  <si>
    <t>MỰC CHIÊN MẮM</t>
  </si>
  <si>
    <t>TÔM XÀO CHUA NGỌT</t>
  </si>
  <si>
    <t>CHẢ CÁ XÀO THƠM</t>
  </si>
  <si>
    <t>CÁ CHUỒN KẸP CHIÊN</t>
  </si>
  <si>
    <t>CẢI CHUA XÀO</t>
  </si>
  <si>
    <t>MÍT NON XÀO</t>
  </si>
  <si>
    <t>BẦU NẤU THỊT XAY</t>
  </si>
  <si>
    <t>BÚN CÁ NGỪ</t>
  </si>
  <si>
    <t xml:space="preserve">THỊT RIM TRỨNG CÚT </t>
  </si>
  <si>
    <t xml:space="preserve">GÀ CHIÊN MẮM </t>
  </si>
  <si>
    <t>CÁ CHUỒN KHO MÍT</t>
  </si>
  <si>
    <t xml:space="preserve">TRỨNG LUỘC </t>
  </si>
  <si>
    <t xml:space="preserve">HEO XÀO CẢI CHUA  </t>
  </si>
  <si>
    <t xml:space="preserve">RAU LANG LUỘC </t>
  </si>
  <si>
    <r>
      <rPr>
        <sz val="8"/>
        <rFont val="Times New Roman"/>
        <family val="1"/>
      </rPr>
      <t>CÀ RI GÀ + BÁNH MÌ</t>
    </r>
    <r>
      <rPr>
        <sz val="8"/>
        <color rgb="FFFF0000"/>
        <rFont val="Times New Roman"/>
        <family val="1"/>
      </rPr>
      <t xml:space="preserve"> </t>
    </r>
  </si>
  <si>
    <r>
      <rPr>
        <sz val="8"/>
        <rFont val="Times New Roman"/>
        <family val="1"/>
      </rPr>
      <t>CÁ NỤC KHO KEO</t>
    </r>
    <r>
      <rPr>
        <sz val="8"/>
        <color rgb="FFFF0000"/>
        <rFont val="Times New Roman"/>
        <family val="1"/>
      </rPr>
      <t xml:space="preserve"> </t>
    </r>
  </si>
  <si>
    <t>MENU MẶN</t>
  </si>
  <si>
    <t>Menu suất ăn 34k</t>
  </si>
  <si>
    <t>MỲ QUẢNG TÔM THỊT</t>
  </si>
  <si>
    <t>CÁ CHUỒN KẸP NGHỆ</t>
  </si>
  <si>
    <t>SƯỜN NON NƯỚNG</t>
  </si>
  <si>
    <t>GÀ KHO NÉN NGHỆ</t>
  </si>
  <si>
    <t>CÀ RI BÒ + BÁNH MỲ</t>
  </si>
  <si>
    <t>THỊT KHO CỦ QUẢ</t>
  </si>
  <si>
    <t xml:space="preserve">TÔM THỊT RIM </t>
  </si>
  <si>
    <t>MÍT NON TRỘN</t>
  </si>
  <si>
    <t>CÀ TÍM SỐT THỊT BẰM</t>
  </si>
  <si>
    <t>SU TRẮNG LUỘC + MẮM DƯA</t>
  </si>
  <si>
    <t>KIM CHI</t>
  </si>
  <si>
    <t>CẢI NGỌT LUỘC + MẮM XỔI</t>
  </si>
  <si>
    <t>RAU MUỐNG XÀO  + MUỐI ĐẬU</t>
  </si>
  <si>
    <t>MỒNG TƠI THỊT XAY</t>
  </si>
  <si>
    <t>THỊT CUỘN LÁ LÓT</t>
  </si>
  <si>
    <t>CHẢ CÁ RIM TÓP MỠ</t>
  </si>
  <si>
    <t>BÚN XƯƠNG CHẢ</t>
  </si>
  <si>
    <t>CÁ ĐÙ KHO RIM</t>
  </si>
  <si>
    <t>GÀ CHẶT PHAY</t>
  </si>
  <si>
    <t>MỲ CÁ LÓC</t>
  </si>
  <si>
    <t>THỊT KHO TRỨNG CÚT</t>
  </si>
  <si>
    <t>THỊT KHO SẢ</t>
  </si>
  <si>
    <t>THỊT KHO DƯA MUỐI</t>
  </si>
  <si>
    <t>BÒ XÀO CẢI CHUA</t>
  </si>
  <si>
    <t>RAM TÔM THỊT</t>
  </si>
  <si>
    <t>ĐẬU BẮP LUỘC  + MẮM XỔI</t>
  </si>
  <si>
    <t>KHỔ QUA NHỒI THỊT</t>
  </si>
  <si>
    <t>BẦU  HẤP + MUỐI ĐẬU</t>
  </si>
  <si>
    <t>CẢI NGỌT LUỘC + MẮM DƯA</t>
  </si>
  <si>
    <t>MÔNG TƠI NẤU TÔM</t>
  </si>
  <si>
    <t>BỒ NGÓT THỊT XAY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</si>
</sst>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_);_(* \(#,##0.0\);_(* &quot;-&quot;??_);_(@_)"/>
    <numFmt numFmtId="168" formatCode="_(* #,##0.000_);_(* \(#,##0.000\);_(* &quot;-&quot;??_);_(@_)"/>
    <numFmt numFmtId="169" formatCode="_-* #,##0.0\ _₫_-;\-* #,##0.0\ _₫_-;_-* &quot;-&quot;?\ _₫_-;_-@_-"/>
    <numFmt numFmtId="170" formatCode="_-* #,##0.00\ _₫_-;\-* #,##0.00\ _₫_-;_-* &quot;-&quot;??\ _₫_-;_-@_-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5" tint="-0.499984740745262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0"/>
      <name val="Calibri"/>
      <family val="2"/>
      <scheme val="minor"/>
    </font>
    <font>
      <i/>
      <u/>
      <sz val="11"/>
      <color theme="0"/>
      <name val="Calibri"/>
      <family val="2"/>
      <scheme val="minor"/>
    </font>
    <font>
      <b/>
      <u val="singleAccounting"/>
      <sz val="11"/>
      <color rgb="FFFFFF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5" tint="-0.499984740745262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i/>
      <u/>
      <sz val="12"/>
      <color rgb="FFC0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8"/>
      <name val="Calibri"/>
      <family val="2"/>
      <scheme val="minor"/>
    </font>
    <font>
      <i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b/>
      <sz val="12"/>
      <color indexed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8"/>
      <color theme="0"/>
      <name val="Times New Roman"/>
      <family val="1"/>
    </font>
    <font>
      <b/>
      <sz val="8"/>
      <color theme="1" tint="4.9989318521683403E-2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12"/>
      <color rgb="FFFF0000"/>
      <name val="Times New Roman"/>
      <family val="1"/>
    </font>
    <font>
      <b/>
      <sz val="8"/>
      <name val="Times New Roman"/>
      <family val="1"/>
    </font>
    <font>
      <sz val="8"/>
      <color rgb="FFFF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31" fillId="0" borderId="0"/>
  </cellStyleXfs>
  <cellXfs count="158">
    <xf numFmtId="0" fontId="0" fillId="0" borderId="0" xfId="0"/>
    <xf numFmtId="166" fontId="3" fillId="0" borderId="0" xfId="1" applyNumberFormat="1" applyFont="1"/>
    <xf numFmtId="166" fontId="0" fillId="0" borderId="0" xfId="1" applyNumberFormat="1" applyFont="1"/>
    <xf numFmtId="165" fontId="0" fillId="0" borderId="0" xfId="1" applyFont="1"/>
    <xf numFmtId="165" fontId="0" fillId="0" borderId="0" xfId="0" pivotButton="1" applyNumberFormat="1"/>
    <xf numFmtId="165" fontId="0" fillId="0" borderId="0" xfId="0" applyNumberFormat="1"/>
    <xf numFmtId="165" fontId="0" fillId="0" borderId="0" xfId="0" applyNumberFormat="1" applyAlignment="1">
      <alignment horizontal="left"/>
    </xf>
    <xf numFmtId="165" fontId="7" fillId="9" borderId="0" xfId="0" applyNumberFormat="1" applyFont="1" applyFill="1"/>
    <xf numFmtId="165" fontId="7" fillId="9" borderId="1" xfId="0" applyNumberFormat="1" applyFont="1" applyFill="1" applyBorder="1"/>
    <xf numFmtId="166" fontId="8" fillId="9" borderId="0" xfId="1" applyNumberFormat="1" applyFont="1" applyFill="1"/>
    <xf numFmtId="166" fontId="8" fillId="9" borderId="1" xfId="1" applyNumberFormat="1" applyFont="1" applyFill="1" applyBorder="1"/>
    <xf numFmtId="0" fontId="0" fillId="0" borderId="0" xfId="0" applyAlignment="1">
      <alignment vertical="center" wrapText="1"/>
    </xf>
    <xf numFmtId="165" fontId="9" fillId="0" borderId="0" xfId="0" pivotButton="1" applyNumberFormat="1" applyFont="1" applyAlignment="1">
      <alignment vertical="center" wrapText="1"/>
    </xf>
    <xf numFmtId="165" fontId="9" fillId="9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165" fontId="0" fillId="3" borderId="0" xfId="0" applyNumberFormat="1" applyFill="1"/>
    <xf numFmtId="167" fontId="0" fillId="0" borderId="0" xfId="1" applyNumberFormat="1" applyFont="1"/>
    <xf numFmtId="165" fontId="0" fillId="0" borderId="0" xfId="1" applyFont="1" applyBorder="1"/>
    <xf numFmtId="166" fontId="0" fillId="0" borderId="0" xfId="1" applyNumberFormat="1" applyFont="1" applyBorder="1"/>
    <xf numFmtId="166" fontId="3" fillId="0" borderId="0" xfId="1" applyNumberFormat="1" applyFont="1" applyBorder="1"/>
    <xf numFmtId="165" fontId="3" fillId="0" borderId="0" xfId="1" applyFont="1" applyBorder="1"/>
    <xf numFmtId="0" fontId="2" fillId="2" borderId="0" xfId="0" applyFont="1" applyFill="1"/>
    <xf numFmtId="165" fontId="2" fillId="2" borderId="0" xfId="1" applyFont="1" applyFill="1" applyBorder="1"/>
    <xf numFmtId="166" fontId="2" fillId="2" borderId="0" xfId="1" applyNumberFormat="1" applyFont="1" applyFill="1" applyBorder="1"/>
    <xf numFmtId="14" fontId="0" fillId="0" borderId="0" xfId="0" applyNumberFormat="1"/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164" fontId="5" fillId="5" borderId="0" xfId="0" applyNumberFormat="1" applyFont="1" applyFill="1"/>
    <xf numFmtId="164" fontId="4" fillId="6" borderId="0" xfId="0" applyNumberFormat="1" applyFont="1" applyFill="1" applyAlignment="1">
      <alignment vertical="center"/>
    </xf>
    <xf numFmtId="164" fontId="4" fillId="8" borderId="0" xfId="0" applyNumberFormat="1" applyFont="1" applyFill="1"/>
    <xf numFmtId="166" fontId="0" fillId="0" borderId="0" xfId="0" applyNumberFormat="1"/>
    <xf numFmtId="0" fontId="10" fillId="10" borderId="0" xfId="0" applyFont="1" applyFill="1"/>
    <xf numFmtId="165" fontId="10" fillId="10" borderId="0" xfId="0" applyNumberFormat="1" applyFont="1" applyFill="1"/>
    <xf numFmtId="166" fontId="10" fillId="10" borderId="0" xfId="0" applyNumberFormat="1" applyFont="1" applyFill="1"/>
    <xf numFmtId="0" fontId="11" fillId="10" borderId="0" xfId="0" applyFont="1" applyFill="1" applyAlignment="1">
      <alignment horizontal="center"/>
    </xf>
    <xf numFmtId="166" fontId="12" fillId="10" borderId="0" xfId="0" applyNumberFormat="1" applyFont="1" applyFill="1"/>
    <xf numFmtId="166" fontId="1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4" fillId="0" borderId="0" xfId="0" applyFont="1"/>
    <xf numFmtId="165" fontId="14" fillId="0" borderId="0" xfId="1" applyFont="1"/>
    <xf numFmtId="0" fontId="14" fillId="13" borderId="0" xfId="0" applyFont="1" applyFill="1"/>
    <xf numFmtId="165" fontId="14" fillId="13" borderId="0" xfId="1" applyFont="1" applyFill="1"/>
    <xf numFmtId="0" fontId="14" fillId="13" borderId="0" xfId="0" applyFont="1" applyFill="1" applyAlignment="1">
      <alignment horizontal="left"/>
    </xf>
    <xf numFmtId="165" fontId="16" fillId="14" borderId="0" xfId="0" applyNumberFormat="1" applyFont="1" applyFill="1"/>
    <xf numFmtId="166" fontId="17" fillId="14" borderId="0" xfId="1" applyNumberFormat="1" applyFont="1" applyFill="1"/>
    <xf numFmtId="165" fontId="14" fillId="13" borderId="0" xfId="0" applyNumberFormat="1" applyFont="1" applyFill="1"/>
    <xf numFmtId="165" fontId="16" fillId="14" borderId="1" xfId="0" applyNumberFormat="1" applyFont="1" applyFill="1" applyBorder="1"/>
    <xf numFmtId="166" fontId="17" fillId="14" borderId="1" xfId="1" applyNumberFormat="1" applyFont="1" applyFill="1" applyBorder="1"/>
    <xf numFmtId="165" fontId="14" fillId="13" borderId="0" xfId="0" applyNumberFormat="1" applyFont="1" applyFill="1" applyAlignment="1">
      <alignment horizontal="left"/>
    </xf>
    <xf numFmtId="165" fontId="14" fillId="13" borderId="0" xfId="1" applyFont="1" applyFill="1" applyAlignment="1">
      <alignment horizontal="left"/>
    </xf>
    <xf numFmtId="165" fontId="18" fillId="14" borderId="1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165" fontId="18" fillId="13" borderId="0" xfId="0" applyNumberFormat="1" applyFont="1" applyFill="1" applyAlignment="1">
      <alignment horizontal="left" vertical="center" wrapText="1"/>
    </xf>
    <xf numFmtId="166" fontId="14" fillId="13" borderId="0" xfId="1" applyNumberFormat="1" applyFont="1" applyFill="1"/>
    <xf numFmtId="165" fontId="14" fillId="13" borderId="0" xfId="0" applyNumberFormat="1" applyFont="1" applyFill="1" applyAlignment="1">
      <alignment horizontal="left" indent="1"/>
    </xf>
    <xf numFmtId="0" fontId="14" fillId="0" borderId="0" xfId="0" applyFont="1" applyAlignment="1">
      <alignment horizontal="left"/>
    </xf>
    <xf numFmtId="0" fontId="20" fillId="7" borderId="0" xfId="0" applyFont="1" applyFill="1"/>
    <xf numFmtId="165" fontId="20" fillId="7" borderId="0" xfId="0" applyNumberFormat="1" applyFont="1" applyFill="1"/>
    <xf numFmtId="0" fontId="21" fillId="15" borderId="0" xfId="0" applyFont="1" applyFill="1" applyAlignment="1">
      <alignment horizontal="center" vertical="center"/>
    </xf>
    <xf numFmtId="0" fontId="22" fillId="0" borderId="0" xfId="0" applyFont="1"/>
    <xf numFmtId="165" fontId="21" fillId="15" borderId="0" xfId="0" applyNumberFormat="1" applyFont="1" applyFill="1" applyAlignment="1">
      <alignment horizontal="center" vertical="center"/>
    </xf>
    <xf numFmtId="165" fontId="0" fillId="0" borderId="2" xfId="1" applyFont="1" applyBorder="1"/>
    <xf numFmtId="0" fontId="0" fillId="0" borderId="3" xfId="0" applyBorder="1"/>
    <xf numFmtId="165" fontId="0" fillId="0" borderId="5" xfId="1" applyFont="1" applyBorder="1"/>
    <xf numFmtId="165" fontId="0" fillId="0" borderId="6" xfId="1" applyFont="1" applyBorder="1"/>
    <xf numFmtId="0" fontId="0" fillId="0" borderId="6" xfId="0" applyBorder="1"/>
    <xf numFmtId="166" fontId="0" fillId="0" borderId="8" xfId="1" applyNumberFormat="1" applyFont="1" applyBorder="1"/>
    <xf numFmtId="0" fontId="0" fillId="0" borderId="8" xfId="0" applyBorder="1"/>
    <xf numFmtId="0" fontId="0" fillId="0" borderId="9" xfId="0" applyBorder="1"/>
    <xf numFmtId="0" fontId="25" fillId="17" borderId="0" xfId="0" applyFont="1" applyFill="1"/>
    <xf numFmtId="0" fontId="25" fillId="17" borderId="8" xfId="0" applyFont="1" applyFill="1" applyBorder="1"/>
    <xf numFmtId="0" fontId="25" fillId="17" borderId="5" xfId="0" applyFont="1" applyFill="1" applyBorder="1"/>
    <xf numFmtId="0" fontId="25" fillId="17" borderId="7" xfId="0" applyFont="1" applyFill="1" applyBorder="1"/>
    <xf numFmtId="167" fontId="14" fillId="0" borderId="0" xfId="1" applyNumberFormat="1" applyFont="1"/>
    <xf numFmtId="167" fontId="14" fillId="13" borderId="0" xfId="1" applyNumberFormat="1" applyFont="1" applyFill="1"/>
    <xf numFmtId="167" fontId="18" fillId="14" borderId="1" xfId="1" applyNumberFormat="1" applyFont="1" applyFill="1" applyBorder="1" applyAlignment="1">
      <alignment horizontal="center" vertical="center" wrapText="1"/>
    </xf>
    <xf numFmtId="167" fontId="21" fillId="15" borderId="0" xfId="1" applyNumberFormat="1" applyFont="1" applyFill="1" applyAlignment="1">
      <alignment horizontal="center" vertical="center"/>
    </xf>
    <xf numFmtId="14" fontId="14" fillId="0" borderId="0" xfId="0" applyNumberFormat="1" applyFont="1"/>
    <xf numFmtId="166" fontId="5" fillId="0" borderId="0" xfId="0" applyNumberFormat="1" applyFont="1"/>
    <xf numFmtId="0" fontId="13" fillId="0" borderId="0" xfId="0" applyFont="1"/>
    <xf numFmtId="0" fontId="19" fillId="0" borderId="0" xfId="0" applyFont="1"/>
    <xf numFmtId="0" fontId="14" fillId="7" borderId="0" xfId="0" applyFont="1" applyFill="1"/>
    <xf numFmtId="165" fontId="0" fillId="0" borderId="0" xfId="1" applyFont="1" applyBorder="1" applyAlignment="1">
      <alignment vertical="center"/>
    </xf>
    <xf numFmtId="165" fontId="0" fillId="0" borderId="8" xfId="1" applyFont="1" applyBorder="1" applyAlignment="1">
      <alignment vertical="center"/>
    </xf>
    <xf numFmtId="165" fontId="13" fillId="9" borderId="0" xfId="0" applyNumberFormat="1" applyFont="1" applyFill="1"/>
    <xf numFmtId="165" fontId="21" fillId="15" borderId="1" xfId="0" applyNumberFormat="1" applyFont="1" applyFill="1" applyBorder="1" applyAlignment="1">
      <alignment horizontal="center" vertical="center"/>
    </xf>
    <xf numFmtId="166" fontId="17" fillId="9" borderId="1" xfId="1" applyNumberFormat="1" applyFont="1" applyFill="1" applyBorder="1"/>
    <xf numFmtId="0" fontId="4" fillId="0" borderId="0" xfId="0" applyFont="1"/>
    <xf numFmtId="167" fontId="14" fillId="0" borderId="0" xfId="1" applyNumberFormat="1" applyFont="1" applyFill="1"/>
    <xf numFmtId="0" fontId="26" fillId="0" borderId="0" xfId="0" applyFont="1"/>
    <xf numFmtId="0" fontId="3" fillId="0" borderId="0" xfId="0" applyFont="1"/>
    <xf numFmtId="168" fontId="14" fillId="0" borderId="0" xfId="1" applyNumberFormat="1" applyFont="1"/>
    <xf numFmtId="165" fontId="14" fillId="0" borderId="0" xfId="1" applyFont="1" applyFill="1"/>
    <xf numFmtId="0" fontId="28" fillId="0" borderId="0" xfId="0" applyFont="1"/>
    <xf numFmtId="0" fontId="29" fillId="0" borderId="0" xfId="0" applyFont="1"/>
    <xf numFmtId="167" fontId="0" fillId="0" borderId="0" xfId="0" applyNumberFormat="1"/>
    <xf numFmtId="0" fontId="30" fillId="0" borderId="0" xfId="0" applyFont="1"/>
    <xf numFmtId="0" fontId="26" fillId="0" borderId="0" xfId="0" quotePrefix="1" applyFont="1"/>
    <xf numFmtId="169" fontId="0" fillId="0" borderId="0" xfId="0" applyNumberFormat="1"/>
    <xf numFmtId="0" fontId="4" fillId="4" borderId="0" xfId="0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164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center" vertical="center"/>
    </xf>
    <xf numFmtId="0" fontId="15" fillId="11" borderId="0" xfId="0" applyFont="1" applyFill="1" applyAlignment="1">
      <alignment horizontal="center"/>
    </xf>
    <xf numFmtId="0" fontId="15" fillId="12" borderId="0" xfId="0" applyFont="1" applyFill="1" applyAlignment="1">
      <alignment horizontal="center"/>
    </xf>
    <xf numFmtId="0" fontId="15" fillId="16" borderId="0" xfId="0" applyFont="1" applyFill="1" applyAlignment="1">
      <alignment horizontal="center" vertical="center"/>
    </xf>
    <xf numFmtId="165" fontId="23" fillId="3" borderId="3" xfId="1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14" fillId="0" borderId="0" xfId="0" applyFont="1" applyFill="1"/>
    <xf numFmtId="0" fontId="26" fillId="0" borderId="0" xfId="0" applyFont="1" applyFill="1"/>
    <xf numFmtId="169" fontId="26" fillId="0" borderId="0" xfId="0" applyNumberFormat="1" applyFont="1" applyFill="1"/>
    <xf numFmtId="0" fontId="27" fillId="0" borderId="0" xfId="0" applyFont="1" applyFill="1"/>
    <xf numFmtId="0" fontId="4" fillId="0" borderId="0" xfId="0" applyFont="1" applyFill="1"/>
    <xf numFmtId="169" fontId="27" fillId="0" borderId="0" xfId="0" applyNumberFormat="1" applyFont="1" applyFill="1"/>
    <xf numFmtId="0" fontId="0" fillId="0" borderId="0" xfId="0" applyBorder="1" applyAlignment="1">
      <alignment horizontal="left"/>
    </xf>
    <xf numFmtId="170" fontId="0" fillId="0" borderId="0" xfId="0" applyNumberFormat="1"/>
    <xf numFmtId="14" fontId="32" fillId="18" borderId="11" xfId="0" applyNumberFormat="1" applyFont="1" applyFill="1" applyBorder="1" applyAlignment="1">
      <alignment horizontal="center" vertical="center"/>
    </xf>
    <xf numFmtId="14" fontId="32" fillId="18" borderId="12" xfId="0" applyNumberFormat="1" applyFont="1" applyFill="1" applyBorder="1" applyAlignment="1">
      <alignment horizontal="center" vertical="center"/>
    </xf>
    <xf numFmtId="14" fontId="32" fillId="18" borderId="3" xfId="0" applyNumberFormat="1" applyFont="1" applyFill="1" applyBorder="1" applyAlignment="1">
      <alignment horizontal="center" vertical="center"/>
    </xf>
    <xf numFmtId="4" fontId="33" fillId="3" borderId="10" xfId="2" applyNumberFormat="1" applyFont="1" applyFill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14" fontId="37" fillId="0" borderId="11" xfId="0" applyNumberFormat="1" applyFont="1" applyFill="1" applyBorder="1" applyAlignment="1">
      <alignment horizontal="center" vertical="center"/>
    </xf>
    <xf numFmtId="14" fontId="37" fillId="0" borderId="12" xfId="0" applyNumberFormat="1" applyFont="1" applyFill="1" applyBorder="1" applyAlignment="1">
      <alignment horizontal="center" vertical="center"/>
    </xf>
    <xf numFmtId="14" fontId="37" fillId="0" borderId="3" xfId="0" applyNumberFormat="1" applyFont="1" applyFill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3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/>
    </xf>
    <xf numFmtId="0" fontId="34" fillId="0" borderId="14" xfId="0" applyFont="1" applyFill="1" applyBorder="1" applyAlignment="1">
      <alignment horizontal="center" vertical="center"/>
    </xf>
    <xf numFmtId="0" fontId="35" fillId="0" borderId="10" xfId="0" applyFont="1" applyFill="1" applyBorder="1" applyAlignment="1">
      <alignment horizontal="center" vertical="center"/>
    </xf>
    <xf numFmtId="0" fontId="34" fillId="0" borderId="15" xfId="0" applyFont="1" applyFill="1" applyBorder="1" applyAlignment="1">
      <alignment horizontal="center" vertical="center"/>
    </xf>
    <xf numFmtId="14" fontId="37" fillId="0" borderId="10" xfId="0" applyNumberFormat="1" applyFont="1" applyFill="1" applyBorder="1" applyAlignment="1">
      <alignment horizontal="center" vertical="center"/>
    </xf>
    <xf numFmtId="0" fontId="38" fillId="0" borderId="13" xfId="0" applyFont="1" applyBorder="1" applyAlignment="1">
      <alignment horizontal="center" vertical="center" wrapText="1"/>
    </xf>
    <xf numFmtId="0" fontId="34" fillId="0" borderId="14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13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 2" xfId="2" xr:uid="{6BA05555-ADAE-4A72-AC8D-3B6EAA7E9E51}"/>
  </cellStyles>
  <dxfs count="135"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ont>
        <color rgb="FF002060"/>
      </font>
    </dxf>
    <dxf>
      <font>
        <b val="0"/>
      </font>
    </dxf>
    <dxf>
      <alignment vertical="center"/>
    </dxf>
    <dxf>
      <alignment wrapText="1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fill>
        <patternFill patternType="solid">
          <bgColor rgb="FFFFFF00"/>
        </patternFill>
      </fill>
    </dxf>
    <dxf>
      <font>
        <color rgb="FF002060"/>
      </font>
    </dxf>
    <dxf>
      <font>
        <b val="0"/>
      </font>
    </dxf>
    <dxf>
      <alignment vertical="center"/>
    </dxf>
    <dxf>
      <alignment wrapText="1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fill>
        <patternFill patternType="solid">
          <bgColor rgb="FFFFFF00"/>
        </patternFill>
      </fill>
    </dxf>
    <dxf>
      <font>
        <color rgb="FF002060"/>
      </font>
    </dxf>
    <dxf>
      <font>
        <b val="0"/>
      </font>
    </dxf>
    <dxf>
      <alignment vertical="center"/>
    </dxf>
    <dxf>
      <alignment wrapText="1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font>
        <color rgb="FF002060"/>
      </font>
    </dxf>
    <dxf>
      <font>
        <b val="0"/>
      </font>
    </dxf>
    <dxf>
      <alignment vertical="center"/>
    </dxf>
    <dxf>
      <alignment wrapText="1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fill>
        <patternFill patternType="solid">
          <bgColor rgb="FFFFFF00"/>
        </patternFill>
      </fill>
    </dxf>
    <dxf>
      <font>
        <color rgb="FF002060"/>
      </font>
    </dxf>
    <dxf>
      <font>
        <b val="0"/>
      </font>
    </dxf>
    <dxf>
      <alignment vertical="center"/>
    </dxf>
    <dxf>
      <alignment wrapText="1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fill>
        <patternFill patternType="solid">
          <bgColor rgb="FFFFFF00"/>
        </patternFill>
      </fill>
    </dxf>
    <dxf>
      <font>
        <color rgb="FF002060"/>
      </font>
    </dxf>
    <dxf>
      <font>
        <b val="0"/>
      </font>
    </dxf>
    <dxf>
      <alignment vertical="center"/>
    </dxf>
    <dxf>
      <alignment wrapText="1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fill>
        <patternFill patternType="solid">
          <bgColor rgb="FFFFFF00"/>
        </patternFill>
      </fill>
    </dxf>
    <dxf>
      <font>
        <color rgb="FF002060"/>
      </font>
    </dxf>
    <dxf>
      <font>
        <b val="0"/>
      </font>
    </dxf>
    <dxf>
      <alignment vertical="center"/>
    </dxf>
    <dxf>
      <alignment wrapText="1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7" formatCode="_(* #,##0.0_);_(* \(#,##0.0\);_(* &quot;-&quot;??_);_(@_)"/>
    </dxf>
    <dxf>
      <numFmt numFmtId="165" formatCode="_(* #,##0.00_);_(* \(#,##0.00\);_(* &quot;-&quot;??_);_(@_)"/>
    </dxf>
    <dxf>
      <numFmt numFmtId="168" formatCode="_(* #,##0.000_);_(* \(#,##0.000\);_(* &quot;-&quot;??_);_(@_)"/>
    </dxf>
    <dxf>
      <border>
        <horizontal style="hair">
          <color auto="1"/>
        </horizontal>
      </border>
    </dxf>
    <dxf>
      <font>
        <b/>
        <i/>
        <u/>
        <sz val="12"/>
      </font>
      <fill>
        <patternFill patternType="solid">
          <fgColor indexed="64"/>
          <bgColor theme="9" tint="0.79998168889431442"/>
        </patternFill>
      </fill>
      <alignment horizontal="center" vertical="center"/>
    </dxf>
    <dxf>
      <font>
        <b/>
        <i/>
        <u/>
        <sz val="12"/>
      </font>
      <fill>
        <patternFill patternType="solid">
          <fgColor indexed="64"/>
          <bgColor theme="9" tint="0.79998168889431442"/>
        </patternFill>
      </fill>
      <alignment horizontal="center" vertical="center"/>
    </dxf>
    <dxf>
      <font>
        <b/>
        <i/>
        <u/>
        <sz val="12"/>
      </font>
      <fill>
        <patternFill patternType="solid">
          <fgColor indexed="64"/>
          <bgColor theme="9" tint="0.79998168889431442"/>
        </patternFill>
      </fill>
      <alignment horizontal="center" vertical="center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ill>
        <patternFill patternType="solid">
          <fgColor indexed="64"/>
          <bgColor theme="0" tint="-4.9989318521683403E-2"/>
        </patternFill>
      </fill>
    </dxf>
    <dxf>
      <font>
        <color rgb="FF002060"/>
      </font>
    </dxf>
    <dxf>
      <font>
        <b val="0"/>
      </font>
    </dxf>
    <dxf>
      <alignment vertical="center"/>
    </dxf>
    <dxf>
      <alignment wrapText="1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002060"/>
      </font>
    </dxf>
    <dxf>
      <font>
        <b val="0"/>
      </font>
    </dxf>
    <dxf>
      <alignment vertical="center"/>
    </dxf>
    <dxf>
      <alignment wrapText="1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  <dxf>
      <numFmt numFmtId="16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 STORE" refreshedDate="46110.900983564818" createdVersion="8" refreshedVersion="8" minRefreshableVersion="3" recordCount="432" xr:uid="{501D81B9-09B8-4D74-B7DC-F1614084EA2D}">
  <cacheSource type="worksheet">
    <worksheetSource ref="A2:K464" sheet="định lượng suất 25k"/>
  </cacheSource>
  <cacheFields count="11">
    <cacheField name="Supplier" numFmtId="0">
      <sharedItems count="2">
        <s v="NL tươi sống"/>
        <s v="NL Rau"/>
      </sharedItems>
    </cacheField>
    <cacheField name="Sub-column" numFmtId="14">
      <sharedItems/>
    </cacheField>
    <cacheField name="Loại món" numFmtId="0">
      <sharedItems/>
    </cacheField>
    <cacheField name="Menu" numFmtId="0">
      <sharedItems count="10">
        <s v="Món nước"/>
        <s v="Món chính"/>
        <s v="Món Phụ"/>
        <s v="Món rau"/>
        <s v="Tráng miệng"/>
        <s v="Món Canh"/>
        <s v="Mắm "/>
        <s v="Cơm"/>
        <s v="Sữa chua"/>
        <s v="Mặn chính"/>
      </sharedItems>
    </cacheField>
    <cacheField name="Món" numFmtId="0">
      <sharedItems count="138">
        <s v="Bún mọc"/>
        <s v="Trái cây"/>
        <s v="Mỳ Quảng Tôm Thịt"/>
        <s v="Mỳ"/>
        <s v="Cá kình kho thơm"/>
        <s v="Thịt heo luộc giá chua"/>
        <s v="Rau xào thập cẩm"/>
        <s v="Sữa chua"/>
        <s v="Cá nục kho xì dầu"/>
        <s v="Cá chim kho cà"/>
        <s v="Tôm thịt rim"/>
        <s v="Bí đao nấu tôm"/>
        <s v="Rau muống xào tỏi"/>
        <s v="Gỏi gà xé"/>
        <s v="Mướp xào giá"/>
        <s v="Chả cá sốt cà"/>
        <s v="Dưa món"/>
        <s v="Canh củ quả"/>
        <s v="Cơm"/>
        <s v="Cá phèn kho"/>
        <s v="Thịt heo kho sả ruốc"/>
        <s v="Canh cải ngọt thịt bằm"/>
        <s v="Cơm sườn"/>
        <s v="Cá basa kho nghệ"/>
        <s v="Gỏi tai heo"/>
        <s v="Bầu xào giá"/>
        <s v="Bồ ngốt nấu tôm"/>
        <s v="Phở gà"/>
        <s v="Cá đù kho"/>
        <s v="Heo xíu xào giá"/>
        <s v="Củ quả luộc"/>
        <s v="Cá hố kho"/>
        <s v="Cơm sườn que"/>
        <s v="Trứng xào cà chua"/>
        <s v="Cá lóc kho"/>
        <s v="Đậu khuôn thịt bằm"/>
        <s v="Dưa cải xào"/>
        <s v="Bí đỏ thịt bằm"/>
        <s v="Gỏi bò"/>
        <s v="Đậu bắp hấp"/>
        <s v="Su thịt bằm"/>
        <s v="Heo xào măng"/>
        <s v="Rau má thịt bằm"/>
        <s v="Bún bò huế"/>
        <s v="Mỳ cá lóc"/>
        <s v="Cá nhói kho nghệ"/>
        <s v="Cà tím mỡ hành"/>
        <s v="Sườn hon"/>
        <s v="Su trắng xào"/>
        <s v="Cá diêu hồng kho tiêu"/>
        <s v="Vịt kho măng"/>
        <s v="Chả lá lốt"/>
        <s v="Tôm rim trứng cút"/>
        <s v="Rau lang luộc "/>
        <s v="Cá bạc má kho"/>
        <s v="Củ cải xào"/>
        <s v="Khổ qua thịt bằm"/>
        <s v="Khổ qua nấu tôm"/>
        <s v="Bầu nấu tôm"/>
        <s v="Cơm gà chiên mắm"/>
        <s v="Trứng luộc"/>
        <s v="Cơm sườn kim chi"/>
        <s v="Trứng ốp la"/>
        <s v="Canh chua trứng"/>
        <s v="Bò lúc lắc"/>
        <s v="Khoai tây chiên"/>
        <s v="Canh củ quả đặc biệt"/>
        <s v="Kim chi"/>
        <s v="Cá mối kho nghệ"/>
        <s v="Sườn hon sả"/>
        <s v="Trứng kho nước dừa"/>
        <s v="Mồng tơi thịt bằm"/>
        <s v="Cá bạc má kho thơm"/>
        <s v="Trứng hấp thập cẩm"/>
        <s v="Vịt kho gừng"/>
        <s v="Bún giò heo"/>
        <s v="Rau muống nấu hến"/>
        <s v="Đùi gà rô ty"/>
        <s v="Gà xé hành rau răm"/>
        <s v="Đậu đũa xào"/>
        <s v="Sắn dây xào"/>
        <s v="Tim xào giá hẹ"/>
        <s v="Bún chả cá"/>
        <s v="Cá phèn mắm tỏi"/>
        <s v="Gà kho măng"/>
        <s v="Chả rim trứng cút"/>
        <s v="Gà kho sả"/>
        <s v="Thịt heo kho trứng"/>
        <s v="Thịt kho đậu khuôn"/>
        <s v="Cá chim mắm tỏi"/>
        <s v="Giò heo kho măng"/>
        <s v="Chả viên sốt cà"/>
        <s v="Rau lang xào"/>
        <s v="Bồ ngốt thịt bằm"/>
        <s v="Cơm gà xé trộn"/>
        <s v="Tôm rim"/>
        <s v="Cá cơm kho"/>
        <s v="Heo xào cải chua"/>
        <s v="Mỳ Quảng Gà"/>
        <s v="Bún thịt nướng"/>
        <s v="Cá ngừ sốt cà"/>
        <s v="Cá ngừ kho dưa"/>
        <s v="Heo rang cháy cạnh"/>
        <s v="Giò heo kho sả"/>
        <s v="Cải ngọt xào"/>
        <s v="Su su xào"/>
        <s v="Mồng tơi nấu tôm"/>
        <s v="Cơm đùi gà rôty"/>
        <s v="Thịt xay xào củ quả"/>
        <s v="Chả kho đậu khuôn"/>
        <s v="Bún gà nấu nấm"/>
        <s v="Thịt heo kho chả"/>
        <s v="Mỳ Thịt xíu trứng"/>
        <s v="Heo xào đậu ve"/>
        <s v="Rau má nấu tôm"/>
        <s v="Cơm thịt xá xíu"/>
        <s v="Tim heo xào măng"/>
        <s v="Thịt heo ngâm mắm"/>
        <s v="Chả cá chiên sả ớt"/>
        <s v="Canh chua"/>
        <s v="Mít non nấu tôm"/>
        <s v="Cà ri bò + bánh mỳ"/>
        <s v="Thịt kho dưa muối"/>
        <s v="Tôm thịt rim củ cải"/>
        <s v="Cải thìa xào"/>
        <s v="Đậu ve xào"/>
        <s v="Tôm thịt rim mặn"/>
        <s v="Lưỡi heo xào thơm cà"/>
        <s v="Bún chay"/>
        <s v="Bún xào căn cuộn"/>
        <s v="Xíu  mại trứng cút"/>
        <s v="Mực xào thơm cà"/>
        <s v="Chả cá viên sốt cà"/>
        <s v="Heo kho đậu khuôn"/>
        <s v="Tôm xào mướp"/>
        <s v="Gà kho sả nghệ"/>
        <s v="Gà xé trộn hành"/>
        <s v="Thịt kho sả ruốc"/>
      </sharedItems>
    </cacheField>
    <cacheField name="Nguyên liệu chính" numFmtId="0">
      <sharedItems count="175">
        <s v="Heo đùi mông"/>
        <s v="Chả quét"/>
        <s v="Thịt xay"/>
        <s v="Chả heo chín"/>
        <s v="Da heo"/>
        <s v="Bún"/>
        <s v="Rau quế"/>
        <s v="Giá"/>
        <s v="Hành lá"/>
        <s v="Chanh "/>
        <s v="Ớt"/>
        <s v="Nấm mèo"/>
        <s v="Cam"/>
        <s v="Trứng gà"/>
        <s v="Tôm"/>
        <s v="Bánh tráng"/>
        <s v="Xà lách "/>
        <s v="Su trắng"/>
        <s v="Ngò gai"/>
        <s v="Quế"/>
        <s v="Chanh"/>
        <s v="Ổi"/>
        <s v="Mỳ"/>
        <s v="Cá kình"/>
        <s v="Thơm"/>
        <s v="Thịt đùi mông"/>
        <s v="Cà rốt"/>
        <s v="Rau thập cẩm"/>
        <s v="Sữa chua"/>
        <s v="Cá nục"/>
        <s v="Cá chim"/>
        <s v="Cà chua"/>
        <s v="Thịt nọng"/>
        <s v="Nạc vai"/>
        <s v="Bí đao"/>
        <s v="Rau muống"/>
        <s v="Gà"/>
        <s v="Su tím"/>
        <s v="Rau răm"/>
        <s v="Mướp"/>
        <s v="Chả cá"/>
        <s v="Dưa món"/>
        <s v="Khoai tây"/>
        <s v="Chuối"/>
        <s v="Gạo"/>
        <s v="Cá phèn"/>
        <s v="Thịt heo nọng nạc"/>
        <s v="Sả"/>
        <s v="Mắm ruốc"/>
        <s v="Cải ngọt"/>
        <s v="Cốt lết"/>
        <s v="Cá basa"/>
        <s v="Tai mui heo"/>
        <s v="Su tím "/>
        <s v="Bầu"/>
        <s v="Bồ ngót"/>
        <s v="Thanh long"/>
        <s v="Phở"/>
        <s v="Hành tây"/>
        <s v="Cá đù"/>
        <s v="Đậu bắp"/>
        <s v="Dưa hấu"/>
        <s v="Cá hố"/>
        <s v="Sườn"/>
        <s v="Cải thảo "/>
        <s v="củ cải"/>
        <s v="Ớt sừng"/>
        <s v="Cá lóc"/>
        <s v="Đậu khuôn"/>
        <s v="Thịt bằm"/>
        <s v="Dưa cải"/>
        <s v="Bí đỏ"/>
        <s v="Bò "/>
        <s v="Heo nạc vai"/>
        <s v="Heo nọng"/>
        <s v="Măng vàng"/>
        <s v="Rau má"/>
        <s v="Chôm chôm"/>
        <s v="Nạm bò"/>
        <s v="Chả quết"/>
        <s v="Huyết bò"/>
        <s v="Giá "/>
        <s v="Táo"/>
        <s v="Mỳ "/>
        <s v="Rau sống"/>
        <s v="Cá nhói"/>
        <s v="Nén "/>
        <s v="Nghệ"/>
        <s v="Cà tím"/>
        <s v="Cá diêu hồng"/>
        <s v="Vịt"/>
        <s v="Măng"/>
        <s v="Lá lốt"/>
        <s v="Bột nở"/>
        <s v="Trứng cút"/>
        <s v="Rau lang"/>
        <s v="Cá bạc má"/>
        <s v="Khổ qua"/>
        <s v="Tôm "/>
        <s v="Trứng gà (cái)"/>
        <s v="Trứng"/>
        <s v="Măng chua"/>
        <s v="Ớt chuông"/>
        <s v="Xà lách"/>
        <s v="Khoai tây "/>
        <s v="Bắp"/>
        <s v="Khoai môn"/>
        <s v="Cải thảo"/>
        <s v="Cá mối"/>
        <s v="Bột cốt dừa"/>
        <s v="Mồng tơi"/>
        <s v="Gừng"/>
        <s v="Giò heo"/>
        <s v="Huyết heo"/>
        <s v="Hến"/>
        <s v="Đùi gà"/>
        <s v="Đậu đũa"/>
        <s v="Sắn dây"/>
        <s v="Tim "/>
        <s v="lá he"/>
        <s v="Chả cá lát đồng tiền"/>
        <s v="Chả cá tấm chiên"/>
        <s v="Chả cá hấp"/>
        <s v="Ớt xanh huế"/>
        <s v="Gà DL"/>
        <s v="Chả cá tấm"/>
        <s v="Thịt nạc vai"/>
        <s v="Rau lang xào"/>
        <s v="Gà tươi"/>
        <s v="Lòng gà"/>
        <s v="Cá cơm"/>
        <s v="Cải chua"/>
        <s v="Đậu phộng rang"/>
        <s v="Dưa leo"/>
        <s v="Đu đủ xanh"/>
        <s v="Cá ngừ"/>
        <s v="Dưa trái muối"/>
        <s v="Su su"/>
        <s v="Đùi gà tỏi"/>
        <s v="Bí đỏ "/>
        <s v="Đậu khuôn chiên"/>
        <s v="Nấm dai"/>
        <s v="Nấm đùi gà"/>
        <s v="Ớt xiêm"/>
        <s v="Thịt  heo nọng"/>
        <s v="Đậu ve"/>
        <s v=" Nạc vai"/>
        <s v="Rong biển khô"/>
        <s v="Tim heo"/>
        <s v="Rau ngũ điếc"/>
        <s v="Mít non"/>
        <s v="Lá lót"/>
        <s v="Thịt heo nọng"/>
        <s v="Ba chỉ ĐL"/>
        <s v="Cải thìa"/>
        <s v="Tôm ~150c/kg"/>
        <s v="Nạc đùi ĐL"/>
        <s v="Lưỡi heo"/>
        <s v="Ngò rí"/>
        <s v="Phù chúc khô"/>
        <s v="Chả chay"/>
        <s v="Căn cuộn"/>
        <s v="Bún khô"/>
        <s v="Thịt nọng xay mịn"/>
        <s v="trứng cút lọt sẵn"/>
        <s v="Bún tàu"/>
        <s v="Nấm mèo khô"/>
        <s v="Mực tép nháy"/>
        <s v="Bắp giò heo"/>
        <s v="Măng vàng cục"/>
        <s v="Chả cá viên"/>
        <s v="Heo nọng nạc"/>
        <s v="Đậu khuôn chiên lát nhỏ"/>
        <s v="Tôm ~150c"/>
        <s v="Gà enfood"/>
      </sharedItems>
    </cacheField>
    <cacheField name="Khối lượng ( kg)" numFmtId="0">
      <sharedItems containsString="0" containsBlank="1" containsNumber="1" minValue="1.4999999999999999E-2" maxValue="770"/>
    </cacheField>
    <cacheField name="Giá nhập (kg)" numFmtId="0">
      <sharedItems containsString="0" containsBlank="1" containsNumber="1" containsInteger="1" minValue="230" maxValue="200000"/>
    </cacheField>
    <cacheField name="Số lượng suất ăn" numFmtId="166">
      <sharedItems containsString="0" containsBlank="1" containsNumber="1" containsInteger="1" minValue="1" maxValue="774"/>
    </cacheField>
    <cacheField name="Định lượng (gram) / khay" numFmtId="165">
      <sharedItems containsMixedTypes="1" containsNumber="1" minValue="6.6666666666666675E-4" maxValue="3.08"/>
    </cacheField>
    <cacheField name="Cost/khay" numFmtId="0">
      <sharedItems containsSemiMixedTypes="0" containsString="0" containsNumber="1" minValue="0" maxValue="14608.6956521739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 STORE" refreshedDate="46112.830188657405" createdVersion="8" refreshedVersion="8" minRefreshableVersion="3" recordCount="341" xr:uid="{D0A4C54F-486F-42B2-A511-45E0D4B278A6}">
  <cacheSource type="worksheet">
    <worksheetSource ref="A2:K375" sheet="định lượng suất 25k"/>
  </cacheSource>
  <cacheFields count="11">
    <cacheField name="Supplier" numFmtId="0">
      <sharedItems count="2">
        <s v="NL tươi sống"/>
        <s v="NL Rau"/>
      </sharedItems>
    </cacheField>
    <cacheField name="Sub-column" numFmtId="14">
      <sharedItems/>
    </cacheField>
    <cacheField name="Loại món" numFmtId="0">
      <sharedItems/>
    </cacheField>
    <cacheField name="Menu" numFmtId="0">
      <sharedItems/>
    </cacheField>
    <cacheField name="Món" numFmtId="0">
      <sharedItems count="113">
        <s v="Bún mọc"/>
        <s v="Trái cây"/>
        <s v="Mỳ Quảng Tôm Thịt"/>
        <s v="Mỳ"/>
        <s v="Cá kình kho thơm"/>
        <s v="Thịt heo luộc giá chua"/>
        <s v="Rau xào thập cẩm"/>
        <s v="Sữa chua"/>
        <s v="Cá nục kho xì dầu"/>
        <s v="Cá chim kho cà"/>
        <s v="Tôm thịt rim"/>
        <s v="Bí đao nấu tôm"/>
        <s v="Rau muống xào tỏi"/>
        <s v="Gỏi gà xé"/>
        <s v="Mướp xào giá"/>
        <s v="Chả cá sốt cà"/>
        <s v="Dưa món"/>
        <s v="Canh củ quả"/>
        <s v="Cơm"/>
        <s v="Cá phèn kho"/>
        <s v="Thịt heo kho sả ruốc"/>
        <s v="Canh cải ngọt thịt bằm"/>
        <s v="Cơm sườn"/>
        <s v="Cá basa kho nghệ"/>
        <s v="Gỏi tai heo"/>
        <s v="Bầu xào giá"/>
        <s v="Bồ ngốt nấu tôm"/>
        <s v="Phở gà"/>
        <s v="Cá đù kho"/>
        <s v="Heo xíu xào giá"/>
        <s v="Củ quả luộc"/>
        <s v="Cá hố kho"/>
        <s v="Cơm sườn que"/>
        <s v="Trứng xào cà chua"/>
        <s v="Cá lóc kho"/>
        <s v="Đậu khuôn thịt bằm"/>
        <s v="Dưa cải xào"/>
        <s v="Bí đỏ thịt bằm"/>
        <s v="Gỏi bò"/>
        <s v="Đậu bắp hấp"/>
        <s v="Su thịt bằm"/>
        <s v="Heo xào măng"/>
        <s v="Rau má thịt bằm"/>
        <s v="Bún bò huế"/>
        <s v="Mỳ cá lóc"/>
        <s v="Cá nhói kho nghệ"/>
        <s v="Cà tím mỡ hành"/>
        <s v="Sườn hon"/>
        <s v="Su trắng xào"/>
        <s v="Cá diêu hồng kho tiêu"/>
        <s v="Vịt kho măng"/>
        <s v="Chả lá lốt"/>
        <s v="Tôm rim trứng cút"/>
        <s v="Rau lang luộc "/>
        <s v="Cá bạc má kho"/>
        <s v="Củ cải xào"/>
        <s v="Khổ qua thịt bằm"/>
        <s v="Khổ qua nấu tôm"/>
        <s v="Bầu nấu tôm"/>
        <s v="Cơm gà chiên mắm"/>
        <s v="Trứng luộc"/>
        <s v="Cơm sườn kim chi"/>
        <s v="Trứng ốp la"/>
        <s v="Canh chua trứng"/>
        <s v="Bò lúc lắc"/>
        <s v="Khoai tây chiên"/>
        <s v="Canh củ quả đặc biệt"/>
        <s v="Kim chi"/>
        <s v="Cá mối kho nghệ"/>
        <s v="Sườn hon sả"/>
        <s v="Trứng kho nước dừa"/>
        <s v="Mồng tơi thịt bằm"/>
        <s v="Cá bạc má kho thơm"/>
        <s v="Trứng hấp thập cẩm"/>
        <s v="Vịt kho gừng"/>
        <s v="Bún giò heo"/>
        <s v="Rau muống nấu hến"/>
        <s v="Đùi gà rô ty"/>
        <s v="Gà xé hành rau răm"/>
        <s v="Đậu đũa xào"/>
        <s v="Sắn dây xào"/>
        <s v="Tim xào giá hẹ"/>
        <s v="Bún chả cá"/>
        <s v="Cá phèn mắm tỏi"/>
        <s v="Gà kho măng"/>
        <s v="Chả rim trứng cút"/>
        <s v="Gà kho sả"/>
        <s v="Thịt heo kho trứng"/>
        <s v="Thịt kho đậu khuôn"/>
        <s v="Cá chim mắm tỏi"/>
        <s v="Giò heo kho măng"/>
        <s v="Chả viên sốt cà"/>
        <s v="Rau lang xào"/>
        <s v="Bồ ngốt thịt bằm"/>
        <s v="Cơm gà xé trộn"/>
        <s v="Tôm rim"/>
        <s v="Cá cơm kho"/>
        <s v="Heo xào cải chua"/>
        <s v="Mỳ Quảng Gà"/>
        <s v="Bún thịt nướng"/>
        <s v="Cá ngừ sốt cà"/>
        <s v="Cá ngừ kho dưa"/>
        <s v="Heo rang cháy cạnh"/>
        <s v="Giò heo kho sả"/>
        <s v="Cải ngọt xào"/>
        <s v="Su su xào"/>
        <s v="Mồng tơi nấu tôm"/>
        <s v="Cơm đùi gà rôty"/>
        <s v="Thịt xay xào củ quả"/>
        <s v="Chả kho đậu khuôn"/>
        <s v="Bún gà nấu nấm"/>
        <s v="Thịt heo kho chả"/>
        <s v="Mỳ Thịt xíu trứng"/>
      </sharedItems>
    </cacheField>
    <cacheField name="Nguyên liệu chính" numFmtId="0">
      <sharedItems count="145">
        <s v="Heo đùi mông"/>
        <s v="Chả quét"/>
        <s v="Thịt xay"/>
        <s v="Chả heo chín"/>
        <s v="Da heo"/>
        <s v="Bún"/>
        <s v="Rau quế"/>
        <s v="Giá"/>
        <s v="Hành lá"/>
        <s v="Chanh "/>
        <s v="Ớt"/>
        <s v="Nấm mèo"/>
        <s v="Cam"/>
        <s v="Trứng gà"/>
        <s v="Tôm"/>
        <s v="Bánh tráng"/>
        <s v="Xà lách "/>
        <s v="Su trắng"/>
        <s v="Ngò gai"/>
        <s v="Quế"/>
        <s v="Chanh"/>
        <s v="Ổi"/>
        <s v="Mỳ"/>
        <s v="Cá kình"/>
        <s v="Thơm"/>
        <s v="Thịt đùi mông"/>
        <s v="Cà rốt"/>
        <s v="Rau thập cẩm"/>
        <s v="Sữa chua"/>
        <s v="Cá nục"/>
        <s v="Cá chim"/>
        <s v="Cà chua"/>
        <s v="Thịt nọng"/>
        <s v="Nạc vai"/>
        <s v="Bí đao"/>
        <s v="Rau muống"/>
        <s v="Gà"/>
        <s v="Su tím"/>
        <s v="Rau răm"/>
        <s v="Mướp"/>
        <s v="Chả cá"/>
        <s v="Dưa món"/>
        <s v="Khoai tây"/>
        <s v="Chuối"/>
        <s v="Gạo"/>
        <s v="Cá phèn"/>
        <s v="Thịt heo nọng nạc"/>
        <s v="Sả"/>
        <s v="Mắm ruốc"/>
        <s v="Cải ngọt"/>
        <s v="Cốt lết"/>
        <s v="Cá basa"/>
        <s v="Tai mui heo"/>
        <s v="Su tím "/>
        <s v="Bầu"/>
        <s v="Bồ ngót"/>
        <s v="Thanh long"/>
        <s v="Phở"/>
        <s v="Hành tây"/>
        <s v="Cá đù"/>
        <s v="Đậu bắp"/>
        <s v="Dưa hấu"/>
        <s v="Cá hố"/>
        <s v="Sườn"/>
        <s v="Cải thảo "/>
        <s v="củ cải"/>
        <s v="Ớt sừng"/>
        <s v="Cá lóc"/>
        <s v="Đậu khuôn"/>
        <s v="Thịt bằm"/>
        <s v="Dưa cải"/>
        <s v="Bí đỏ"/>
        <s v="Bò "/>
        <s v="Heo nạc vai"/>
        <s v="Heo nọng"/>
        <s v="Măng vàng"/>
        <s v="Rau má"/>
        <s v="Chôm chôm"/>
        <s v="Nạm bò"/>
        <s v="Chả quết"/>
        <s v="Huyết bò"/>
        <s v="Giá "/>
        <s v="Táo"/>
        <s v="Mỳ "/>
        <s v="Rau sống"/>
        <s v="Cá nhói"/>
        <s v="Nén "/>
        <s v="Nghệ"/>
        <s v="Cà tím"/>
        <s v="Cá diêu hồng"/>
        <s v="Vịt"/>
        <s v="Măng"/>
        <s v="Lá lốt"/>
        <s v="Bột nở"/>
        <s v="Trứng cút"/>
        <s v="Rau lang"/>
        <s v="Cá bạc má"/>
        <s v="Khổ qua"/>
        <s v="Tôm "/>
        <s v="Trứng gà (cái)"/>
        <s v="Trứng"/>
        <s v="Măng chua"/>
        <s v="Ớt chuông"/>
        <s v="Xà lách"/>
        <s v="Khoai tây "/>
        <s v="Bắp"/>
        <s v="Khoai môn"/>
        <s v="Cải thảo"/>
        <s v="Cá mối"/>
        <s v="Bột cốt dừa"/>
        <s v="Mồng tơi"/>
        <s v="Gừng"/>
        <s v="Giò heo"/>
        <s v="Huyết heo"/>
        <s v="Hến"/>
        <s v="Đùi gà"/>
        <s v="Đậu đũa"/>
        <s v="Sắn dây"/>
        <s v="Tim "/>
        <s v="lá he"/>
        <s v="Chả cá lát đồng tiền"/>
        <s v="Chả cá tấm chiên"/>
        <s v="Chả cá hấp"/>
        <s v="Ớt xanh huế"/>
        <s v="Gà DL"/>
        <s v="Chả cá tấm"/>
        <s v="Thịt nạc vai"/>
        <s v="Rau lang xào"/>
        <s v="Gà tươi"/>
        <s v="Lòng gà"/>
        <s v="Cá cơm"/>
        <s v="Cải chua"/>
        <s v="Đậu phộng rang"/>
        <s v="Dưa leo"/>
        <s v="Đu đủ xanh"/>
        <s v="Cá ngừ"/>
        <s v="Dưa trái muối"/>
        <s v="Su su"/>
        <s v="Đùi gà tỏi"/>
        <s v="Bí đỏ "/>
        <s v="Đậu khuôn chiên"/>
        <s v="Nấm dai"/>
        <s v="Nấm đùi gà"/>
        <s v="Ớt xiêm"/>
        <s v="Thịt  heo nọng"/>
      </sharedItems>
    </cacheField>
    <cacheField name="Khối lượng ( kg)" numFmtId="0">
      <sharedItems containsString="0" containsBlank="1" containsNumber="1" minValue="1.4999999999999999E-2" maxValue="770"/>
    </cacheField>
    <cacheField name="Giá nhập (kg)" numFmtId="166">
      <sharedItems containsSemiMixedTypes="0" containsString="0" containsNumber="1" containsInteger="1" minValue="230" maxValue="130000"/>
    </cacheField>
    <cacheField name="Số lượng suất ăn" numFmtId="166">
      <sharedItems containsString="0" containsBlank="1" containsNumber="1" containsInteger="1" minValue="1" maxValue="774"/>
    </cacheField>
    <cacheField name="Định lượng (gram) / khay" numFmtId="165">
      <sharedItems containsMixedTypes="1" containsNumber="1" minValue="1.2254901960784314E-3" maxValue="3.08"/>
    </cacheField>
    <cacheField name="Cost/khay" numFmtId="0">
      <sharedItems containsSemiMixedTypes="0" containsString="0" containsNumber="1" minValue="30" maxValue="14608.6956521739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 STORE" refreshedDate="46126.757812037038" createdVersion="8" refreshedVersion="8" minRefreshableVersion="3" recordCount="435" xr:uid="{2954EA2D-8568-4A8C-B41E-D4F741CAA30F}">
  <cacheSource type="worksheet">
    <worksheetSource ref="A2:K467" sheet="định lượng suất 25k"/>
  </cacheSource>
  <cacheFields count="11">
    <cacheField name="Supplier" numFmtId="0">
      <sharedItems count="2">
        <s v="NL tươi sống"/>
        <s v="NL Rau"/>
      </sharedItems>
    </cacheField>
    <cacheField name="Sub-column" numFmtId="14">
      <sharedItems/>
    </cacheField>
    <cacheField name="Loại món" numFmtId="0">
      <sharedItems/>
    </cacheField>
    <cacheField name="Menu" numFmtId="0">
      <sharedItems/>
    </cacheField>
    <cacheField name="Món" numFmtId="0">
      <sharedItems count="139">
        <s v="Bún mọc"/>
        <s v="Trái cây"/>
        <s v="Mỳ Quảng Tôm Thịt"/>
        <s v="Mỳ"/>
        <s v="Cá kình kho thơm"/>
        <s v="Thịt heo luộc giá chua"/>
        <s v="Rau xào thập cẩm"/>
        <s v="Sữa chua"/>
        <s v="Cá nục kho xì dầu"/>
        <s v="Cá chim kho cà"/>
        <s v="Tôm thịt rim"/>
        <s v="Bí đao nấu tôm"/>
        <s v="Rau muống xào tỏi"/>
        <s v="Gỏi gà xé"/>
        <s v="Mướp xào giá"/>
        <s v="Chả cá sốt cà"/>
        <s v="Dưa món"/>
        <s v="Canh củ quả"/>
        <s v="Cơm"/>
        <s v="Cá phèn kho"/>
        <s v="Thịt heo kho sả ruốc"/>
        <s v="Canh cải ngọt thịt bằm"/>
        <s v="Cơm sườn"/>
        <s v="Cá basa kho nghệ"/>
        <s v="Gỏi tai heo"/>
        <s v="Bầu xào giá"/>
        <s v="Bồ ngốt nấu tôm"/>
        <s v="Phở gà"/>
        <s v="Cá đù kho"/>
        <s v="Heo xíu xào giá"/>
        <s v="Củ quả luộc"/>
        <s v="Cá hố kho"/>
        <s v="Cơm sườn que"/>
        <s v="Trứng xào cà chua"/>
        <s v="Cá lóc kho"/>
        <s v="Đậu khuôn thịt bằm"/>
        <s v="Dưa cải xào"/>
        <s v="Bí đỏ thịt bằm"/>
        <s v="Gỏi bò"/>
        <s v="Đậu bắp hấp"/>
        <s v="Su thịt bằm"/>
        <s v="Heo xào măng"/>
        <s v="Rau má thịt bằm"/>
        <s v="Bún bò huế"/>
        <s v="Mỳ cá lóc"/>
        <s v="Cá nhói kho nghệ"/>
        <s v="Cà tím mỡ hành"/>
        <s v="Sườn hon"/>
        <s v="Su trắng xào"/>
        <s v="Cá diêu hồng kho tiêu"/>
        <s v="Vịt kho măng"/>
        <s v="Chả lá lốt"/>
        <s v="Tôm rim trứng cút"/>
        <s v="Rau lang luộc "/>
        <s v="Cá bạc má kho"/>
        <s v="Củ cải xào"/>
        <s v="Khổ qua thịt bằm"/>
        <s v="Khổ qua nấu tôm"/>
        <s v="Bầu nấu tôm"/>
        <s v="Cơm gà chiên mắm"/>
        <s v="Trứng luộc"/>
        <s v="Cơm sườn kim chi"/>
        <s v="Trứng ốp la"/>
        <s v="Canh chua trứng"/>
        <s v="Bò lúc lắc"/>
        <s v="Khoai tây chiên"/>
        <s v="Canh củ quả đặc biệt"/>
        <s v="Kim chi"/>
        <s v="Cá mối kho nghệ"/>
        <s v="Sườn hon sả"/>
        <s v="Trứng kho nước dừa"/>
        <s v="Mồng tơi thịt bằm"/>
        <s v="Cá bạc má kho thơm"/>
        <s v="Trứng hấp thập cẩm"/>
        <s v="Vịt kho gừng"/>
        <s v="Bún giò heo"/>
        <s v="Rau muống nấu hến"/>
        <s v="Đùi gà rô ty"/>
        <s v="Gà xé hành rau răm"/>
        <s v="Đậu đũa xào"/>
        <s v="Sắn dây xào"/>
        <s v="Tim xào giá hẹ"/>
        <s v="Bún chả cá"/>
        <s v="Cá phèn mắm tỏi"/>
        <s v="Gà kho măng"/>
        <s v="Chả rim trứng cút"/>
        <s v="Gà kho sả"/>
        <s v="Thịt heo kho trứng"/>
        <s v="Thịt kho đậu khuôn"/>
        <s v="Cá chim mắm tỏi"/>
        <s v="Giò heo kho măng"/>
        <s v="Chả viên sốt cà"/>
        <s v="Rau lang xào"/>
        <s v="Bồ ngốt thịt bằm"/>
        <s v="Cơm gà xé trộn"/>
        <s v="Tôm rim"/>
        <s v="Cá cơm kho"/>
        <s v="Heo xào cải chua"/>
        <s v="Mỳ Quảng Gà"/>
        <s v="Bún thịt nướng"/>
        <s v="Cá ngừ sốt cà"/>
        <s v="Cá ngừ kho dưa"/>
        <s v="Heo rang cháy cạnh"/>
        <s v="Giò heo kho sả"/>
        <s v="Cải ngọt xào"/>
        <s v="Su su xào"/>
        <s v="Mồng tơi nấu tôm"/>
        <s v="Cơm đùi gà rôty"/>
        <s v="Thịt xay xào củ quả"/>
        <s v="Chả kho đậu khuôn"/>
        <s v="Bún gà nấu nấm"/>
        <s v="Thịt heo kho chả"/>
        <s v="Mỳ Thịt xíu trứng"/>
        <s v="Heo xào đậu ve"/>
        <s v="Rau má nấu tôm"/>
        <s v="Cơm thịt xá xíu"/>
        <s v="Tim heo xào măng"/>
        <s v="Thịt heo ngâm mắm"/>
        <s v="Chả cá chiên sả ớt"/>
        <s v="Canh chua"/>
        <s v="Mít non nấu tôm"/>
        <s v="Cà ri bò + bánh mỳ"/>
        <s v="Thịt kho dưa muối"/>
        <s v="Tôm thịt rim củ cải"/>
        <s v="Cải thìa xào"/>
        <s v="Đậu ve xào"/>
        <s v="Tôm thịt rim mặn"/>
        <s v="Lưỡi heo xào thơm cà"/>
        <s v="Bún chay"/>
        <s v="Bún xào căn cuộn"/>
        <s v="Xíu  mại trứng cút"/>
        <s v="Mực xào thơm cà"/>
        <s v="Chả cá viên sốt cà"/>
        <s v="Heo kho đậu khuôn"/>
        <s v="Tôm xào mướp"/>
        <s v="Gà kho sả nghệ"/>
        <s v="Gà xé trộn hành"/>
        <s v="Thịt kho sả ruốc"/>
        <s v="Thịt rim chả cá"/>
      </sharedItems>
    </cacheField>
    <cacheField name="Nguyên liệu chính" numFmtId="0">
      <sharedItems count="176">
        <s v="Heo đùi mông"/>
        <s v="Chả quét"/>
        <s v="Thịt xay"/>
        <s v="Chả heo chín"/>
        <s v="Da heo"/>
        <s v="Bún"/>
        <s v="Rau quế"/>
        <s v="Giá"/>
        <s v="Hành lá"/>
        <s v="Chanh "/>
        <s v="Ớt"/>
        <s v="Nấm mèo"/>
        <s v="Cam"/>
        <s v="Trứng gà"/>
        <s v="Tôm"/>
        <s v="Bánh tráng"/>
        <s v="Xà lách "/>
        <s v="Su trắng"/>
        <s v="Ngò gai"/>
        <s v="Quế"/>
        <s v="Chanh"/>
        <s v="Ổi"/>
        <s v="Mỳ"/>
        <s v="Cá kình"/>
        <s v="Thơm"/>
        <s v="Thịt đùi mông"/>
        <s v="Cà rốt"/>
        <s v="Rau thập cẩm"/>
        <s v="Sữa chua"/>
        <s v="Cá nục"/>
        <s v="Cá chim"/>
        <s v="Cà chua"/>
        <s v="Thịt nọng"/>
        <s v="Nạc vai"/>
        <s v="Bí đao"/>
        <s v="Rau muống"/>
        <s v="Gà"/>
        <s v="Su tím"/>
        <s v="Rau răm"/>
        <s v="Mướp"/>
        <s v="Chả cá"/>
        <s v="Dưa món"/>
        <s v="Khoai tây"/>
        <s v="Chuối"/>
        <s v="Gạo"/>
        <s v="Cá phèn"/>
        <s v="Thịt heo nọng nạc"/>
        <s v="Sả"/>
        <s v="Mắm ruốc"/>
        <s v="Cải ngọt"/>
        <s v="Cốt lết"/>
        <s v="Cá basa"/>
        <s v="Tai mui heo"/>
        <s v="Su tím "/>
        <s v="Bầu"/>
        <s v="Bồ ngót"/>
        <s v="Thanh long"/>
        <s v="Phở"/>
        <s v="Hành tây"/>
        <s v="Cá đù"/>
        <s v="Đậu bắp"/>
        <s v="Dưa hấu"/>
        <s v="Cá hố"/>
        <s v="Sườn"/>
        <s v="Cải thảo "/>
        <s v="củ cải"/>
        <s v="Ớt sừng"/>
        <s v="Cá lóc"/>
        <s v="Đậu khuôn"/>
        <s v="Thịt bằm"/>
        <s v="Dưa cải"/>
        <s v="Bí đỏ"/>
        <s v="Bò "/>
        <s v="Heo nạc vai"/>
        <s v="Heo nọng"/>
        <s v="Măng vàng"/>
        <s v="Rau má"/>
        <s v="Chôm chôm"/>
        <s v="Nạm bò"/>
        <s v="Chả quết"/>
        <s v="Huyết bò"/>
        <s v="Giá "/>
        <s v="Táo"/>
        <s v="Mỳ "/>
        <s v="Rau sống"/>
        <s v="Cá nhói"/>
        <s v="Nén "/>
        <s v="Nghệ"/>
        <s v="Cà tím"/>
        <s v="Cá diêu hồng"/>
        <s v="Vịt"/>
        <s v="Măng"/>
        <s v="Lá lốt"/>
        <s v="Bột nở"/>
        <s v="Trứng cút"/>
        <s v="Rau lang"/>
        <s v="Cá bạc má"/>
        <s v="Khổ qua"/>
        <s v="Tôm "/>
        <s v="Trứng gà (cái)"/>
        <s v="Trứng"/>
        <s v="Măng chua"/>
        <s v="Ớt chuông"/>
        <s v="Xà lách"/>
        <s v="Khoai tây "/>
        <s v="Bắp"/>
        <s v="Khoai môn"/>
        <s v="Cải thảo"/>
        <s v="Cá mối"/>
        <s v="Bột cốt dừa"/>
        <s v="Mồng tơi"/>
        <s v="Gừng"/>
        <s v="Giò heo"/>
        <s v="Huyết heo"/>
        <s v="Hến"/>
        <s v="Đùi gà"/>
        <s v="Đậu đũa"/>
        <s v="Sắn dây"/>
        <s v="Tim "/>
        <s v="lá he"/>
        <s v="Chả cá lát đồng tiền"/>
        <s v="Chả cá tấm chiên"/>
        <s v="Chả cá hấp"/>
        <s v="Ớt xanh huế"/>
        <s v="Gà DL"/>
        <s v="Chả cá tấm"/>
        <s v="Thịt nạc vai"/>
        <s v="Rau lang xào"/>
        <s v="Gà tươi"/>
        <s v="Lòng gà"/>
        <s v="Cá cơm"/>
        <s v="Cải chua"/>
        <s v="Đậu phộng rang"/>
        <s v="Dưa leo"/>
        <s v="Đu đủ xanh"/>
        <s v="Cá ngừ"/>
        <s v="Dưa trái muối"/>
        <s v="Su su"/>
        <s v="Đùi gà tỏi"/>
        <s v="Bí đỏ "/>
        <s v="Đậu khuôn chiên"/>
        <s v="Nấm dai"/>
        <s v="Nấm đùi gà"/>
        <s v="Ớt xiêm"/>
        <s v="Thịt  heo nọng"/>
        <s v="Đậu ve"/>
        <s v=" Nạc vai"/>
        <s v="Rong biển khô"/>
        <s v="Tim heo"/>
        <s v="Rau ngũ điếc"/>
        <s v="Mít non"/>
        <s v="Lá lót"/>
        <s v="Thịt heo nọng"/>
        <s v="Ba chỉ ĐL"/>
        <s v="Cải thìa"/>
        <s v="Tôm ~150c/kg"/>
        <s v="Nạc đùi ĐL"/>
        <s v="Lưỡi heo"/>
        <s v="Ngò rí"/>
        <s v="Phù chúc khô"/>
        <s v="Chả chay"/>
        <s v="Căn cuộn"/>
        <s v="Bún khô"/>
        <s v="Thịt nọng xay mịn"/>
        <s v="trứng cút lọt sẵn"/>
        <s v="Bún tàu"/>
        <s v="Nấm mèo khô"/>
        <s v="Mực tép"/>
        <s v="Bắp giò heo"/>
        <s v="Măng vàng cục"/>
        <s v="Chả cá viên"/>
        <s v="Heo nọng nạc"/>
        <s v="Đậu khuôn chiên lát nhỏ"/>
        <s v="Tôm ~150c"/>
        <s v="Gà enfood"/>
        <s v="Chả cá tâm"/>
      </sharedItems>
    </cacheField>
    <cacheField name="Khối lượng ( kg)" numFmtId="0">
      <sharedItems containsString="0" containsBlank="1" containsNumber="1" minValue="1.4999999999999999E-2" maxValue="770"/>
    </cacheField>
    <cacheField name="Giá nhập (kg)" numFmtId="0">
      <sharedItems containsString="0" containsBlank="1" containsNumber="1" containsInteger="1" minValue="230" maxValue="200000"/>
    </cacheField>
    <cacheField name="Số lượng suất ăn" numFmtId="166">
      <sharedItems containsString="0" containsBlank="1" containsNumber="1" containsInteger="1" minValue="1" maxValue="774"/>
    </cacheField>
    <cacheField name="Định lượng (gram) / khay" numFmtId="165">
      <sharedItems containsMixedTypes="1" containsNumber="1" minValue="6.6666666666666675E-4" maxValue="3.08"/>
    </cacheField>
    <cacheField name="Cost/khay" numFmtId="0">
      <sharedItems containsSemiMixedTypes="0" containsString="0" containsNumber="1" minValue="0" maxValue="14608.6956521739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 STORE" refreshedDate="46208.322495370368" createdVersion="8" refreshedVersion="8" minRefreshableVersion="3" recordCount="150" xr:uid="{B0936E5C-A801-4C96-9ED0-66F8662C17CF}">
  <cacheSource type="worksheet">
    <worksheetSource ref="N14:R164" sheet="Order"/>
  </cacheSource>
  <cacheFields count="5">
    <cacheField name="Ca Nấu" numFmtId="0">
      <sharedItems containsNonDate="0" containsBlank="1" count="3">
        <m/>
        <s v="Ca sáng" u="1"/>
        <s v="Ca chiều" u="1"/>
      </sharedItems>
    </cacheField>
    <cacheField name="Nhà cung cấp" numFmtId="0">
      <sharedItems containsNonDate="0" containsBlank="1" count="14">
        <m/>
        <s v="NCC rau" u="1"/>
        <s v="NCC thịt tươi" u="1"/>
        <s v="NCC chay" u="1"/>
        <s v="NCC Tuyến Tâm" u="1"/>
        <s v="Mua lẻ" u="1"/>
        <s v="NCC trứng" u="1"/>
        <s v="NCC mỳ phở" u="1"/>
        <s v="NCC bún" u="1"/>
        <s v="NCC bánh canh" u="1"/>
        <s v="NCC bánh mì" u="1"/>
        <s v="NCC gia vị" u="1"/>
        <s v="NCC mắm" u="1"/>
        <s v="Chả Sin" u="1"/>
      </sharedItems>
    </cacheField>
    <cacheField name="Tên nguyên liệu " numFmtId="0">
      <sharedItems containsNonDate="0" containsBlank="1" count="78">
        <m/>
        <s v="ba chỉ lóc sườn" u="1"/>
        <s v="nạc vai" u="1"/>
        <s v="Sả" u="1"/>
        <s v="mắm ruốc" u="1"/>
        <s v="Tôm ~120con" u="1"/>
        <s v="Mướp" u="1"/>
        <s v="giá" u="1"/>
        <s v="ngò gai" u="1"/>
        <s v="Cà tím" u="1"/>
        <s v="hành lá" u="1"/>
        <s v="thơm" u="1"/>
        <s v="cà chua" u="1"/>
        <s v="Giá giò" u="1"/>
        <s v="măng chua" u="1"/>
        <s v="ngũ điếc" u="1"/>
        <s v="me chua" u="1"/>
        <s v="thịt xay" u="1"/>
        <s v="Bún khô" u="1"/>
        <s v="Nấm mèo khô" u="1"/>
        <s v="Xà lách" u="1"/>
        <s v="phù chúc khô" u="1"/>
        <s v="Bông chuối " u="1"/>
        <s v="Ngò rí" u="1"/>
        <s v="Chả quế chay" u="1"/>
        <s v="Sườn chay" u="1"/>
        <s v="Nấm kim châm" u="1"/>
        <s v="má đùi gà" u="1"/>
        <s v="Cải ngọt" u="1"/>
        <s v="Phồng tôm" u="1"/>
        <s v="bánh phồng chay" u="1"/>
        <s v="Chanh" u="1"/>
        <s v="Đậu phộng rang" u="1"/>
        <s v="Rau quế" u="1"/>
        <s v="Su trắng" u="1"/>
        <s v="Chuối cây cắt sẵn" u="1"/>
        <s v="Trứng gà trung" u="1"/>
        <s v="Mỳ tươi" u="1"/>
        <s v="Nấm tuyết" u="1"/>
        <s v="Nấm bào ngư" u="1"/>
        <s v="Bí đỏ" u="1"/>
        <s v="Cà rốt" u="1"/>
        <s v="Đậu khuôn chiên lát nhỏ" u="1"/>
        <s v="Hem chay" u="1"/>
        <s v="Tương rim" u="1"/>
        <s v="Hành tây" u="1"/>
        <s v="Xương heo ( lựa nhiều thịt) - chặt ~212 lát/31,5kg" u="1"/>
        <s v="Chả heo chín" u="1"/>
        <s v="Huyết bò" u="1"/>
        <s v="xương ống bò" u="1"/>
        <s v="Củ cải" u="1"/>
        <s v="Đu đủ xanh" u="1"/>
        <s v="Tỏi" u="1"/>
        <s v="Hành tái" u="1"/>
        <s v="Chả phù chúc" u="1"/>
        <s v="Nấm đùi gà" u="1"/>
        <s v="Bún tươi" u="1"/>
        <s v="Bánh canh" u="1"/>
        <s v="Trứng cút lột sẵn" u="1"/>
        <s v="Hành phi" u="1"/>
        <s v="Rau răm" u="1"/>
        <s v="Chả cá tấm hấp" u="1"/>
        <s v="Chả cua" u="1"/>
        <s v="Bánh mì" u="1"/>
        <s v="Khoai tây" u="1"/>
        <s v="Nấm rơm" u="1"/>
        <s v="Chanh " u="1"/>
        <s v="Giá " u="1"/>
        <s v="Ớt xanh huế" u="1"/>
        <s v="Nạm bò M19" u="1"/>
        <s v="Đu đủ" u="1"/>
        <s v="Chả cá nhồng" u="1"/>
        <s v="Chả cá tấm chiên" u="1"/>
        <s v="Cua đồng" u="1"/>
        <s v="Ớt đỏ" u="1"/>
        <s v="tiêu bột" u="1"/>
        <s v="mắm dưa" u="1"/>
        <s v="Chả cá hấp" u="1"/>
      </sharedItems>
    </cacheField>
    <cacheField name="Số lượng Order" numFmtId="167">
      <sharedItems containsNonDate="0" containsString="0" containsBlank="1"/>
    </cacheField>
    <cacheField name="Not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2">
  <r>
    <x v="0"/>
    <s v="Bún mọcHeo đùi mông"/>
    <s v="Món mặn"/>
    <x v="0"/>
    <x v="0"/>
    <x v="0"/>
    <n v="10"/>
    <n v="100000"/>
    <n v="408"/>
    <n v="2.4509803921568627E-2"/>
    <n v="2450.9803921568628"/>
  </r>
  <r>
    <x v="0"/>
    <s v="Bún mọcChả quét"/>
    <s v="Món mặn"/>
    <x v="0"/>
    <x v="0"/>
    <x v="1"/>
    <n v="6"/>
    <n v="120000"/>
    <n v="408"/>
    <n v="1.4705882352941176E-2"/>
    <n v="1764.7058823529412"/>
  </r>
  <r>
    <x v="0"/>
    <s v="Bún mọcThịt xay"/>
    <s v="Món mặn"/>
    <x v="0"/>
    <x v="0"/>
    <x v="2"/>
    <n v="8"/>
    <n v="80000"/>
    <n v="408"/>
    <n v="1.9607843137254902E-2"/>
    <n v="1568.6274509803923"/>
  </r>
  <r>
    <x v="0"/>
    <s v="Bún mọcChả heo chín"/>
    <s v="Món mặn"/>
    <x v="0"/>
    <x v="0"/>
    <x v="3"/>
    <n v="2.5"/>
    <n v="120000"/>
    <n v="408"/>
    <n v="6.1274509803921568E-3"/>
    <n v="735.29411764705878"/>
  </r>
  <r>
    <x v="0"/>
    <s v="Bún mọcDa heo"/>
    <s v="Món mặn"/>
    <x v="0"/>
    <x v="0"/>
    <x v="4"/>
    <n v="9"/>
    <n v="30000"/>
    <n v="408"/>
    <n v="2.2058823529411766E-2"/>
    <n v="661.76470588235293"/>
  </r>
  <r>
    <x v="1"/>
    <s v="Bún mọcBún"/>
    <s v="Món mặn"/>
    <x v="0"/>
    <x v="0"/>
    <x v="5"/>
    <n v="135"/>
    <n v="9500"/>
    <n v="443"/>
    <n v="0.30474040632054178"/>
    <n v="2895.0338600451469"/>
  </r>
  <r>
    <x v="1"/>
    <s v="Bún mọcRau quế"/>
    <s v="Món mặn"/>
    <x v="0"/>
    <x v="0"/>
    <x v="6"/>
    <n v="3"/>
    <n v="15000"/>
    <n v="408"/>
    <n v="7.3529411764705881E-3"/>
    <n v="110.29411764705883"/>
  </r>
  <r>
    <x v="1"/>
    <s v="Bún mọcGiá"/>
    <s v="Món mặn"/>
    <x v="0"/>
    <x v="0"/>
    <x v="7"/>
    <n v="5"/>
    <n v="8000"/>
    <n v="408"/>
    <n v="1.2254901960784314E-2"/>
    <n v="98.039215686274517"/>
  </r>
  <r>
    <x v="1"/>
    <s v="Bún mọcHành lá"/>
    <s v="Món mặn"/>
    <x v="0"/>
    <x v="0"/>
    <x v="8"/>
    <n v="2.5"/>
    <n v="18000"/>
    <n v="408"/>
    <n v="6.1274509803921568E-3"/>
    <n v="110.29411764705883"/>
  </r>
  <r>
    <x v="1"/>
    <s v="Bún mọcChanh "/>
    <s v="Món mặn"/>
    <x v="0"/>
    <x v="0"/>
    <x v="9"/>
    <n v="2"/>
    <n v="26000"/>
    <n v="408"/>
    <n v="4.9019607843137254E-3"/>
    <n v="127.45098039215686"/>
  </r>
  <r>
    <x v="1"/>
    <s v="Bún mọcỚt"/>
    <s v="Món mặn"/>
    <x v="0"/>
    <x v="0"/>
    <x v="10"/>
    <n v="1"/>
    <n v="30000"/>
    <n v="408"/>
    <n v="2.4509803921568627E-3"/>
    <n v="73.529411764705884"/>
  </r>
  <r>
    <x v="1"/>
    <s v="Bún mọcNấm mèo"/>
    <s v="Món mặn"/>
    <x v="0"/>
    <x v="0"/>
    <x v="11"/>
    <n v="0.5"/>
    <n v="55000"/>
    <n v="408"/>
    <n v="1.2254901960784314E-3"/>
    <n v="67.401960784313729"/>
  </r>
  <r>
    <x v="1"/>
    <s v="Trái câyCam"/>
    <s v="Món mặn"/>
    <x v="0"/>
    <x v="1"/>
    <x v="12"/>
    <n v="15"/>
    <n v="18000"/>
    <n v="408"/>
    <n v="3.6764705882352942E-2"/>
    <n v="661.76470588235293"/>
  </r>
  <r>
    <x v="0"/>
    <s v="Mỳ Quảng Tôm ThịtHeo đùi mông"/>
    <s v="Món mặn"/>
    <x v="0"/>
    <x v="2"/>
    <x v="0"/>
    <n v="4.3"/>
    <n v="100000"/>
    <n v="123"/>
    <n v="3.4959349593495934E-2"/>
    <n v="3495.9349593495936"/>
  </r>
  <r>
    <x v="0"/>
    <s v="Mỳ Quảng Tôm ThịtTrứng gà"/>
    <s v="Món mặn"/>
    <x v="0"/>
    <x v="2"/>
    <x v="13"/>
    <n v="64"/>
    <n v="2167"/>
    <n v="123"/>
    <n v="0.52032520325203258"/>
    <n v="1127.5447154471544"/>
  </r>
  <r>
    <x v="0"/>
    <s v="Mỳ Quảng Tôm ThịtTôm"/>
    <s v="Món mặn"/>
    <x v="0"/>
    <x v="2"/>
    <x v="14"/>
    <n v="6"/>
    <n v="115000"/>
    <n v="307"/>
    <n v="1.9543973941368076E-2"/>
    <n v="2247.5570032573291"/>
  </r>
  <r>
    <x v="1"/>
    <s v="Mỳ Quảng Tôm ThịtBánh tráng"/>
    <s v="Món mặn"/>
    <x v="0"/>
    <x v="2"/>
    <x v="15"/>
    <n v="1"/>
    <n v="3000"/>
    <n v="6"/>
    <n v="0.16666666666666666"/>
    <n v="500"/>
  </r>
  <r>
    <x v="1"/>
    <s v="Mỳ Quảng Tôm ThịtXà lách "/>
    <s v="Món mặn"/>
    <x v="0"/>
    <x v="2"/>
    <x v="16"/>
    <n v="2.5"/>
    <n v="25000"/>
    <n v="123"/>
    <n v="2.032520325203252E-2"/>
    <n v="508.130081300813"/>
  </r>
  <r>
    <x v="1"/>
    <s v="Mỳ Quảng Tôm ThịtSu trắng"/>
    <s v="Món mặn"/>
    <x v="0"/>
    <x v="2"/>
    <x v="17"/>
    <n v="2"/>
    <n v="10000"/>
    <n v="123"/>
    <n v="1.6260162601626018E-2"/>
    <n v="162.60162601626016"/>
  </r>
  <r>
    <x v="1"/>
    <s v="Mỳ Quảng Tôm ThịtGiá"/>
    <s v="Món mặn"/>
    <x v="0"/>
    <x v="2"/>
    <x v="7"/>
    <n v="2"/>
    <n v="8000"/>
    <n v="123"/>
    <n v="1.6260162601626018E-2"/>
    <n v="130.08130081300814"/>
  </r>
  <r>
    <x v="1"/>
    <s v="Mỳ Quảng Tôm ThịtHành lá"/>
    <s v="Món mặn"/>
    <x v="0"/>
    <x v="2"/>
    <x v="8"/>
    <n v="0.9"/>
    <n v="18000"/>
    <n v="123"/>
    <n v="7.3170731707317077E-3"/>
    <n v="131.70731707317074"/>
  </r>
  <r>
    <x v="1"/>
    <s v="Mỳ Quảng Tôm ThịtNgò gai"/>
    <s v="Món mặn"/>
    <x v="0"/>
    <x v="2"/>
    <x v="18"/>
    <n v="1"/>
    <n v="36000"/>
    <n v="307"/>
    <n v="3.2573289902280132E-3"/>
    <n v="117.26384364820846"/>
  </r>
  <r>
    <x v="1"/>
    <s v="Mỳ Quảng Tôm ThịtQuế"/>
    <s v="Món mặn"/>
    <x v="0"/>
    <x v="2"/>
    <x v="19"/>
    <n v="1"/>
    <n v="15000"/>
    <n v="123"/>
    <n v="8.130081300813009E-3"/>
    <n v="121.95121951219512"/>
  </r>
  <r>
    <x v="1"/>
    <s v="Mỳ Quảng Tôm ThịtChanh"/>
    <s v="Món mặn"/>
    <x v="0"/>
    <x v="2"/>
    <x v="20"/>
    <n v="0.5"/>
    <n v="26000"/>
    <n v="123"/>
    <n v="4.0650406504065045E-3"/>
    <n v="105.6910569105691"/>
  </r>
  <r>
    <x v="1"/>
    <s v="Mỳ Quảng Tôm ThịtỚt"/>
    <s v="Món mặn"/>
    <x v="0"/>
    <x v="2"/>
    <x v="10"/>
    <n v="0.5"/>
    <n v="30000"/>
    <n v="123"/>
    <n v="4.0650406504065045E-3"/>
    <n v="121.95121951219512"/>
  </r>
  <r>
    <x v="1"/>
    <s v="Trái câyỔi"/>
    <s v="Món mặn"/>
    <x v="0"/>
    <x v="1"/>
    <x v="21"/>
    <n v="6"/>
    <n v="17000"/>
    <n v="123"/>
    <n v="4.878048780487805E-2"/>
    <n v="829.26829268292681"/>
  </r>
  <r>
    <x v="1"/>
    <s v="MỳMỳ"/>
    <s v="Món mặn"/>
    <x v="0"/>
    <x v="3"/>
    <x v="22"/>
    <n v="50"/>
    <n v="9400"/>
    <n v="125"/>
    <n v="0.4"/>
    <n v="3760"/>
  </r>
  <r>
    <x v="0"/>
    <s v="Cá kình kho thơmCá kình"/>
    <s v="Món mặn"/>
    <x v="1"/>
    <x v="4"/>
    <x v="23"/>
    <n v="45"/>
    <n v="37000"/>
    <n v="300"/>
    <n v="0.15"/>
    <n v="5550"/>
  </r>
  <r>
    <x v="1"/>
    <s v="Cá kình kho thơmThơm"/>
    <s v="Món mặn"/>
    <x v="1"/>
    <x v="4"/>
    <x v="24"/>
    <n v="7"/>
    <n v="18000"/>
    <n v="300"/>
    <n v="2.3333333333333334E-2"/>
    <n v="420"/>
  </r>
  <r>
    <x v="0"/>
    <s v="Thịt heo luộc giá chuaThịt đùi mông"/>
    <s v="Món mặn"/>
    <x v="2"/>
    <x v="5"/>
    <x v="25"/>
    <n v="4.3"/>
    <n v="100000"/>
    <n v="100"/>
    <n v="4.2999999999999997E-2"/>
    <n v="4300"/>
  </r>
  <r>
    <x v="1"/>
    <s v="Thịt heo luộc giá chuaHành lá"/>
    <s v="Món mặn"/>
    <x v="2"/>
    <x v="5"/>
    <x v="8"/>
    <n v="0.3"/>
    <n v="18000"/>
    <n v="100"/>
    <n v="3.0000000000000001E-3"/>
    <n v="54"/>
  </r>
  <r>
    <x v="1"/>
    <s v="Thịt heo luộc giá chuaGiá"/>
    <s v="Món mặn"/>
    <x v="2"/>
    <x v="5"/>
    <x v="7"/>
    <n v="4"/>
    <n v="8000"/>
    <n v="100"/>
    <n v="0.04"/>
    <n v="320"/>
  </r>
  <r>
    <x v="1"/>
    <s v="Thịt heo luộc giá chuaCà rốt"/>
    <s v="Món mặn"/>
    <x v="2"/>
    <x v="5"/>
    <x v="26"/>
    <n v="1"/>
    <n v="15000"/>
    <n v="100"/>
    <n v="0.01"/>
    <n v="150"/>
  </r>
  <r>
    <x v="1"/>
    <s v="Rau xào thập cẩmRau thập cẩm"/>
    <s v="Món mặn"/>
    <x v="3"/>
    <x v="6"/>
    <x v="27"/>
    <n v="35"/>
    <n v="16000"/>
    <n v="438"/>
    <n v="7.9908675799086754E-2"/>
    <n v="1278.538812785388"/>
  </r>
  <r>
    <x v="1"/>
    <s v="Sữa chuaSữa chua"/>
    <s v="Món mặn"/>
    <x v="4"/>
    <x v="7"/>
    <x v="28"/>
    <n v="290"/>
    <n v="4620"/>
    <n v="290"/>
    <n v="1"/>
    <n v="4620"/>
  </r>
  <r>
    <x v="0"/>
    <s v="Cá nục kho xì dầuCá nục"/>
    <s v="Món mặn"/>
    <x v="1"/>
    <x v="8"/>
    <x v="29"/>
    <n v="13"/>
    <n v="43000"/>
    <n v="110"/>
    <n v="0.11818181818181818"/>
    <n v="5081.818181818182"/>
  </r>
  <r>
    <x v="0"/>
    <s v="Cá chim kho càCá chim"/>
    <s v="Món mặn"/>
    <x v="1"/>
    <x v="9"/>
    <x v="30"/>
    <n v="23"/>
    <n v="37000"/>
    <n v="134"/>
    <n v="0.17164179104477612"/>
    <n v="6350.746268656716"/>
  </r>
  <r>
    <x v="1"/>
    <s v="Cá chim kho càCà chua"/>
    <s v="Món mặn"/>
    <x v="1"/>
    <x v="9"/>
    <x v="31"/>
    <n v="3"/>
    <n v="20000"/>
    <n v="134"/>
    <n v="2.2388059701492536E-2"/>
    <n v="447.76119402985074"/>
  </r>
  <r>
    <x v="0"/>
    <s v="Tôm thịt rimTôm"/>
    <s v="Món mặn"/>
    <x v="1"/>
    <x v="10"/>
    <x v="14"/>
    <n v="2.5"/>
    <n v="115000"/>
    <n v="134"/>
    <n v="1.8656716417910446E-2"/>
    <n v="2145.5223880597014"/>
  </r>
  <r>
    <x v="0"/>
    <s v="Tôm thịt rimThịt nọng"/>
    <s v="Món mặn"/>
    <x v="1"/>
    <x v="10"/>
    <x v="32"/>
    <n v="1.5"/>
    <n v="60000"/>
    <n v="134"/>
    <n v="1.1194029850746268E-2"/>
    <n v="671.64179104477614"/>
  </r>
  <r>
    <x v="0"/>
    <s v="Tôm thịt rimNạc vai"/>
    <s v="Món mặn"/>
    <x v="1"/>
    <x v="10"/>
    <x v="33"/>
    <n v="3.5"/>
    <n v="100000"/>
    <n v="134"/>
    <n v="2.6119402985074626E-2"/>
    <n v="2611.9402985074626"/>
  </r>
  <r>
    <x v="1"/>
    <s v="Bí đao nấu tômBí đao"/>
    <s v="Món mặn"/>
    <x v="5"/>
    <x v="11"/>
    <x v="34"/>
    <n v="5"/>
    <n v="9000"/>
    <n v="136"/>
    <n v="3.6764705882352942E-2"/>
    <n v="330.88235294117646"/>
  </r>
  <r>
    <x v="0"/>
    <s v="Bí đao nấu tômTôm"/>
    <s v="Món mặn"/>
    <x v="5"/>
    <x v="11"/>
    <x v="14"/>
    <n v="0.5"/>
    <n v="115000"/>
    <n v="134"/>
    <n v="3.7313432835820895E-3"/>
    <n v="429.1044776119403"/>
  </r>
  <r>
    <x v="1"/>
    <s v="Rau muống xào tỏiRau muống"/>
    <s v="Món mặn"/>
    <x v="3"/>
    <x v="12"/>
    <x v="35"/>
    <n v="12"/>
    <n v="6000"/>
    <n v="125"/>
    <n v="9.6000000000000002E-2"/>
    <n v="576"/>
  </r>
  <r>
    <x v="0"/>
    <s v="Gỏi gà xéGà"/>
    <s v="Món mặn"/>
    <x v="1"/>
    <x v="13"/>
    <x v="36"/>
    <n v="35"/>
    <n v="45000"/>
    <n v="404"/>
    <n v="8.6633663366336627E-2"/>
    <n v="3898.5148514851485"/>
  </r>
  <r>
    <x v="1"/>
    <s v="Gỏi gà xéSu tím"/>
    <s v="Món mặn"/>
    <x v="1"/>
    <x v="13"/>
    <x v="37"/>
    <n v="8"/>
    <n v="14000"/>
    <n v="404"/>
    <n v="1.9801980198019802E-2"/>
    <n v="277.22772277227722"/>
  </r>
  <r>
    <x v="1"/>
    <s v="Gỏi gà xéSu trắng"/>
    <s v="Món mặn"/>
    <x v="1"/>
    <x v="13"/>
    <x v="17"/>
    <n v="10"/>
    <n v="11000"/>
    <n v="404"/>
    <n v="2.4752475247524754E-2"/>
    <n v="272.2772277227723"/>
  </r>
  <r>
    <x v="1"/>
    <s v="Gỏi gà xéRau răm"/>
    <s v="Món mặn"/>
    <x v="1"/>
    <x v="13"/>
    <x v="38"/>
    <n v="1.5"/>
    <n v="20000"/>
    <n v="404"/>
    <n v="3.7128712871287127E-3"/>
    <n v="74.257425742574256"/>
  </r>
  <r>
    <x v="1"/>
    <s v="Gỏi gà xéCà Rốt"/>
    <s v="Món mặn"/>
    <x v="1"/>
    <x v="13"/>
    <x v="26"/>
    <n v="10"/>
    <n v="15000"/>
    <n v="404"/>
    <n v="2.4752475247524754E-2"/>
    <n v="371.28712871287127"/>
  </r>
  <r>
    <x v="1"/>
    <s v="Mướp xào giáMướp"/>
    <s v="Món mặn"/>
    <x v="3"/>
    <x v="14"/>
    <x v="39"/>
    <n v="32"/>
    <n v="10000"/>
    <n v="433"/>
    <n v="7.3903002309468821E-2"/>
    <n v="739.0300230946882"/>
  </r>
  <r>
    <x v="1"/>
    <s v="Mướp xào giáGiá"/>
    <s v="Món mặn"/>
    <x v="3"/>
    <x v="14"/>
    <x v="7"/>
    <n v="17"/>
    <n v="8000"/>
    <n v="433"/>
    <n v="3.9260969976905313E-2"/>
    <n v="314.08775981524252"/>
  </r>
  <r>
    <x v="0"/>
    <s v="Chả cá sốt càChả cá"/>
    <s v="Món mặn"/>
    <x v="2"/>
    <x v="15"/>
    <x v="40"/>
    <n v="270"/>
    <n v="1000"/>
    <n v="113"/>
    <n v="2.3893805309734515"/>
    <n v="2389.3805309734512"/>
  </r>
  <r>
    <x v="1"/>
    <s v="Chả cá sốt càCà chua"/>
    <s v="Món mặn"/>
    <x v="2"/>
    <x v="15"/>
    <x v="31"/>
    <n v="3"/>
    <n v="20000"/>
    <n v="113"/>
    <n v="2.6548672566371681E-2"/>
    <n v="530.97345132743362"/>
  </r>
  <r>
    <x v="1"/>
    <s v="Dưa mónDưa món"/>
    <s v="Món mặn"/>
    <x v="6"/>
    <x v="16"/>
    <x v="41"/>
    <n v="17"/>
    <n v="15000"/>
    <n v="404"/>
    <n v="4.2079207920792082E-2"/>
    <n v="631.18811881188117"/>
  </r>
  <r>
    <x v="1"/>
    <s v="Canh củ quảKhoai tây"/>
    <s v="Món mặn"/>
    <x v="5"/>
    <x v="17"/>
    <x v="42"/>
    <n v="4"/>
    <n v="17000"/>
    <n v="433"/>
    <n v="9.2378752886836026E-3"/>
    <n v="157.04387990762126"/>
  </r>
  <r>
    <x v="1"/>
    <s v="Canh củ quảCà rốt"/>
    <s v="Món mặn"/>
    <x v="5"/>
    <x v="17"/>
    <x v="26"/>
    <n v="5.5"/>
    <n v="15000"/>
    <n v="433"/>
    <n v="1.2702078521939953E-2"/>
    <n v="190.53117782909931"/>
  </r>
  <r>
    <x v="0"/>
    <s v="Canh củ quảThịt xay"/>
    <s v="Món mặn"/>
    <x v="5"/>
    <x v="17"/>
    <x v="2"/>
    <n v="1"/>
    <n v="80000"/>
    <n v="404"/>
    <n v="2.4752475247524753E-3"/>
    <n v="198.01980198019803"/>
  </r>
  <r>
    <x v="1"/>
    <s v="Trái câyChuối"/>
    <s v="Món mặn"/>
    <x v="4"/>
    <x v="1"/>
    <x v="43"/>
    <n v="450"/>
    <n v="1500"/>
    <n v="433"/>
    <n v="1.0392609699769053"/>
    <n v="1558.891454965358"/>
  </r>
  <r>
    <x v="1"/>
    <s v="CơmGạo"/>
    <s v="Món mặn"/>
    <x v="7"/>
    <x v="18"/>
    <x v="44"/>
    <n v="60"/>
    <n v="15000"/>
    <n v="433"/>
    <n v="0.13856812933025403"/>
    <n v="2078.5219399538105"/>
  </r>
  <r>
    <x v="0"/>
    <s v="Cá phèn khoCá phèn"/>
    <s v="Món mặn"/>
    <x v="1"/>
    <x v="19"/>
    <x v="45"/>
    <n v="4.2"/>
    <n v="37000"/>
    <n v="36"/>
    <n v="0.11666666666666667"/>
    <n v="4316.666666666667"/>
  </r>
  <r>
    <x v="0"/>
    <s v="Thịt heo kho sả ruốcThịt heo nọng nạc"/>
    <s v="Món mặn"/>
    <x v="1"/>
    <x v="20"/>
    <x v="46"/>
    <n v="21"/>
    <n v="60000"/>
    <n v="300"/>
    <n v="7.0000000000000007E-2"/>
    <n v="4200"/>
  </r>
  <r>
    <x v="0"/>
    <s v="Thịt heo kho sả ruốcSả"/>
    <s v="Món mặn"/>
    <x v="1"/>
    <x v="20"/>
    <x v="47"/>
    <n v="3.5"/>
    <n v="10000"/>
    <n v="300"/>
    <n v="1.1666666666666667E-2"/>
    <n v="116.66666666666667"/>
  </r>
  <r>
    <x v="0"/>
    <s v="Thịt heo kho sả ruốcMắm ruốc"/>
    <s v="Món mặn"/>
    <x v="1"/>
    <x v="20"/>
    <x v="48"/>
    <n v="1.5"/>
    <n v="40000"/>
    <n v="300"/>
    <n v="5.0000000000000001E-3"/>
    <n v="200"/>
  </r>
  <r>
    <x v="0"/>
    <s v="Canh cải ngọt thịt bằmThịt xay"/>
    <s v="Món mặn"/>
    <x v="5"/>
    <x v="21"/>
    <x v="2"/>
    <n v="0.3"/>
    <n v="80000"/>
    <n v="100"/>
    <n v="3.0000000000000001E-3"/>
    <n v="240"/>
  </r>
  <r>
    <x v="1"/>
    <s v="Canh cải ngọt thịt bằmCải ngọt"/>
    <s v="Món mặn"/>
    <x v="5"/>
    <x v="21"/>
    <x v="49"/>
    <n v="1.5"/>
    <n v="8000"/>
    <n v="36"/>
    <n v="4.1666666666666664E-2"/>
    <n v="333.33333333333331"/>
  </r>
  <r>
    <x v="1"/>
    <s v="Cơm sườnCốt lết"/>
    <s v="Món mặn"/>
    <x v="1"/>
    <x v="22"/>
    <x v="50"/>
    <n v="11.2"/>
    <n v="100000"/>
    <n v="91"/>
    <n v="0.12307692307692307"/>
    <n v="12307.692307692309"/>
  </r>
  <r>
    <x v="0"/>
    <s v="Cơm sườnTrứng gà"/>
    <s v="Món mặn"/>
    <x v="1"/>
    <x v="22"/>
    <x v="13"/>
    <n v="85"/>
    <n v="2160"/>
    <n v="91"/>
    <n v="0.93406593406593408"/>
    <n v="2017.5824175824175"/>
  </r>
  <r>
    <x v="0"/>
    <s v="Cá basa kho nghệCá basa"/>
    <s v="Món mặn"/>
    <x v="1"/>
    <x v="23"/>
    <x v="51"/>
    <n v="37"/>
    <n v="35000"/>
    <n v="300"/>
    <n v="0.12333333333333334"/>
    <n v="4316.666666666667"/>
  </r>
  <r>
    <x v="0"/>
    <s v="Gỏi tai heoTai mui heo"/>
    <s v="Món mặn"/>
    <x v="2"/>
    <x v="24"/>
    <x v="52"/>
    <n v="9"/>
    <n v="70000"/>
    <n v="300"/>
    <n v="0.03"/>
    <n v="2100"/>
  </r>
  <r>
    <x v="1"/>
    <s v="Gỏi tai heoSu tím "/>
    <s v="Món mặn"/>
    <x v="2"/>
    <x v="24"/>
    <x v="53"/>
    <n v="6"/>
    <n v="14000"/>
    <n v="300"/>
    <n v="0.02"/>
    <n v="280"/>
  </r>
  <r>
    <x v="1"/>
    <s v="Gỏi tai heoSu trắng"/>
    <s v="Món mặn"/>
    <x v="2"/>
    <x v="24"/>
    <x v="17"/>
    <n v="8"/>
    <n v="10000"/>
    <n v="300"/>
    <n v="2.6666666666666668E-2"/>
    <n v="266.66666666666669"/>
  </r>
  <r>
    <x v="1"/>
    <s v="Gỏi tai heoCà rốt"/>
    <s v="Món mặn"/>
    <x v="2"/>
    <x v="24"/>
    <x v="26"/>
    <n v="5"/>
    <n v="15000"/>
    <n v="300"/>
    <n v="1.6666666666666666E-2"/>
    <n v="250"/>
  </r>
  <r>
    <x v="1"/>
    <s v="Gỏi tai heoRau quế"/>
    <s v="Món mặn"/>
    <x v="2"/>
    <x v="24"/>
    <x v="6"/>
    <n v="1.5"/>
    <n v="20000"/>
    <n v="300"/>
    <n v="5.0000000000000001E-3"/>
    <n v="100"/>
  </r>
  <r>
    <x v="1"/>
    <s v="Bầu xào giáGiá"/>
    <s v="Món mặn"/>
    <x v="3"/>
    <x v="25"/>
    <x v="7"/>
    <n v="13"/>
    <n v="8000"/>
    <n v="323"/>
    <n v="4.0247678018575851E-2"/>
    <n v="321.98142414860683"/>
  </r>
  <r>
    <x v="1"/>
    <s v="Bầu xào giáBầu"/>
    <s v="Món mặn"/>
    <x v="3"/>
    <x v="25"/>
    <x v="54"/>
    <n v="15"/>
    <n v="11000"/>
    <n v="323"/>
    <n v="4.6439628482972138E-2"/>
    <n v="510.83591331269349"/>
  </r>
  <r>
    <x v="1"/>
    <s v="Bồ ngốt nấu tômBồ ngót"/>
    <s v="Món mặn"/>
    <x v="5"/>
    <x v="26"/>
    <x v="55"/>
    <n v="10"/>
    <n v="12000"/>
    <n v="323"/>
    <n v="3.0959752321981424E-2"/>
    <n v="371.51702786377712"/>
  </r>
  <r>
    <x v="0"/>
    <s v="Bồ ngốt nấu tômTôm"/>
    <s v="Món mặn"/>
    <x v="5"/>
    <x v="26"/>
    <x v="14"/>
    <n v="1.5"/>
    <n v="115000"/>
    <n v="500"/>
    <n v="3.0000000000000001E-3"/>
    <n v="345"/>
  </r>
  <r>
    <x v="1"/>
    <s v="Trái câyThanh long"/>
    <s v="Món mặn"/>
    <x v="4"/>
    <x v="1"/>
    <x v="56"/>
    <n v="35"/>
    <n v="20000"/>
    <n v="323"/>
    <n v="0.10835913312693499"/>
    <n v="2167.1826625386998"/>
  </r>
  <r>
    <x v="1"/>
    <s v="Sữa chuaSữa chua"/>
    <s v="Món mặn"/>
    <x v="8"/>
    <x v="7"/>
    <x v="28"/>
    <n v="91"/>
    <n v="4125"/>
    <n v="91"/>
    <n v="1"/>
    <n v="4125"/>
  </r>
  <r>
    <x v="0"/>
    <s v="Phở gàGà"/>
    <s v="Món mặn"/>
    <x v="0"/>
    <x v="27"/>
    <x v="36"/>
    <n v="12"/>
    <n v="50000"/>
    <n v="100"/>
    <n v="0.12"/>
    <n v="6000"/>
  </r>
  <r>
    <x v="1"/>
    <s v="Phở gàPhở"/>
    <s v="Món mặn"/>
    <x v="0"/>
    <x v="27"/>
    <x v="57"/>
    <n v="75"/>
    <n v="11500"/>
    <n v="249"/>
    <n v="0.30120481927710846"/>
    <n v="3463.8554216867469"/>
  </r>
  <r>
    <x v="1"/>
    <s v="Phở gàHành tây"/>
    <s v="Món mặn"/>
    <x v="0"/>
    <x v="27"/>
    <x v="58"/>
    <n v="3"/>
    <n v="11000"/>
    <n v="249"/>
    <n v="1.2048192771084338E-2"/>
    <n v="132.53012048192772"/>
  </r>
  <r>
    <x v="1"/>
    <s v="Phở gàHành lá"/>
    <s v="Món mặn"/>
    <x v="0"/>
    <x v="27"/>
    <x v="8"/>
    <n v="3"/>
    <n v="18000"/>
    <n v="249"/>
    <n v="1.2048192771084338E-2"/>
    <n v="216.86746987951807"/>
  </r>
  <r>
    <x v="1"/>
    <s v="Phở gàChanh"/>
    <s v="Món mặn"/>
    <x v="0"/>
    <x v="27"/>
    <x v="20"/>
    <n v="2"/>
    <n v="26000"/>
    <n v="230"/>
    <n v="8.6956521739130436E-3"/>
    <n v="226.08695652173913"/>
  </r>
  <r>
    <x v="1"/>
    <s v="Phở gàỚt"/>
    <s v="Món mặn"/>
    <x v="0"/>
    <x v="27"/>
    <x v="10"/>
    <n v="1"/>
    <n v="30000"/>
    <n v="230"/>
    <n v="4.3478260869565218E-3"/>
    <n v="130.43478260869566"/>
  </r>
  <r>
    <x v="1"/>
    <s v="Phở gàNgò gai"/>
    <s v="Món mặn"/>
    <x v="0"/>
    <x v="27"/>
    <x v="18"/>
    <n v="1"/>
    <n v="36000"/>
    <n v="249"/>
    <n v="4.0160642570281121E-3"/>
    <n v="144.57831325301206"/>
  </r>
  <r>
    <x v="1"/>
    <s v="Phở gàRau quế"/>
    <s v="Món mặn"/>
    <x v="0"/>
    <x v="27"/>
    <x v="6"/>
    <n v="1.5"/>
    <n v="20000"/>
    <n v="249"/>
    <n v="6.024096385542169E-3"/>
    <n v="120.48192771084338"/>
  </r>
  <r>
    <x v="1"/>
    <s v="Phở gàGiá"/>
    <s v="Món mặn"/>
    <x v="0"/>
    <x v="27"/>
    <x v="7"/>
    <n v="4"/>
    <n v="8000"/>
    <n v="249"/>
    <n v="1.6064257028112448E-2"/>
    <n v="128.5140562248996"/>
  </r>
  <r>
    <x v="0"/>
    <s v="Cá đù khoCá đù"/>
    <s v="Món mặn"/>
    <x v="1"/>
    <x v="28"/>
    <x v="59"/>
    <n v="12"/>
    <n v="48000"/>
    <n v="119"/>
    <n v="0.10084033613445378"/>
    <n v="4840.3361344537816"/>
  </r>
  <r>
    <x v="0"/>
    <s v="Heo xíu xào giáHeo đùi mông"/>
    <s v="Món mặn"/>
    <x v="2"/>
    <x v="29"/>
    <x v="0"/>
    <n v="3.5"/>
    <n v="100000"/>
    <n v="100"/>
    <n v="3.5000000000000003E-2"/>
    <n v="3500"/>
  </r>
  <r>
    <x v="1"/>
    <s v="Heo xíu xào giáGiá"/>
    <s v="Món mặn"/>
    <x v="2"/>
    <x v="29"/>
    <x v="7"/>
    <n v="6"/>
    <n v="8000"/>
    <n v="100"/>
    <n v="0.06"/>
    <n v="480"/>
  </r>
  <r>
    <x v="1"/>
    <s v="Củ quả luộcCà rốt"/>
    <s v="Món mặn"/>
    <x v="3"/>
    <x v="30"/>
    <x v="26"/>
    <n v="3"/>
    <n v="15000"/>
    <n v="119"/>
    <n v="2.5210084033613446E-2"/>
    <n v="378.15126050420167"/>
  </r>
  <r>
    <x v="1"/>
    <s v="Củ quả luộcKhoai tây"/>
    <s v="Món mặn"/>
    <x v="3"/>
    <x v="30"/>
    <x v="42"/>
    <n v="3"/>
    <n v="17000"/>
    <n v="119"/>
    <n v="2.5210084033613446E-2"/>
    <n v="428.57142857142856"/>
  </r>
  <r>
    <x v="1"/>
    <s v="Củ quả luộcĐậu bắp"/>
    <s v="Món mặn"/>
    <x v="3"/>
    <x v="30"/>
    <x v="60"/>
    <n v="3.5"/>
    <n v="12000"/>
    <n v="119"/>
    <n v="2.9411764705882353E-2"/>
    <n v="352.94117647058823"/>
  </r>
  <r>
    <x v="1"/>
    <s v="Bí đao nấu tômBí đao"/>
    <s v="Món mặn"/>
    <x v="5"/>
    <x v="11"/>
    <x v="34"/>
    <n v="4.5"/>
    <n v="10000"/>
    <n v="119"/>
    <n v="3.7815126050420166E-2"/>
    <n v="378.15126050420167"/>
  </r>
  <r>
    <x v="0"/>
    <s v="Bí đao nấu tômTôm"/>
    <s v="Món mặn"/>
    <x v="5"/>
    <x v="11"/>
    <x v="14"/>
    <n v="0.5"/>
    <n v="110000"/>
    <n v="119"/>
    <n v="4.2016806722689074E-3"/>
    <n v="462.18487394957981"/>
  </r>
  <r>
    <x v="1"/>
    <s v="Trái câyDưa hấu"/>
    <s v="Món mặn"/>
    <x v="4"/>
    <x v="1"/>
    <x v="61"/>
    <n v="12"/>
    <n v="12000"/>
    <n v="119"/>
    <n v="0.10084033613445378"/>
    <n v="1210.0840336134454"/>
  </r>
  <r>
    <x v="1"/>
    <s v="Sữa chuaSữa chua"/>
    <s v="Món mặn"/>
    <x v="8"/>
    <x v="7"/>
    <x v="28"/>
    <n v="119"/>
    <n v="4375"/>
    <n v="119"/>
    <n v="1"/>
    <n v="4375"/>
  </r>
  <r>
    <x v="0"/>
    <s v="Cá hố khoCá hố"/>
    <s v="Món mặn"/>
    <x v="1"/>
    <x v="31"/>
    <x v="62"/>
    <n v="40"/>
    <n v="60000"/>
    <n v="325"/>
    <n v="0.12307692307692308"/>
    <n v="7384.6153846153848"/>
  </r>
  <r>
    <x v="1"/>
    <s v="Mướp xào giáMướp"/>
    <s v="Món mặn"/>
    <x v="3"/>
    <x v="14"/>
    <x v="39"/>
    <n v="20"/>
    <n v="10000"/>
    <n v="325"/>
    <n v="6.1538461538461542E-2"/>
    <n v="615.38461538461536"/>
  </r>
  <r>
    <x v="1"/>
    <s v="Mướp xào giáGiá"/>
    <s v="Món mặn"/>
    <x v="3"/>
    <x v="14"/>
    <x v="7"/>
    <n v="20"/>
    <n v="8000"/>
    <n v="325"/>
    <n v="6.1538461538461542E-2"/>
    <n v="492.30769230769232"/>
  </r>
  <r>
    <x v="1"/>
    <s v="Trái câyỔi"/>
    <s v="Món mặn"/>
    <x v="4"/>
    <x v="1"/>
    <x v="21"/>
    <n v="30"/>
    <n v="17000"/>
    <n v="415"/>
    <n v="7.2289156626506021E-2"/>
    <n v="1228.9156626506024"/>
  </r>
  <r>
    <x v="1"/>
    <s v="Sữa chuaSữa chua"/>
    <s v="Món mặn"/>
    <x v="8"/>
    <x v="7"/>
    <x v="28"/>
    <m/>
    <n v="4375"/>
    <m/>
    <e v="#DIV/0!"/>
    <n v="4375"/>
  </r>
  <r>
    <x v="0"/>
    <s v="Cơm sườn queSườn"/>
    <s v="Món mặn"/>
    <x v="1"/>
    <x v="32"/>
    <x v="63"/>
    <n v="9"/>
    <n v="95000"/>
    <n v="100"/>
    <n v="0.09"/>
    <n v="8550"/>
  </r>
  <r>
    <x v="1"/>
    <s v="Cơm sườn queSả"/>
    <s v="Món mặn"/>
    <x v="1"/>
    <x v="32"/>
    <x v="47"/>
    <n v="0.6"/>
    <n v="10000"/>
    <n v="100"/>
    <n v="6.0000000000000001E-3"/>
    <n v="60"/>
  </r>
  <r>
    <x v="1"/>
    <s v="Cơm sườn queCải thảo "/>
    <s v="Món mặn"/>
    <x v="1"/>
    <x v="32"/>
    <x v="64"/>
    <n v="3"/>
    <n v="14000"/>
    <n v="100"/>
    <n v="0.03"/>
    <n v="420"/>
  </r>
  <r>
    <x v="1"/>
    <s v="Cơm sườn queCà rốt"/>
    <s v="Món mặn"/>
    <x v="1"/>
    <x v="32"/>
    <x v="26"/>
    <n v="2"/>
    <n v="15000"/>
    <n v="100"/>
    <n v="0.02"/>
    <n v="300"/>
  </r>
  <r>
    <x v="1"/>
    <s v="Cơm sườn quecủ cải"/>
    <s v="Món mặn"/>
    <x v="1"/>
    <x v="32"/>
    <x v="65"/>
    <n v="3"/>
    <n v="8000"/>
    <n v="100"/>
    <n v="0.03"/>
    <n v="240"/>
  </r>
  <r>
    <x v="1"/>
    <s v="Cơm sườn queỚt sừng"/>
    <s v="Món mặn"/>
    <x v="1"/>
    <x v="32"/>
    <x v="66"/>
    <n v="0.5"/>
    <n v="40000"/>
    <n v="100"/>
    <n v="5.0000000000000001E-3"/>
    <n v="200"/>
  </r>
  <r>
    <x v="0"/>
    <s v="Trứng xào cà chuaTrứng gà"/>
    <s v="Món mặn"/>
    <x v="2"/>
    <x v="33"/>
    <x v="13"/>
    <n v="230"/>
    <n v="2400"/>
    <n v="262"/>
    <n v="0.87786259541984735"/>
    <n v="2106.8702290076335"/>
  </r>
  <r>
    <x v="1"/>
    <s v="Trứng xào cà chuaCà chua"/>
    <s v="Món mặn"/>
    <x v="2"/>
    <x v="33"/>
    <x v="31"/>
    <n v="5"/>
    <n v="20000"/>
    <n v="262"/>
    <n v="1.9083969465648856E-2"/>
    <n v="381.67938931297709"/>
  </r>
  <r>
    <x v="1"/>
    <s v="Trái câyChuối"/>
    <s v="Món mặn"/>
    <x v="4"/>
    <x v="1"/>
    <x v="43"/>
    <n v="262"/>
    <n v="1500"/>
    <n v="262"/>
    <n v="1"/>
    <n v="1500"/>
  </r>
  <r>
    <x v="0"/>
    <s v="Cá lóc khoCá lóc"/>
    <s v="Món mặn"/>
    <x v="1"/>
    <x v="34"/>
    <x v="67"/>
    <n v="15"/>
    <n v="58000"/>
    <n v="125"/>
    <n v="0.12"/>
    <n v="6960"/>
  </r>
  <r>
    <x v="1"/>
    <s v="Đậu khuôn thịt bằmĐậu khuôn"/>
    <s v="Món mặn"/>
    <x v="2"/>
    <x v="35"/>
    <x v="68"/>
    <n v="118"/>
    <n v="1600"/>
    <n v="118"/>
    <n v="1"/>
    <n v="1600"/>
  </r>
  <r>
    <x v="0"/>
    <s v="Đậu khuôn thịt bằmThịt bằm"/>
    <s v="Món mặn"/>
    <x v="2"/>
    <x v="35"/>
    <x v="69"/>
    <n v="1"/>
    <n v="80000"/>
    <n v="100"/>
    <n v="0.01"/>
    <n v="800"/>
  </r>
  <r>
    <x v="1"/>
    <s v="Đậu khuôn thịt bằmNấm mèo"/>
    <s v="Món mặn"/>
    <x v="2"/>
    <x v="35"/>
    <x v="11"/>
    <n v="0.2"/>
    <n v="110000"/>
    <n v="118"/>
    <n v="1.6949152542372883E-3"/>
    <n v="186.4406779661017"/>
  </r>
  <r>
    <x v="1"/>
    <s v="Đậu khuôn thịt bằmCà rốt"/>
    <s v="Món mặn"/>
    <x v="2"/>
    <x v="35"/>
    <x v="26"/>
    <n v="2"/>
    <n v="15000"/>
    <n v="118"/>
    <n v="1.6949152542372881E-2"/>
    <n v="254.23728813559322"/>
  </r>
  <r>
    <x v="1"/>
    <s v="Dưa cải xàoDưa cải"/>
    <s v="Món mặn"/>
    <x v="3"/>
    <x v="36"/>
    <x v="70"/>
    <n v="9"/>
    <n v="15000"/>
    <n v="118"/>
    <n v="7.6271186440677971E-2"/>
    <n v="1144.0677966101696"/>
  </r>
  <r>
    <x v="1"/>
    <s v="Bí đỏ thịt bằmBí đỏ"/>
    <s v="Món mặn"/>
    <x v="5"/>
    <x v="37"/>
    <x v="71"/>
    <n v="4"/>
    <n v="11000"/>
    <n v="118"/>
    <n v="3.3898305084745763E-2"/>
    <n v="372.88135593220341"/>
  </r>
  <r>
    <x v="0"/>
    <s v="Bí đỏ thịt bằmThịt bằm"/>
    <s v="Món mặn"/>
    <x v="5"/>
    <x v="37"/>
    <x v="69"/>
    <n v="0.3"/>
    <n v="80000"/>
    <n v="118"/>
    <n v="2.542372881355932E-3"/>
    <n v="203.38983050847457"/>
  </r>
  <r>
    <x v="1"/>
    <s v="Sữa chuaSữa chua"/>
    <s v="Sữa chua"/>
    <x v="8"/>
    <x v="7"/>
    <x v="28"/>
    <n v="118"/>
    <n v="4375"/>
    <n v="118"/>
    <n v="1"/>
    <n v="4375"/>
  </r>
  <r>
    <x v="0"/>
    <s v="Gỏi bòBò "/>
    <s v="Món mặn"/>
    <x v="2"/>
    <x v="38"/>
    <x v="72"/>
    <n v="8"/>
    <n v="80000"/>
    <n v="247"/>
    <n v="3.2388663967611336E-2"/>
    <n v="2591.0931174089069"/>
  </r>
  <r>
    <x v="1"/>
    <s v="Gỏi bòSu trắng"/>
    <s v="Món mặn"/>
    <x v="2"/>
    <x v="38"/>
    <x v="17"/>
    <n v="6"/>
    <n v="10000"/>
    <n v="247"/>
    <n v="2.4291497975708502E-2"/>
    <n v="242.91497975708501"/>
  </r>
  <r>
    <x v="1"/>
    <s v="Gỏi bòSu tím"/>
    <s v="Món mặn"/>
    <x v="2"/>
    <x v="38"/>
    <x v="37"/>
    <n v="6"/>
    <n v="14000"/>
    <n v="247"/>
    <n v="2.4291497975708502E-2"/>
    <n v="340.08097165991904"/>
  </r>
  <r>
    <x v="1"/>
    <s v="Gỏi bòCà rốt"/>
    <s v="Món mặn"/>
    <x v="2"/>
    <x v="38"/>
    <x v="26"/>
    <n v="4"/>
    <n v="18000"/>
    <n v="247"/>
    <n v="1.6194331983805668E-2"/>
    <n v="291.497975708502"/>
  </r>
  <r>
    <x v="1"/>
    <s v="Gỏi bòQuế"/>
    <s v="Món mặn"/>
    <x v="2"/>
    <x v="38"/>
    <x v="19"/>
    <n v="1.2"/>
    <n v="20000"/>
    <n v="247"/>
    <n v="4.8582995951417006E-3"/>
    <n v="97.165991902834008"/>
  </r>
  <r>
    <x v="1"/>
    <s v="Đậu bắp hấpĐậu bắp"/>
    <s v="Món mặn"/>
    <x v="3"/>
    <x v="39"/>
    <x v="60"/>
    <n v="16"/>
    <n v="12000"/>
    <n v="247"/>
    <n v="6.4777327935222673E-2"/>
    <n v="777.32793522267207"/>
  </r>
  <r>
    <x v="1"/>
    <s v="Su thịt bằmSu trắng"/>
    <s v="Món mặn"/>
    <x v="5"/>
    <x v="40"/>
    <x v="17"/>
    <n v="8"/>
    <n v="10000"/>
    <n v="247"/>
    <n v="3.2388663967611336E-2"/>
    <n v="323.88663967611336"/>
  </r>
  <r>
    <x v="0"/>
    <s v="Su thịt bằmThịt bằm"/>
    <s v="Món mặn"/>
    <x v="5"/>
    <x v="40"/>
    <x v="69"/>
    <n v="0.7"/>
    <n v="80000"/>
    <n v="247"/>
    <n v="2.8340080971659917E-3"/>
    <n v="226.72064777327935"/>
  </r>
  <r>
    <x v="1"/>
    <s v="Sữa chuaSữa chua"/>
    <s v="Món mặn"/>
    <x v="8"/>
    <x v="7"/>
    <x v="28"/>
    <n v="247"/>
    <n v="4375"/>
    <n v="247"/>
    <n v="1"/>
    <n v="4375"/>
  </r>
  <r>
    <x v="0"/>
    <s v="Cá hố khoCá hố"/>
    <s v="Món mặn"/>
    <x v="1"/>
    <x v="31"/>
    <x v="62"/>
    <n v="12"/>
    <n v="60000"/>
    <n v="116"/>
    <n v="0.10344827586206896"/>
    <n v="6206.8965517241377"/>
  </r>
  <r>
    <x v="0"/>
    <s v="Heo xào măngHeo nạc vai"/>
    <s v="Món mặn"/>
    <x v="2"/>
    <x v="41"/>
    <x v="73"/>
    <n v="2"/>
    <n v="85000"/>
    <n v="100"/>
    <n v="0.02"/>
    <n v="1700"/>
  </r>
  <r>
    <x v="0"/>
    <s v="Heo xào măngHeo nọng"/>
    <s v="Món mặn"/>
    <x v="2"/>
    <x v="41"/>
    <x v="74"/>
    <n v="2"/>
    <n v="65000"/>
    <n v="100"/>
    <n v="0.02"/>
    <n v="1300"/>
  </r>
  <r>
    <x v="1"/>
    <s v="Heo xào măngMăng vàng"/>
    <s v="Món mặn"/>
    <x v="2"/>
    <x v="41"/>
    <x v="75"/>
    <n v="4"/>
    <n v="25000"/>
    <n v="100"/>
    <n v="0.04"/>
    <n v="1000"/>
  </r>
  <r>
    <x v="1"/>
    <s v="Mướp xào giáMướp"/>
    <s v="Món mặn"/>
    <x v="3"/>
    <x v="14"/>
    <x v="39"/>
    <n v="7"/>
    <n v="10000"/>
    <n v="116"/>
    <n v="6.0344827586206899E-2"/>
    <n v="603.44827586206895"/>
  </r>
  <r>
    <x v="1"/>
    <s v="Mướp xào giáGiá"/>
    <s v="Món mặn"/>
    <x v="3"/>
    <x v="14"/>
    <x v="7"/>
    <n v="6"/>
    <n v="8000"/>
    <n v="116"/>
    <n v="5.1724137931034482E-2"/>
    <n v="413.79310344827587"/>
  </r>
  <r>
    <x v="1"/>
    <s v="Rau má thịt bằmRau má"/>
    <s v="Món mặn"/>
    <x v="5"/>
    <x v="42"/>
    <x v="76"/>
    <n v="4"/>
    <n v="18000"/>
    <n v="116"/>
    <n v="3.4482758620689655E-2"/>
    <n v="620.68965517241384"/>
  </r>
  <r>
    <x v="0"/>
    <s v="Rau má thịt bằmThịt bằm"/>
    <s v="Món mặn"/>
    <x v="5"/>
    <x v="42"/>
    <x v="69"/>
    <n v="0.3"/>
    <n v="80000"/>
    <n v="116"/>
    <n v="2.5862068965517241E-3"/>
    <n v="206.89655172413794"/>
  </r>
  <r>
    <x v="1"/>
    <s v="Trái câyChôm chôm"/>
    <s v="Món mặn"/>
    <x v="4"/>
    <x v="1"/>
    <x v="77"/>
    <n v="9"/>
    <n v="25000"/>
    <n v="116"/>
    <n v="7.7586206896551727E-2"/>
    <n v="1939.655172413793"/>
  </r>
  <r>
    <x v="1"/>
    <s v="Sữa chuaSữa chua"/>
    <s v="Món mặn"/>
    <x v="8"/>
    <x v="7"/>
    <x v="28"/>
    <n v="40"/>
    <n v="4375"/>
    <n v="40"/>
    <n v="1"/>
    <n v="4375"/>
  </r>
  <r>
    <x v="0"/>
    <s v="Bún bò huếNạm bò"/>
    <s v="Món mặn"/>
    <x v="0"/>
    <x v="43"/>
    <x v="78"/>
    <n v="17"/>
    <n v="80000"/>
    <n v="234"/>
    <n v="7.2649572649572655E-2"/>
    <n v="5811.9658119658116"/>
  </r>
  <r>
    <x v="0"/>
    <s v="Bún bò huếChả quết"/>
    <s v="Món mặn"/>
    <x v="0"/>
    <x v="43"/>
    <x v="79"/>
    <n v="1.3"/>
    <n v="120000"/>
    <n v="113"/>
    <n v="1.1504424778761062E-2"/>
    <n v="1380.5309734513273"/>
  </r>
  <r>
    <x v="0"/>
    <s v="Bún bò huếHuyết bò"/>
    <s v="Món mặn"/>
    <x v="0"/>
    <x v="43"/>
    <x v="80"/>
    <n v="2.5"/>
    <n v="25000"/>
    <n v="113"/>
    <n v="2.2123893805309734E-2"/>
    <n v="553.09734513274338"/>
  </r>
  <r>
    <x v="1"/>
    <s v="Bún bò huếBún"/>
    <s v="Món mặn"/>
    <x v="0"/>
    <x v="43"/>
    <x v="5"/>
    <n v="70.2"/>
    <n v="9500"/>
    <n v="234"/>
    <n v="0.3"/>
    <n v="2850"/>
  </r>
  <r>
    <x v="1"/>
    <s v="Bún bò huếHành lá"/>
    <s v="Món mặn"/>
    <x v="0"/>
    <x v="43"/>
    <x v="8"/>
    <n v="1.5"/>
    <n v="18000"/>
    <n v="234"/>
    <n v="6.41025641025641E-3"/>
    <n v="115.38461538461539"/>
  </r>
  <r>
    <x v="1"/>
    <s v="Bún bò huếRau quế"/>
    <s v="Món mặn"/>
    <x v="0"/>
    <x v="43"/>
    <x v="6"/>
    <n v="0.7"/>
    <n v="20000"/>
    <n v="234"/>
    <n v="2.9914529914529912E-3"/>
    <n v="59.82905982905983"/>
  </r>
  <r>
    <x v="1"/>
    <s v="Bún bò huếGiá "/>
    <s v="Món mặn"/>
    <x v="0"/>
    <x v="43"/>
    <x v="81"/>
    <n v="4"/>
    <n v="8000"/>
    <n v="234"/>
    <n v="1.7094017094017096E-2"/>
    <n v="136.75213675213675"/>
  </r>
  <r>
    <x v="1"/>
    <s v="Bún bò huếHành tây"/>
    <s v="Món mặn"/>
    <x v="0"/>
    <x v="43"/>
    <x v="58"/>
    <n v="2.5"/>
    <n v="11000"/>
    <n v="234"/>
    <n v="1.0683760683760684E-2"/>
    <n v="117.52136752136752"/>
  </r>
  <r>
    <x v="1"/>
    <s v="Bún bò huếChanh "/>
    <s v="Món mặn"/>
    <x v="0"/>
    <x v="43"/>
    <x v="9"/>
    <n v="1.55"/>
    <n v="26000"/>
    <n v="234"/>
    <n v="6.6239316239316238E-3"/>
    <n v="172.22222222222223"/>
  </r>
  <r>
    <x v="1"/>
    <s v="Bún bò huếỚt"/>
    <s v="Món mặn"/>
    <x v="0"/>
    <x v="43"/>
    <x v="10"/>
    <n v="0.8"/>
    <n v="30000"/>
    <n v="234"/>
    <n v="3.4188034188034188E-3"/>
    <n v="102.56410256410257"/>
  </r>
  <r>
    <x v="1"/>
    <s v="Trái câyTáo"/>
    <s v="Món mặn"/>
    <x v="4"/>
    <x v="1"/>
    <x v="82"/>
    <n v="9"/>
    <n v="25000"/>
    <n v="234"/>
    <n v="3.8461538461538464E-2"/>
    <n v="961.53846153846155"/>
  </r>
  <r>
    <x v="0"/>
    <s v="Mỳ cá lócCá lóc"/>
    <s v="Món mặn"/>
    <x v="0"/>
    <x v="44"/>
    <x v="67"/>
    <n v="13"/>
    <n v="60000"/>
    <n v="100"/>
    <n v="0.13"/>
    <n v="7800"/>
  </r>
  <r>
    <x v="1"/>
    <s v="Mỳ cá lócMỳ "/>
    <s v="Món mặn"/>
    <x v="0"/>
    <x v="44"/>
    <x v="83"/>
    <n v="10"/>
    <n v="9400"/>
    <n v="33"/>
    <n v="0.30303030303030304"/>
    <n v="2848.4848484848485"/>
  </r>
  <r>
    <x v="1"/>
    <s v="Mỳ cá lócChanh"/>
    <s v="Món mặn"/>
    <x v="0"/>
    <x v="44"/>
    <x v="20"/>
    <n v="0.45"/>
    <n v="26000"/>
    <n v="69"/>
    <n v="6.5217391304347831E-3"/>
    <n v="169.56521739130434"/>
  </r>
  <r>
    <x v="1"/>
    <s v="Mỳ cá lócỚt"/>
    <s v="Món mặn"/>
    <x v="0"/>
    <x v="44"/>
    <x v="10"/>
    <n v="0.2"/>
    <n v="30000"/>
    <n v="69"/>
    <n v="2.8985507246376812E-3"/>
    <n v="86.956521739130437"/>
  </r>
  <r>
    <x v="1"/>
    <s v="Mỳ cá lócRau sống"/>
    <s v="Món mặn"/>
    <x v="0"/>
    <x v="44"/>
    <x v="84"/>
    <n v="4"/>
    <n v="8000"/>
    <n v="69"/>
    <n v="5.7971014492753624E-2"/>
    <n v="463.768115942029"/>
  </r>
  <r>
    <x v="0"/>
    <s v="Cá nhói kho nghệCá nhói"/>
    <s v="Món mặn"/>
    <x v="1"/>
    <x v="45"/>
    <x v="85"/>
    <n v="12"/>
    <n v="48000"/>
    <n v="120"/>
    <n v="0.1"/>
    <n v="4800"/>
  </r>
  <r>
    <x v="1"/>
    <s v="Cá nhói kho nghệNén "/>
    <s v="Món mặn"/>
    <x v="1"/>
    <x v="45"/>
    <x v="86"/>
    <n v="1"/>
    <n v="60000"/>
    <n v="120"/>
    <n v="8.3333333333333332E-3"/>
    <n v="500"/>
  </r>
  <r>
    <x v="1"/>
    <s v="Cá nhói kho nghệNghệ"/>
    <s v="Món mặn"/>
    <x v="1"/>
    <x v="45"/>
    <x v="87"/>
    <n v="1"/>
    <n v="22000"/>
    <n v="120"/>
    <n v="8.3333333333333332E-3"/>
    <n v="183.33333333333334"/>
  </r>
  <r>
    <x v="1"/>
    <s v="Cà tím mỡ hànhCà tím"/>
    <s v="Món mặn"/>
    <x v="3"/>
    <x v="46"/>
    <x v="88"/>
    <n v="9.5"/>
    <n v="11000"/>
    <n v="100"/>
    <n v="9.5000000000000001E-2"/>
    <n v="1045"/>
  </r>
  <r>
    <x v="1"/>
    <s v="Sườn honSườn"/>
    <s v="Món mặn"/>
    <x v="1"/>
    <x v="47"/>
    <x v="63"/>
    <n v="3"/>
    <n v="95000"/>
    <n v="40"/>
    <n v="7.4999999999999997E-2"/>
    <n v="7125"/>
  </r>
  <r>
    <x v="1"/>
    <s v="Su trắng xàoSu trắng"/>
    <s v="Món mặn"/>
    <x v="3"/>
    <x v="48"/>
    <x v="17"/>
    <n v="9"/>
    <n v="12000"/>
    <n v="100"/>
    <n v="0.09"/>
    <n v="1080"/>
  </r>
  <r>
    <x v="0"/>
    <s v="Cá diêu hồng kho tiêuCá diêu hồng"/>
    <s v="Món mặn"/>
    <x v="1"/>
    <x v="49"/>
    <x v="89"/>
    <n v="50"/>
    <n v="65000"/>
    <n v="378"/>
    <n v="0.13227513227513227"/>
    <n v="8597.8835978835978"/>
  </r>
  <r>
    <x v="0"/>
    <s v="Vịt kho măngVịt"/>
    <s v="Món mặn"/>
    <x v="1"/>
    <x v="50"/>
    <x v="90"/>
    <n v="8.5"/>
    <n v="65000"/>
    <n v="103"/>
    <n v="8.2524271844660199E-2"/>
    <n v="5364.0776699029129"/>
  </r>
  <r>
    <x v="1"/>
    <s v="Vịt kho măngMăng"/>
    <s v="Món mặn"/>
    <x v="1"/>
    <x v="50"/>
    <x v="91"/>
    <n v="2"/>
    <n v="25000"/>
    <n v="103"/>
    <n v="1.9417475728155338E-2"/>
    <n v="485.43689320388347"/>
  </r>
  <r>
    <x v="0"/>
    <s v="Chả lá lốtChả quết"/>
    <s v="Món mặn"/>
    <x v="2"/>
    <x v="51"/>
    <x v="79"/>
    <n v="1.5"/>
    <n v="120000"/>
    <n v="100"/>
    <n v="1.4999999999999999E-2"/>
    <n v="1800"/>
  </r>
  <r>
    <x v="1"/>
    <s v="Chả lá lốtLá lốt"/>
    <s v="Món mặn"/>
    <x v="2"/>
    <x v="51"/>
    <x v="92"/>
    <n v="4"/>
    <n v="12000"/>
    <n v="774"/>
    <n v="5.1679586563307496E-3"/>
    <n v="62.015503875968989"/>
  </r>
  <r>
    <x v="0"/>
    <s v="Chả lá lốtBột nở"/>
    <s v="Món mặn"/>
    <x v="2"/>
    <x v="51"/>
    <x v="93"/>
    <n v="2.5"/>
    <n v="25000"/>
    <n v="774"/>
    <n v="3.2299741602067182E-3"/>
    <n v="80.749354005167959"/>
  </r>
  <r>
    <x v="0"/>
    <s v="Chả lá lốtThịt xay"/>
    <s v="Món mặn"/>
    <x v="2"/>
    <x v="51"/>
    <x v="2"/>
    <n v="2"/>
    <n v="80000"/>
    <n v="100"/>
    <n v="0.02"/>
    <n v="1600"/>
  </r>
  <r>
    <x v="0"/>
    <s v="Tôm rim trứng cútTôm"/>
    <s v="Món mặn"/>
    <x v="1"/>
    <x v="52"/>
    <x v="14"/>
    <n v="6.5"/>
    <n v="115000"/>
    <n v="250"/>
    <n v="2.5999999999999999E-2"/>
    <n v="2990"/>
  </r>
  <r>
    <x v="0"/>
    <s v="Tôm rim trứng cútTrứng cút"/>
    <s v="Món mặn"/>
    <x v="1"/>
    <x v="52"/>
    <x v="94"/>
    <n v="770"/>
    <n v="550"/>
    <n v="250"/>
    <n v="3.08"/>
    <n v="1694"/>
  </r>
  <r>
    <x v="1"/>
    <s v="Rau lang luộc Rau lang"/>
    <s v="Món mặn"/>
    <x v="3"/>
    <x v="53"/>
    <x v="95"/>
    <n v="8.5"/>
    <n v="19000"/>
    <n v="100"/>
    <n v="8.5000000000000006E-2"/>
    <n v="1615"/>
  </r>
  <r>
    <x v="0"/>
    <s v="Cá bạc má khoCá bạc má"/>
    <s v="Món mặn"/>
    <x v="1"/>
    <x v="54"/>
    <x v="96"/>
    <n v="10"/>
    <n v="42000"/>
    <n v="109"/>
    <n v="9.1743119266055051E-2"/>
    <n v="3853.211009174312"/>
  </r>
  <r>
    <x v="1"/>
    <s v="Củ cải xàocủ cải"/>
    <s v="Món mặn"/>
    <x v="3"/>
    <x v="55"/>
    <x v="65"/>
    <n v="10.5"/>
    <n v="8000"/>
    <n v="110"/>
    <n v="9.5454545454545459E-2"/>
    <n v="763.63636363636363"/>
  </r>
  <r>
    <x v="1"/>
    <s v="Khổ qua thịt bằmKhổ qua"/>
    <s v="Món mặn"/>
    <x v="5"/>
    <x v="56"/>
    <x v="97"/>
    <n v="4"/>
    <n v="16000"/>
    <n v="109"/>
    <n v="3.669724770642202E-2"/>
    <n v="587.1559633027523"/>
  </r>
  <r>
    <x v="0"/>
    <s v="Khổ qua thịt bằmThịt bằm"/>
    <s v="Món mặn"/>
    <x v="5"/>
    <x v="56"/>
    <x v="69"/>
    <n v="0.3"/>
    <n v="80000"/>
    <n v="109"/>
    <n v="2.7522935779816511E-3"/>
    <n v="220.18348623853211"/>
  </r>
  <r>
    <x v="1"/>
    <s v="Khổ qua nấu tômKhổ qua"/>
    <s v="Món mặn"/>
    <x v="5"/>
    <x v="57"/>
    <x v="97"/>
    <n v="4"/>
    <n v="16000"/>
    <n v="109"/>
    <n v="3.669724770642202E-2"/>
    <n v="587.1559633027523"/>
  </r>
  <r>
    <x v="0"/>
    <s v="Khổ qua nấu tômTôm"/>
    <s v="Món mặn"/>
    <x v="5"/>
    <x v="57"/>
    <x v="14"/>
    <n v="0.4"/>
    <n v="130000"/>
    <n v="120"/>
    <n v="3.3333333333333335E-3"/>
    <n v="433.33333333333331"/>
  </r>
  <r>
    <x v="0"/>
    <s v="Bầu nấu tômTôm "/>
    <s v="Món mặn"/>
    <x v="5"/>
    <x v="58"/>
    <x v="98"/>
    <n v="0.4"/>
    <n v="115000"/>
    <n v="120"/>
    <n v="3.3333333333333335E-3"/>
    <n v="383.33333333333331"/>
  </r>
  <r>
    <x v="1"/>
    <s v="Bầu nấu tômBầu"/>
    <s v="Món mặn"/>
    <x v="5"/>
    <x v="58"/>
    <x v="54"/>
    <n v="4"/>
    <n v="12000"/>
    <n v="120"/>
    <n v="3.3333333333333333E-2"/>
    <n v="400"/>
  </r>
  <r>
    <x v="0"/>
    <s v="Cơm gà chiên mắmGà"/>
    <s v="Món mặn"/>
    <x v="1"/>
    <x v="59"/>
    <x v="36"/>
    <n v="30"/>
    <n v="47000"/>
    <n v="238"/>
    <n v="0.12605042016806722"/>
    <n v="5924.3697478991598"/>
  </r>
  <r>
    <x v="0"/>
    <s v="Trứng luộcTrứng gà"/>
    <s v="Món mặn"/>
    <x v="2"/>
    <x v="60"/>
    <x v="13"/>
    <n v="238"/>
    <n v="2200"/>
    <n v="238"/>
    <n v="1"/>
    <n v="2200"/>
  </r>
  <r>
    <x v="0"/>
    <s v="Cơm sườn kim chiCốt lết"/>
    <s v="Món mặn"/>
    <x v="1"/>
    <x v="61"/>
    <x v="50"/>
    <n v="9"/>
    <n v="100000"/>
    <n v="100"/>
    <n v="0.09"/>
    <n v="9000"/>
  </r>
  <r>
    <x v="1"/>
    <s v="Cơm sườn kim chiSả"/>
    <s v="Món mặn"/>
    <x v="1"/>
    <x v="61"/>
    <x v="47"/>
    <n v="0.6"/>
    <n v="10000"/>
    <n v="100"/>
    <n v="6.0000000000000001E-3"/>
    <n v="60"/>
  </r>
  <r>
    <x v="1"/>
    <s v="Cơm sườn kim chiCải thảo "/>
    <s v="Món mặn"/>
    <x v="1"/>
    <x v="61"/>
    <x v="64"/>
    <n v="3"/>
    <n v="14000"/>
    <n v="100"/>
    <n v="0.03"/>
    <n v="420"/>
  </r>
  <r>
    <x v="1"/>
    <s v="Cơm sườn kim chiCà rốt"/>
    <s v="Món mặn"/>
    <x v="1"/>
    <x v="61"/>
    <x v="26"/>
    <n v="3"/>
    <n v="15000"/>
    <n v="100"/>
    <n v="0.03"/>
    <n v="450"/>
  </r>
  <r>
    <x v="1"/>
    <s v="Cơm sườn kim chicủ cải"/>
    <s v="Món mặn"/>
    <x v="1"/>
    <x v="61"/>
    <x v="65"/>
    <n v="3"/>
    <n v="8000"/>
    <n v="100"/>
    <n v="0.03"/>
    <n v="240"/>
  </r>
  <r>
    <x v="1"/>
    <s v="Cơm sườn kim chiỚt sừng"/>
    <s v="Món mặn"/>
    <x v="1"/>
    <x v="61"/>
    <x v="66"/>
    <n v="0.5"/>
    <n v="40000"/>
    <n v="100"/>
    <n v="5.0000000000000001E-3"/>
    <n v="200"/>
  </r>
  <r>
    <x v="0"/>
    <s v="Trứng ốp laTrứng gà (cái)"/>
    <s v="Món mặn"/>
    <x v="2"/>
    <x v="62"/>
    <x v="99"/>
    <n v="74"/>
    <n v="2200"/>
    <n v="74"/>
    <n v="1"/>
    <n v="2200"/>
  </r>
  <r>
    <x v="1"/>
    <s v="Canh chua trứngTrứng"/>
    <s v="Món mặn"/>
    <x v="5"/>
    <x v="63"/>
    <x v="100"/>
    <n v="10"/>
    <n v="2200"/>
    <n v="74"/>
    <n v="0.13513513513513514"/>
    <n v="297.29729729729729"/>
  </r>
  <r>
    <x v="1"/>
    <s v="Canh chua trứngMăng chua"/>
    <s v="Món mặn"/>
    <x v="5"/>
    <x v="63"/>
    <x v="101"/>
    <n v="1"/>
    <n v="25000"/>
    <n v="74"/>
    <n v="1.3513513513513514E-2"/>
    <n v="337.83783783783781"/>
  </r>
  <r>
    <x v="0"/>
    <s v="Bò lúc lắcBò "/>
    <s v="Món mặn"/>
    <x v="1"/>
    <x v="64"/>
    <x v="72"/>
    <n v="14"/>
    <n v="120000"/>
    <n v="115"/>
    <n v="0.12173913043478261"/>
    <n v="14608.695652173914"/>
  </r>
  <r>
    <x v="1"/>
    <s v="Bò lúc lắcỚt chuông"/>
    <s v="Món mặn"/>
    <x v="1"/>
    <x v="64"/>
    <x v="102"/>
    <n v="10"/>
    <n v="40000"/>
    <n v="120"/>
    <n v="8.3333333333333329E-2"/>
    <n v="3333.3333333333335"/>
  </r>
  <r>
    <x v="1"/>
    <s v="Bò lúc lắcThơm"/>
    <s v="Món mặn"/>
    <x v="1"/>
    <x v="64"/>
    <x v="24"/>
    <n v="5"/>
    <n v="17000"/>
    <n v="120"/>
    <n v="4.1666666666666664E-2"/>
    <n v="708.33333333333337"/>
  </r>
  <r>
    <x v="1"/>
    <s v="Bò lúc lắcXà lách"/>
    <s v="Món mặn"/>
    <x v="1"/>
    <x v="64"/>
    <x v="103"/>
    <n v="3"/>
    <n v="30000"/>
    <n v="120"/>
    <n v="2.5000000000000001E-2"/>
    <n v="750"/>
  </r>
  <r>
    <x v="1"/>
    <s v="Bò lúc lắcCà chua"/>
    <s v="Món mặn"/>
    <x v="1"/>
    <x v="64"/>
    <x v="31"/>
    <n v="3"/>
    <n v="20000"/>
    <n v="120"/>
    <n v="2.5000000000000001E-2"/>
    <n v="500"/>
  </r>
  <r>
    <x v="1"/>
    <s v="Khoai tây chiênKhoai tây "/>
    <s v="Món mặn"/>
    <x v="2"/>
    <x v="65"/>
    <x v="104"/>
    <n v="13"/>
    <n v="50000"/>
    <n v="120"/>
    <n v="0.10833333333333334"/>
    <n v="5416.666666666667"/>
  </r>
  <r>
    <x v="1"/>
    <s v="Canh củ quả đặc biệtBắp"/>
    <s v="Món mặn"/>
    <x v="5"/>
    <x v="66"/>
    <x v="105"/>
    <n v="11"/>
    <n v="7000"/>
    <n v="120"/>
    <n v="9.166666666666666E-2"/>
    <n v="641.66666666666663"/>
  </r>
  <r>
    <x v="1"/>
    <s v="Canh củ quả đặc biệtKhoai môn"/>
    <s v="Món mặn"/>
    <x v="5"/>
    <x v="66"/>
    <x v="106"/>
    <n v="3"/>
    <n v="35000"/>
    <n v="120"/>
    <n v="2.5000000000000001E-2"/>
    <n v="875"/>
  </r>
  <r>
    <x v="1"/>
    <s v="Canh củ quả đặc biệtCà rốt"/>
    <s v="Món mặn"/>
    <x v="5"/>
    <x v="66"/>
    <x v="26"/>
    <n v="1.5"/>
    <n v="12000"/>
    <n v="120"/>
    <n v="1.2500000000000001E-2"/>
    <n v="150"/>
  </r>
  <r>
    <x v="0"/>
    <s v="Canh củ quả đặc biệtThịt bằm"/>
    <s v="Món mặn"/>
    <x v="5"/>
    <x v="66"/>
    <x v="69"/>
    <n v="0.5"/>
    <n v="80000"/>
    <n v="120"/>
    <n v="4.1666666666666666E-3"/>
    <n v="333.33333333333331"/>
  </r>
  <r>
    <x v="1"/>
    <s v="Kim chiCải thảo"/>
    <s v="Món mặn"/>
    <x v="3"/>
    <x v="67"/>
    <x v="107"/>
    <n v="4"/>
    <n v="15000"/>
    <n v="120"/>
    <n v="3.3333333333333333E-2"/>
    <n v="500"/>
  </r>
  <r>
    <x v="1"/>
    <s v="Kim chiCà rốt"/>
    <s v="Món mặn"/>
    <x v="3"/>
    <x v="67"/>
    <x v="26"/>
    <n v="3"/>
    <n v="16000"/>
    <n v="120"/>
    <n v="2.5000000000000001E-2"/>
    <n v="400"/>
  </r>
  <r>
    <x v="1"/>
    <s v="Kim chiCủ cải"/>
    <s v="Món mặn"/>
    <x v="3"/>
    <x v="67"/>
    <x v="65"/>
    <n v="2"/>
    <n v="10000"/>
    <n v="120"/>
    <n v="1.6666666666666666E-2"/>
    <n v="166.66666666666666"/>
  </r>
  <r>
    <x v="1"/>
    <s v="Kim chiỚt sừng"/>
    <s v="Món mặn"/>
    <x v="3"/>
    <x v="67"/>
    <x v="66"/>
    <n v="0.5"/>
    <n v="40000"/>
    <n v="120"/>
    <n v="4.1666666666666666E-3"/>
    <n v="166.66666666666666"/>
  </r>
  <r>
    <x v="0"/>
    <s v="Cá mối kho nghệCá mối"/>
    <s v="Món mặn"/>
    <x v="1"/>
    <x v="68"/>
    <x v="108"/>
    <n v="10.5"/>
    <n v="55000"/>
    <n v="117"/>
    <n v="8.9743589743589744E-2"/>
    <n v="4935.8974358974356"/>
  </r>
  <r>
    <x v="1"/>
    <s v="Sườn hon sảSườn"/>
    <s v="Món mặn"/>
    <x v="1"/>
    <x v="69"/>
    <x v="63"/>
    <n v="7.5"/>
    <n v="95000"/>
    <n v="100"/>
    <n v="7.4999999999999997E-2"/>
    <n v="7125"/>
  </r>
  <r>
    <x v="1"/>
    <s v="Sườn hon sảSả"/>
    <s v="Món mặn"/>
    <x v="1"/>
    <x v="69"/>
    <x v="47"/>
    <n v="4"/>
    <n v="8000"/>
    <n v="466"/>
    <n v="8.5836909871244635E-3"/>
    <n v="68.669527896995703"/>
  </r>
  <r>
    <x v="0"/>
    <s v="Trứng kho nước dừaTrứng gà"/>
    <s v="Món mặn"/>
    <x v="2"/>
    <x v="70"/>
    <x v="13"/>
    <n v="1"/>
    <n v="2300"/>
    <n v="1"/>
    <n v="1"/>
    <n v="2300"/>
  </r>
  <r>
    <x v="1"/>
    <s v="Trứng kho nước dừaBột cốt dừa"/>
    <s v="Món mặn"/>
    <x v="2"/>
    <x v="70"/>
    <x v="109"/>
    <n v="10"/>
    <n v="4000"/>
    <n v="466"/>
    <n v="2.1459227467811159E-2"/>
    <n v="85.836909871244629"/>
  </r>
  <r>
    <x v="1"/>
    <s v="Mồng tơi thịt bằmMồng tơi"/>
    <s v="Món mặn"/>
    <x v="5"/>
    <x v="71"/>
    <x v="110"/>
    <n v="12"/>
    <n v="10000"/>
    <n v="250"/>
    <n v="4.8000000000000001E-2"/>
    <n v="480"/>
  </r>
  <r>
    <x v="0"/>
    <s v="Mồng tơi thịt bằmThịt bằm"/>
    <s v="Món mặn"/>
    <x v="5"/>
    <x v="71"/>
    <x v="69"/>
    <n v="0.5"/>
    <n v="80000"/>
    <n v="150"/>
    <n v="3.3333333333333335E-3"/>
    <n v="266.66666666666669"/>
  </r>
  <r>
    <x v="0"/>
    <s v="Cá bạc má kho thơmCá bạc má"/>
    <s v="Món mặn"/>
    <x v="1"/>
    <x v="72"/>
    <x v="96"/>
    <n v="4.4000000000000004"/>
    <n v="42000"/>
    <n v="45"/>
    <n v="9.7777777777777783E-2"/>
    <n v="4106.666666666667"/>
  </r>
  <r>
    <x v="1"/>
    <s v="Cá bạc má kho thơmThơm"/>
    <s v="Món mặn"/>
    <x v="1"/>
    <x v="72"/>
    <x v="24"/>
    <n v="1"/>
    <n v="17000"/>
    <n v="45"/>
    <n v="2.2222222222222223E-2"/>
    <n v="377.77777777777777"/>
  </r>
  <r>
    <x v="0"/>
    <s v="Trứng hấp thập cẩmTrứng gà"/>
    <s v="Món mặn"/>
    <x v="2"/>
    <x v="73"/>
    <x v="13"/>
    <n v="280"/>
    <n v="2300"/>
    <n v="300"/>
    <n v="0.93333333333333335"/>
    <n v="2146.6666666666665"/>
  </r>
  <r>
    <x v="1"/>
    <s v="Trứng hấp thập cẩmHành lá"/>
    <s v="Món mặn"/>
    <x v="2"/>
    <x v="73"/>
    <x v="8"/>
    <n v="0.5"/>
    <n v="18000"/>
    <n v="300"/>
    <n v="1.6666666666666668E-3"/>
    <n v="30"/>
  </r>
  <r>
    <x v="1"/>
    <s v="Trứng hấp thập cẩmNấm mèo"/>
    <s v="Món mặn"/>
    <x v="2"/>
    <x v="73"/>
    <x v="11"/>
    <n v="0.4"/>
    <n v="55000"/>
    <n v="300"/>
    <n v="1.3333333333333335E-3"/>
    <n v="73.333333333333329"/>
  </r>
  <r>
    <x v="1"/>
    <s v="Trứng hấp thập cẩmCà rốt"/>
    <s v="Món mặn"/>
    <x v="2"/>
    <x v="73"/>
    <x v="26"/>
    <n v="3"/>
    <n v="16000"/>
    <n v="300"/>
    <n v="0.01"/>
    <n v="160"/>
  </r>
  <r>
    <x v="0"/>
    <s v="Vịt kho gừngVịt"/>
    <s v="Món mặn"/>
    <x v="1"/>
    <x v="74"/>
    <x v="90"/>
    <n v="34"/>
    <n v="65000"/>
    <n v="368"/>
    <n v="9.2391304347826081E-2"/>
    <n v="6005.434782608696"/>
  </r>
  <r>
    <x v="1"/>
    <s v="Vịt kho gừngGừng"/>
    <s v="Món mặn"/>
    <x v="1"/>
    <x v="74"/>
    <x v="111"/>
    <n v="0.5"/>
    <n v="30000"/>
    <n v="368"/>
    <n v="1.358695652173913E-3"/>
    <n v="40.760869565217391"/>
  </r>
  <r>
    <x v="0"/>
    <s v="Bún giò heoGiò heo"/>
    <s v="Món mặn"/>
    <x v="0"/>
    <x v="75"/>
    <x v="112"/>
    <n v="18"/>
    <n v="60000"/>
    <n v="90"/>
    <n v="0.2"/>
    <n v="12000"/>
  </r>
  <r>
    <x v="0"/>
    <s v="Bún giò heoHuyết heo"/>
    <s v="Món mặn"/>
    <x v="0"/>
    <x v="75"/>
    <x v="113"/>
    <n v="2"/>
    <n v="25000"/>
    <n v="85"/>
    <n v="2.3529411764705882E-2"/>
    <n v="588.23529411764707"/>
  </r>
  <r>
    <x v="1"/>
    <s v="Bún giò heoRau quế"/>
    <s v="Món mặn"/>
    <x v="0"/>
    <x v="75"/>
    <x v="6"/>
    <n v="1"/>
    <n v="20000"/>
    <n v="85"/>
    <n v="1.1764705882352941E-2"/>
    <n v="235.29411764705881"/>
  </r>
  <r>
    <x v="1"/>
    <s v="Bún giò heoGiá "/>
    <s v="Món mặn"/>
    <x v="0"/>
    <x v="75"/>
    <x v="81"/>
    <n v="3"/>
    <n v="8000"/>
    <n v="85"/>
    <n v="3.5294117647058823E-2"/>
    <n v="282.35294117647061"/>
  </r>
  <r>
    <x v="1"/>
    <s v="Bún giò heoHành tây"/>
    <s v="Món mặn"/>
    <x v="0"/>
    <x v="75"/>
    <x v="58"/>
    <n v="2"/>
    <n v="11000"/>
    <n v="85"/>
    <n v="2.3529411764705882E-2"/>
    <n v="258.8235294117647"/>
  </r>
  <r>
    <x v="1"/>
    <s v="Bún giò heoHành lá"/>
    <s v="Món mặn"/>
    <x v="0"/>
    <x v="75"/>
    <x v="8"/>
    <n v="1"/>
    <n v="18000"/>
    <n v="85"/>
    <n v="1.1764705882352941E-2"/>
    <n v="211.76470588235293"/>
  </r>
  <r>
    <x v="1"/>
    <s v="Bún giò heoChanh "/>
    <s v="Món mặn"/>
    <x v="0"/>
    <x v="75"/>
    <x v="9"/>
    <n v="1"/>
    <n v="26000"/>
    <n v="85"/>
    <n v="1.1764705882352941E-2"/>
    <n v="305.88235294117646"/>
  </r>
  <r>
    <x v="1"/>
    <s v="Bún giò heoỚt"/>
    <s v="Món mặn"/>
    <x v="0"/>
    <x v="75"/>
    <x v="10"/>
    <n v="0.5"/>
    <n v="30000"/>
    <n v="85"/>
    <n v="5.8823529411764705E-3"/>
    <n v="176.47058823529412"/>
  </r>
  <r>
    <x v="1"/>
    <s v="Rau muống nấu hếnRau muống"/>
    <s v="Món mặn"/>
    <x v="5"/>
    <x v="76"/>
    <x v="35"/>
    <n v="4"/>
    <n v="9000"/>
    <n v="125"/>
    <n v="3.2000000000000001E-2"/>
    <n v="288"/>
  </r>
  <r>
    <x v="1"/>
    <s v="Rau muống nấu hếnHến"/>
    <s v="Món mặn"/>
    <x v="5"/>
    <x v="76"/>
    <x v="114"/>
    <n v="0.3"/>
    <n v="110000"/>
    <n v="125"/>
    <n v="2.3999999999999998E-3"/>
    <n v="264"/>
  </r>
  <r>
    <x v="0"/>
    <s v="Đùi gà rô tyĐùi gà"/>
    <s v="Món mặn"/>
    <x v="1"/>
    <x v="77"/>
    <x v="115"/>
    <n v="12"/>
    <n v="55000"/>
    <n v="68"/>
    <n v="0.17647058823529413"/>
    <n v="9705.8823529411766"/>
  </r>
  <r>
    <x v="0"/>
    <s v="Gà xé hành rau rămGà"/>
    <s v="Món mặn"/>
    <x v="1"/>
    <x v="78"/>
    <x v="36"/>
    <n v="3"/>
    <n v="75000"/>
    <n v="40"/>
    <n v="7.4999999999999997E-2"/>
    <n v="5625"/>
  </r>
  <r>
    <x v="1"/>
    <s v="Gà xé hành rau rămRau răm"/>
    <s v="Món mặn"/>
    <x v="1"/>
    <x v="78"/>
    <x v="38"/>
    <n v="0.3"/>
    <n v="20000"/>
    <n v="40"/>
    <n v="7.4999999999999997E-3"/>
    <n v="150"/>
  </r>
  <r>
    <x v="1"/>
    <s v="Gà xé hành rau rămHành tây"/>
    <s v="Món mặn"/>
    <x v="1"/>
    <x v="78"/>
    <x v="58"/>
    <n v="2"/>
    <n v="10000"/>
    <n v="40"/>
    <n v="0.05"/>
    <n v="500"/>
  </r>
  <r>
    <x v="1"/>
    <s v="Củ cải xàoCủ cải"/>
    <s v="Món mặn"/>
    <x v="3"/>
    <x v="55"/>
    <x v="65"/>
    <n v="22"/>
    <n v="8000"/>
    <n v="231"/>
    <n v="9.5238095238095233E-2"/>
    <n v="761.90476190476193"/>
  </r>
  <r>
    <x v="1"/>
    <s v="Đậu đũa xàoĐậu đũa"/>
    <s v="Món mặn"/>
    <x v="3"/>
    <x v="79"/>
    <x v="116"/>
    <n v="10"/>
    <n v="8000"/>
    <n v="115"/>
    <n v="8.6956521739130432E-2"/>
    <n v="695.6521739130435"/>
  </r>
  <r>
    <x v="1"/>
    <s v="Sắn dây xàoSắn dây"/>
    <s v="Món mặn"/>
    <x v="3"/>
    <x v="80"/>
    <x v="117"/>
    <n v="3.5"/>
    <n v="13000"/>
    <n v="43"/>
    <n v="8.1395348837209308E-2"/>
    <n v="1058.1395348837209"/>
  </r>
  <r>
    <x v="1"/>
    <s v="Tim xào giá hẹTim "/>
    <s v="Món mặn"/>
    <x v="2"/>
    <x v="81"/>
    <x v="118"/>
    <n v="15.5"/>
    <n v="50000"/>
    <n v="257"/>
    <n v="6.0311284046692608E-2"/>
    <n v="3015.5642023346304"/>
  </r>
  <r>
    <x v="1"/>
    <s v="Tim xào giá hẹlá he"/>
    <s v="Món mặn"/>
    <x v="2"/>
    <x v="81"/>
    <x v="119"/>
    <n v="1"/>
    <n v="50000"/>
    <n v="257"/>
    <n v="3.8910505836575876E-3"/>
    <n v="194.55252918287937"/>
  </r>
  <r>
    <x v="1"/>
    <s v="Tim xào giá hẹGiá"/>
    <s v="Món mặn"/>
    <x v="2"/>
    <x v="81"/>
    <x v="7"/>
    <n v="18"/>
    <n v="8000"/>
    <n v="257"/>
    <n v="7.0038910505836577E-2"/>
    <n v="560.31128404669266"/>
  </r>
  <r>
    <x v="0"/>
    <s v="Bún chả cáChả cá lát đồng tiền"/>
    <s v="Món mặn"/>
    <x v="0"/>
    <x v="82"/>
    <x v="120"/>
    <n v="10"/>
    <n v="90000"/>
    <n v="411"/>
    <n v="2.4330900243309004E-2"/>
    <n v="2189.7810218978102"/>
  </r>
  <r>
    <x v="0"/>
    <s v="Bún chả cáChả cá tấm chiên"/>
    <s v="Món mặn"/>
    <x v="0"/>
    <x v="82"/>
    <x v="121"/>
    <n v="9"/>
    <n v="90000"/>
    <n v="411"/>
    <n v="2.1897810218978103E-2"/>
    <n v="1970.8029197080291"/>
  </r>
  <r>
    <x v="0"/>
    <s v="Bún chả cáChả cá hấp"/>
    <s v="Món mặn"/>
    <x v="0"/>
    <x v="82"/>
    <x v="122"/>
    <n v="8.5"/>
    <n v="90000"/>
    <n v="411"/>
    <n v="2.0681265206812651E-2"/>
    <n v="1861.3138686131388"/>
  </r>
  <r>
    <x v="1"/>
    <s v="Bún chả cáSu trắng"/>
    <s v="Món mặn"/>
    <x v="0"/>
    <x v="82"/>
    <x v="17"/>
    <n v="2"/>
    <n v="8000"/>
    <n v="86"/>
    <n v="2.3255813953488372E-2"/>
    <n v="186.04651162790697"/>
  </r>
  <r>
    <x v="1"/>
    <s v="Bún chả cáRau quế"/>
    <s v="Món mặn"/>
    <x v="0"/>
    <x v="82"/>
    <x v="6"/>
    <n v="0.5"/>
    <n v="15000"/>
    <n v="86"/>
    <n v="5.8139534883720929E-3"/>
    <n v="87.20930232558139"/>
  </r>
  <r>
    <x v="1"/>
    <s v="Bún chả cáHành lá"/>
    <s v="Món mặn"/>
    <x v="0"/>
    <x v="82"/>
    <x v="8"/>
    <n v="0.8"/>
    <n v="18000"/>
    <n v="86"/>
    <n v="9.3023255813953487E-3"/>
    <n v="167.44186046511629"/>
  </r>
  <r>
    <x v="1"/>
    <s v="Bún chả cáHành tây"/>
    <s v="Món mặn"/>
    <x v="0"/>
    <x v="82"/>
    <x v="58"/>
    <n v="0.8"/>
    <n v="11000"/>
    <n v="86"/>
    <n v="9.3023255813953487E-3"/>
    <n v="102.32558139534883"/>
  </r>
  <r>
    <x v="1"/>
    <s v="Bún chả cáBí đỏ"/>
    <s v="Món mặn"/>
    <x v="0"/>
    <x v="82"/>
    <x v="71"/>
    <n v="2.5"/>
    <n v="11000"/>
    <n v="86"/>
    <n v="2.9069767441860465E-2"/>
    <n v="319.76744186046511"/>
  </r>
  <r>
    <x v="1"/>
    <s v="Bún chả cáỚt xanh huế"/>
    <s v="Món mặn"/>
    <x v="0"/>
    <x v="82"/>
    <x v="123"/>
    <n v="0.5"/>
    <n v="30000"/>
    <n v="86"/>
    <n v="5.8139534883720929E-3"/>
    <n v="174.41860465116278"/>
  </r>
  <r>
    <x v="1"/>
    <s v="Bún chả cáGiá"/>
    <s v="Món mặn"/>
    <x v="0"/>
    <x v="82"/>
    <x v="7"/>
    <n v="1.7"/>
    <n v="8000"/>
    <n v="86"/>
    <n v="1.9767441860465116E-2"/>
    <n v="158.13953488372093"/>
  </r>
  <r>
    <x v="1"/>
    <s v="Bún chả cáChanh"/>
    <s v="Món mặn"/>
    <x v="0"/>
    <x v="82"/>
    <x v="20"/>
    <n v="0.5"/>
    <n v="26000"/>
    <n v="86"/>
    <n v="5.8139534883720929E-3"/>
    <n v="151.16279069767441"/>
  </r>
  <r>
    <x v="0"/>
    <s v="Cá phèn mắm tỏiCá phèn"/>
    <s v="Món mặn"/>
    <x v="1"/>
    <x v="83"/>
    <x v="45"/>
    <n v="0.12"/>
    <n v="37000"/>
    <n v="1"/>
    <n v="0.12"/>
    <n v="4440"/>
  </r>
  <r>
    <x v="0"/>
    <s v="Gà kho măngGà DL"/>
    <s v="Món mặn"/>
    <x v="1"/>
    <x v="84"/>
    <x v="124"/>
    <n v="42"/>
    <n v="45000"/>
    <n v="461"/>
    <n v="9.1106290672451198E-2"/>
    <n v="4099.7830802603039"/>
  </r>
  <r>
    <x v="1"/>
    <s v="Gà kho măngSả"/>
    <s v="Món mặn"/>
    <x v="1"/>
    <x v="84"/>
    <x v="47"/>
    <n v="3"/>
    <n v="8000"/>
    <n v="461"/>
    <n v="6.5075921908893707E-3"/>
    <n v="52.060737527114966"/>
  </r>
  <r>
    <x v="1"/>
    <s v="Gà kho măngMăng"/>
    <s v="Món mặn"/>
    <x v="1"/>
    <x v="84"/>
    <x v="91"/>
    <n v="14"/>
    <n v="25000"/>
    <n v="461"/>
    <n v="3.0368763557483729E-2"/>
    <n v="759.21908893709326"/>
  </r>
  <r>
    <x v="0"/>
    <s v="Chả rim trứng cútChả cá tấm"/>
    <s v="Món mặn"/>
    <x v="2"/>
    <x v="85"/>
    <x v="125"/>
    <n v="0.02"/>
    <n v="90000"/>
    <n v="1"/>
    <n v="0.02"/>
    <n v="1800"/>
  </r>
  <r>
    <x v="0"/>
    <s v="Chả rim trứng cútTrứng cút"/>
    <s v="Món mặn"/>
    <x v="2"/>
    <x v="85"/>
    <x v="94"/>
    <n v="3"/>
    <n v="600"/>
    <n v="1"/>
    <n v="3"/>
    <n v="1800"/>
  </r>
  <r>
    <x v="0"/>
    <s v="Gà kho sảGà DL"/>
    <s v="Món mặn"/>
    <x v="1"/>
    <x v="86"/>
    <x v="124"/>
    <n v="11"/>
    <n v="50000"/>
    <n v="100"/>
    <n v="0.11"/>
    <n v="5500"/>
  </r>
  <r>
    <x v="1"/>
    <s v="Gà kho sảSả"/>
    <s v="Món mặn"/>
    <x v="1"/>
    <x v="86"/>
    <x v="47"/>
    <n v="4"/>
    <n v="8000"/>
    <n v="390"/>
    <n v="1.0256410256410256E-2"/>
    <n v="82.051282051282058"/>
  </r>
  <r>
    <x v="0"/>
    <s v="Thịt heo kho trứngThịt nạc vai"/>
    <s v="Món mặn"/>
    <x v="1"/>
    <x v="87"/>
    <x v="126"/>
    <n v="10"/>
    <n v="100000"/>
    <n v="420"/>
    <n v="2.3809523809523808E-2"/>
    <n v="2380.9523809523807"/>
  </r>
  <r>
    <x v="0"/>
    <s v="Thịt heo kho trứngThịt nọng"/>
    <s v="Món mặn"/>
    <x v="1"/>
    <x v="87"/>
    <x v="32"/>
    <n v="6.8"/>
    <n v="70000"/>
    <n v="420"/>
    <n v="1.6190476190476189E-2"/>
    <n v="1133.3333333333333"/>
  </r>
  <r>
    <x v="0"/>
    <s v="Thịt heo kho trứngTrứng cút"/>
    <s v="Món mặn"/>
    <x v="1"/>
    <x v="87"/>
    <x v="94"/>
    <n v="2"/>
    <n v="600"/>
    <n v="2"/>
    <n v="1"/>
    <n v="600"/>
  </r>
  <r>
    <x v="0"/>
    <s v="Thịt kho đậu khuônThịt nạc vai"/>
    <s v="Món mặn"/>
    <x v="1"/>
    <x v="88"/>
    <x v="126"/>
    <n v="2"/>
    <n v="85000"/>
    <n v="100"/>
    <n v="0.02"/>
    <n v="1700"/>
  </r>
  <r>
    <x v="0"/>
    <s v="Thịt kho đậu khuônThịt nọng"/>
    <s v="Món mặn"/>
    <x v="1"/>
    <x v="88"/>
    <x v="32"/>
    <n v="1.5"/>
    <n v="65000"/>
    <n v="100"/>
    <n v="1.4999999999999999E-2"/>
    <n v="975"/>
  </r>
  <r>
    <x v="0"/>
    <s v="Thịt kho đậu khuônĐậu khuôn"/>
    <s v="Món mặn"/>
    <x v="1"/>
    <x v="88"/>
    <x v="68"/>
    <n v="2"/>
    <n v="1600"/>
    <n v="3"/>
    <n v="0.66666666666666663"/>
    <n v="1066.6666666666667"/>
  </r>
  <r>
    <x v="0"/>
    <s v="Cá chim mắm tỏiCá chim"/>
    <s v="Món mặn"/>
    <x v="1"/>
    <x v="89"/>
    <x v="30"/>
    <n v="0.15"/>
    <n v="37000"/>
    <n v="1"/>
    <n v="0.15"/>
    <n v="5550"/>
  </r>
  <r>
    <x v="0"/>
    <s v="Giò heo kho măngGiò heo"/>
    <s v="Món mặn"/>
    <x v="1"/>
    <x v="90"/>
    <x v="112"/>
    <n v="11"/>
    <n v="30000"/>
    <n v="91"/>
    <n v="0.12087912087912088"/>
    <n v="3626.3736263736264"/>
  </r>
  <r>
    <x v="1"/>
    <s v="Giò heo kho măngMăng vàng"/>
    <s v="Món mặn"/>
    <x v="1"/>
    <x v="90"/>
    <x v="75"/>
    <n v="3.6"/>
    <n v="25000"/>
    <n v="91"/>
    <n v="3.9560439560439559E-2"/>
    <n v="989.01098901098896"/>
  </r>
  <r>
    <x v="0"/>
    <s v="Chả viên sốt càChả quết"/>
    <s v="Món mặn"/>
    <x v="2"/>
    <x v="91"/>
    <x v="79"/>
    <n v="1.5"/>
    <n v="120000"/>
    <n v="100"/>
    <n v="1.4999999999999999E-2"/>
    <n v="1800"/>
  </r>
  <r>
    <x v="0"/>
    <s v="Chả viên sốt càThịt xay"/>
    <s v="Món mặn"/>
    <x v="2"/>
    <x v="91"/>
    <x v="2"/>
    <n v="2"/>
    <n v="80000"/>
    <n v="100"/>
    <n v="0.02"/>
    <n v="1600"/>
  </r>
  <r>
    <x v="1"/>
    <s v="Chả viên sốt càCà chua"/>
    <s v="Món mặn"/>
    <x v="2"/>
    <x v="91"/>
    <x v="31"/>
    <n v="1"/>
    <n v="20000"/>
    <n v="100"/>
    <n v="0.01"/>
    <n v="200"/>
  </r>
  <r>
    <x v="1"/>
    <s v="Rau lang xàoRau lang xào"/>
    <s v="Món mặn"/>
    <x v="3"/>
    <x v="92"/>
    <x v="127"/>
    <n v="8.5"/>
    <n v="18000"/>
    <n v="100"/>
    <n v="8.5000000000000006E-2"/>
    <n v="1530"/>
  </r>
  <r>
    <x v="0"/>
    <s v="Bồ ngốt thịt bằmBồ ngót"/>
    <s v="Món mặn"/>
    <x v="5"/>
    <x v="93"/>
    <x v="55"/>
    <n v="3"/>
    <n v="12000"/>
    <n v="125"/>
    <n v="2.4E-2"/>
    <n v="288"/>
  </r>
  <r>
    <x v="1"/>
    <s v="Bồ ngốt thịt bằmThịt bằm"/>
    <s v="Món mặn"/>
    <x v="5"/>
    <x v="93"/>
    <x v="69"/>
    <n v="0.4"/>
    <n v="80000"/>
    <n v="125"/>
    <n v="3.2000000000000002E-3"/>
    <n v="256"/>
  </r>
  <r>
    <x v="0"/>
    <s v="Cơm gà xé trộnGà tươi"/>
    <s v="Món mặn"/>
    <x v="1"/>
    <x v="94"/>
    <x v="128"/>
    <n v="9.5"/>
    <n v="75000"/>
    <n v="95"/>
    <n v="0.1"/>
    <n v="7500"/>
  </r>
  <r>
    <x v="1"/>
    <s v="Cơm gà xé trộnHành tây"/>
    <s v="Món mặn"/>
    <x v="1"/>
    <x v="94"/>
    <x v="58"/>
    <n v="3.5"/>
    <n v="11000"/>
    <n v="85"/>
    <n v="4.1176470588235294E-2"/>
    <n v="452.94117647058823"/>
  </r>
  <r>
    <x v="1"/>
    <s v="Cơm gà xé trộnRau răm"/>
    <s v="Món mặn"/>
    <x v="1"/>
    <x v="94"/>
    <x v="38"/>
    <n v="1"/>
    <n v="20000"/>
    <n v="85"/>
    <n v="1.1764705882352941E-2"/>
    <n v="235.29411764705881"/>
  </r>
  <r>
    <x v="1"/>
    <s v="Cơm gà xé trộnCà rốt"/>
    <s v="Món mặn"/>
    <x v="1"/>
    <x v="94"/>
    <x v="26"/>
    <n v="4"/>
    <n v="15000"/>
    <n v="85"/>
    <n v="4.7058823529411764E-2"/>
    <n v="705.88235294117646"/>
  </r>
  <r>
    <x v="1"/>
    <s v="Cơm gà xé trộnKhoai tây"/>
    <s v="Món mặn"/>
    <x v="1"/>
    <x v="94"/>
    <x v="42"/>
    <n v="3"/>
    <n v="17000"/>
    <n v="85"/>
    <n v="3.5294117647058823E-2"/>
    <n v="600"/>
  </r>
  <r>
    <x v="0"/>
    <s v="Cơm gà xé trộnLòng gà"/>
    <s v="Món mặn"/>
    <x v="1"/>
    <x v="94"/>
    <x v="129"/>
    <n v="5"/>
    <n v="8000"/>
    <n v="95"/>
    <n v="5.2631578947368418E-2"/>
    <n v="421.05263157894734"/>
  </r>
  <r>
    <x v="0"/>
    <s v="Tôm rimTôm"/>
    <s v="Món mặn"/>
    <x v="1"/>
    <x v="95"/>
    <x v="14"/>
    <n v="1"/>
    <n v="115000"/>
    <n v="24"/>
    <n v="4.1666666666666664E-2"/>
    <n v="4791.666666666667"/>
  </r>
  <r>
    <x v="0"/>
    <s v="Cá cơm khoCá cơm"/>
    <s v="Món mặn"/>
    <x v="1"/>
    <x v="96"/>
    <x v="130"/>
    <n v="9"/>
    <n v="40000"/>
    <n v="100"/>
    <n v="0.09"/>
    <n v="3600"/>
  </r>
  <r>
    <x v="1"/>
    <s v="Heo xào cải chuaCải chua"/>
    <s v="Món mặn"/>
    <x v="2"/>
    <x v="97"/>
    <x v="131"/>
    <n v="5"/>
    <n v="24000"/>
    <n v="100"/>
    <n v="0.05"/>
    <n v="1200"/>
  </r>
  <r>
    <x v="0"/>
    <s v="Heo xào cải chuaHeo nọng"/>
    <s v="Món mặn"/>
    <x v="2"/>
    <x v="97"/>
    <x v="74"/>
    <n v="2"/>
    <n v="65000"/>
    <n v="100"/>
    <n v="0.02"/>
    <n v="1300"/>
  </r>
  <r>
    <x v="0"/>
    <s v="Heo xào cải chuaNạc vai"/>
    <s v="Món mặn"/>
    <x v="2"/>
    <x v="97"/>
    <x v="33"/>
    <n v="1.5"/>
    <n v="100000"/>
    <n v="100"/>
    <n v="1.4999999999999999E-2"/>
    <n v="1500"/>
  </r>
  <r>
    <x v="0"/>
    <s v="Mỳ Quảng GàGà"/>
    <s v="Món mặn"/>
    <x v="0"/>
    <x v="98"/>
    <x v="36"/>
    <n v="12"/>
    <n v="50000"/>
    <n v="100"/>
    <n v="0.12"/>
    <n v="6000"/>
  </r>
  <r>
    <x v="0"/>
    <s v="Mỳ Quảng GàTrứng gà"/>
    <s v="Món mặn"/>
    <x v="0"/>
    <x v="98"/>
    <x v="13"/>
    <n v="64"/>
    <n v="2167"/>
    <n v="123"/>
    <n v="0.52032520325203258"/>
    <n v="1127.5447154471544"/>
  </r>
  <r>
    <x v="1"/>
    <s v="Mỳ Quảng GàBánh tráng"/>
    <s v="Món mặn"/>
    <x v="0"/>
    <x v="98"/>
    <x v="15"/>
    <n v="1"/>
    <n v="3000"/>
    <n v="6"/>
    <n v="0.16666666666666666"/>
    <n v="500"/>
  </r>
  <r>
    <x v="1"/>
    <s v="Mỳ Quảng GàXà lách "/>
    <s v="Món mặn"/>
    <x v="0"/>
    <x v="98"/>
    <x v="16"/>
    <n v="2.5"/>
    <n v="25000"/>
    <n v="123"/>
    <n v="2.032520325203252E-2"/>
    <n v="508.130081300813"/>
  </r>
  <r>
    <x v="1"/>
    <s v="Mỳ Quảng GàSu trắng"/>
    <s v="Món mặn"/>
    <x v="0"/>
    <x v="98"/>
    <x v="17"/>
    <n v="2"/>
    <n v="10000"/>
    <n v="123"/>
    <n v="1.6260162601626018E-2"/>
    <n v="162.60162601626016"/>
  </r>
  <r>
    <x v="1"/>
    <s v="Mỳ Quảng GàGiá"/>
    <s v="Món mặn"/>
    <x v="0"/>
    <x v="98"/>
    <x v="7"/>
    <n v="2"/>
    <n v="8000"/>
    <n v="123"/>
    <n v="1.6260162601626018E-2"/>
    <n v="130.08130081300814"/>
  </r>
  <r>
    <x v="1"/>
    <s v="Mỳ Quảng GàHành lá"/>
    <s v="Món mặn"/>
    <x v="0"/>
    <x v="98"/>
    <x v="8"/>
    <n v="0.9"/>
    <n v="18000"/>
    <n v="123"/>
    <n v="7.3170731707317077E-3"/>
    <n v="131.70731707317074"/>
  </r>
  <r>
    <x v="1"/>
    <s v="Mỳ Quảng GàNgò gai"/>
    <s v="Món mặn"/>
    <x v="0"/>
    <x v="98"/>
    <x v="18"/>
    <n v="1"/>
    <n v="36000"/>
    <n v="307"/>
    <n v="3.2573289902280132E-3"/>
    <n v="117.26384364820846"/>
  </r>
  <r>
    <x v="1"/>
    <s v="Mỳ Quảng GàQuế"/>
    <s v="Món mặn"/>
    <x v="0"/>
    <x v="98"/>
    <x v="19"/>
    <n v="1"/>
    <n v="25000"/>
    <n v="123"/>
    <n v="8.130081300813009E-3"/>
    <n v="203.2520325203252"/>
  </r>
  <r>
    <x v="1"/>
    <s v="Mỳ Quảng GàChanh"/>
    <s v="Món mặn"/>
    <x v="0"/>
    <x v="98"/>
    <x v="20"/>
    <n v="0.8"/>
    <n v="26000"/>
    <n v="123"/>
    <n v="6.5040650406504065E-3"/>
    <n v="169.10569105691056"/>
  </r>
  <r>
    <x v="1"/>
    <s v="Mỳ Quảng GàĐậu phộng rang"/>
    <s v="Món mặn"/>
    <x v="0"/>
    <x v="98"/>
    <x v="132"/>
    <n v="0.5"/>
    <n v="50000"/>
    <n v="123"/>
    <n v="4.0650406504065045E-3"/>
    <n v="203.2520325203252"/>
  </r>
  <r>
    <x v="1"/>
    <s v="Mỳ Quảng GàỚt"/>
    <s v="Món mặn"/>
    <x v="0"/>
    <x v="98"/>
    <x v="10"/>
    <n v="0.5"/>
    <n v="30000"/>
    <n v="123"/>
    <n v="4.0650406504065045E-3"/>
    <n v="121.95121951219512"/>
  </r>
  <r>
    <x v="0"/>
    <s v="Bún thịt nướngNạc vai"/>
    <s v="Món mặn"/>
    <x v="0"/>
    <x v="99"/>
    <x v="33"/>
    <n v="8"/>
    <n v="100000"/>
    <n v="100"/>
    <n v="0.08"/>
    <n v="8000"/>
  </r>
  <r>
    <x v="1"/>
    <s v="Bún thịt nướngSả"/>
    <s v="Món mặn"/>
    <x v="0"/>
    <x v="99"/>
    <x v="47"/>
    <n v="1"/>
    <n v="10000"/>
    <n v="100"/>
    <n v="0.01"/>
    <n v="100"/>
  </r>
  <r>
    <x v="1"/>
    <s v="Bún thịt nướngDưa leo"/>
    <s v="Món mặn"/>
    <x v="0"/>
    <x v="99"/>
    <x v="133"/>
    <n v="2"/>
    <n v="10000"/>
    <n v="100"/>
    <n v="0.02"/>
    <n v="200"/>
  </r>
  <r>
    <x v="1"/>
    <s v="Bún thịt nướngĐu đủ xanh"/>
    <s v="Món mặn"/>
    <x v="0"/>
    <x v="99"/>
    <x v="134"/>
    <n v="2"/>
    <n v="5000"/>
    <n v="100"/>
    <n v="0.02"/>
    <n v="100"/>
  </r>
  <r>
    <x v="1"/>
    <s v="Bún thịt nướngHành lá"/>
    <s v="Món mặn"/>
    <x v="0"/>
    <x v="99"/>
    <x v="8"/>
    <n v="0.5"/>
    <n v="18000"/>
    <n v="100"/>
    <n v="5.0000000000000001E-3"/>
    <n v="90"/>
  </r>
  <r>
    <x v="1"/>
    <s v="Bún thịt nướngĐậu phộng rang"/>
    <s v="Món mặn"/>
    <x v="0"/>
    <x v="99"/>
    <x v="132"/>
    <n v="0.7"/>
    <n v="50000"/>
    <n v="100"/>
    <n v="6.9999999999999993E-3"/>
    <n v="350"/>
  </r>
  <r>
    <x v="1"/>
    <s v="Bún thịt nướngXà lách"/>
    <s v="Món mặn"/>
    <x v="0"/>
    <x v="99"/>
    <x v="103"/>
    <n v="2"/>
    <n v="25000"/>
    <n v="100"/>
    <n v="0.02"/>
    <n v="500"/>
  </r>
  <r>
    <x v="1"/>
    <s v="Bún thịt nướngQuế"/>
    <s v="Món mặn"/>
    <x v="0"/>
    <x v="99"/>
    <x v="19"/>
    <n v="0.5"/>
    <n v="25000"/>
    <n v="100"/>
    <n v="5.0000000000000001E-3"/>
    <n v="125"/>
  </r>
  <r>
    <x v="1"/>
    <s v="Bún thịt nướngCà chua"/>
    <s v="Món mặn"/>
    <x v="0"/>
    <x v="99"/>
    <x v="31"/>
    <n v="1.5"/>
    <n v="20000"/>
    <n v="100"/>
    <n v="1.4999999999999999E-2"/>
    <n v="300"/>
  </r>
  <r>
    <x v="0"/>
    <s v="Cá ngừ sốt càCá ngừ"/>
    <s v="Món mặn"/>
    <x v="1"/>
    <x v="100"/>
    <x v="135"/>
    <n v="13"/>
    <n v="32000"/>
    <n v="100"/>
    <n v="0.13"/>
    <n v="4160"/>
  </r>
  <r>
    <x v="1"/>
    <s v="Cá ngừ sốt càCà chua"/>
    <s v="Món mặn"/>
    <x v="1"/>
    <x v="100"/>
    <x v="31"/>
    <n v="2"/>
    <n v="20000"/>
    <n v="100"/>
    <n v="0.02"/>
    <n v="400"/>
  </r>
  <r>
    <x v="0"/>
    <s v="Cá ngừ kho dưaCá ngừ"/>
    <s v="Món mặn"/>
    <x v="1"/>
    <x v="101"/>
    <x v="135"/>
    <n v="12"/>
    <n v="32000"/>
    <n v="100"/>
    <n v="0.12"/>
    <n v="3840"/>
  </r>
  <r>
    <x v="1"/>
    <s v="Cá ngừ kho dưaDưa trái muối"/>
    <s v="Món mặn"/>
    <x v="1"/>
    <x v="101"/>
    <x v="136"/>
    <n v="3.5"/>
    <n v="15000"/>
    <n v="100"/>
    <n v="3.5000000000000003E-2"/>
    <n v="525"/>
  </r>
  <r>
    <x v="0"/>
    <s v="Heo rang cháy cạnhHeo nọng"/>
    <s v="Món mặn"/>
    <x v="2"/>
    <x v="102"/>
    <x v="74"/>
    <n v="6"/>
    <n v="60000"/>
    <n v="100"/>
    <n v="0.06"/>
    <n v="3600"/>
  </r>
  <r>
    <x v="0"/>
    <s v="Giò heo kho sảGiò heo"/>
    <s v="Món mặn"/>
    <x v="1"/>
    <x v="103"/>
    <x v="112"/>
    <n v="12"/>
    <n v="30000"/>
    <n v="100"/>
    <n v="0.12"/>
    <n v="3600"/>
  </r>
  <r>
    <x v="1"/>
    <s v="Giò heo kho sảSả"/>
    <s v="Món mặn"/>
    <x v="1"/>
    <x v="103"/>
    <x v="47"/>
    <n v="2"/>
    <n v="10000"/>
    <n v="100"/>
    <n v="0.02"/>
    <n v="200"/>
  </r>
  <r>
    <x v="1"/>
    <s v="Cải ngọt xàoCải ngọt"/>
    <s v="Món mặn"/>
    <x v="3"/>
    <x v="104"/>
    <x v="49"/>
    <n v="9"/>
    <n v="12000"/>
    <n v="100"/>
    <n v="0.09"/>
    <n v="1080"/>
  </r>
  <r>
    <x v="1"/>
    <s v="Su su xàoSu su"/>
    <s v="Món mặn"/>
    <x v="3"/>
    <x v="105"/>
    <x v="137"/>
    <n v="9.5"/>
    <n v="12000"/>
    <n v="100"/>
    <n v="9.5000000000000001E-2"/>
    <n v="1140"/>
  </r>
  <r>
    <x v="1"/>
    <s v="Mồng tơi nấu tômMồng tơi"/>
    <s v="Món mặn"/>
    <x v="5"/>
    <x v="106"/>
    <x v="110"/>
    <n v="5"/>
    <n v="10000"/>
    <n v="100"/>
    <n v="0.05"/>
    <n v="500"/>
  </r>
  <r>
    <x v="0"/>
    <s v="Mồng tơi nấu tômTôm"/>
    <s v="Món mặn"/>
    <x v="5"/>
    <x v="106"/>
    <x v="14"/>
    <n v="0.4"/>
    <n v="120000"/>
    <n v="100"/>
    <n v="4.0000000000000001E-3"/>
    <n v="480"/>
  </r>
  <r>
    <x v="0"/>
    <s v="Cơm đùi gà rôtyĐùi gà tỏi"/>
    <s v="Món mặn"/>
    <x v="1"/>
    <x v="107"/>
    <x v="138"/>
    <n v="1"/>
    <n v="55000"/>
    <n v="6"/>
    <n v="0.16666666666666666"/>
    <n v="9166.6666666666661"/>
  </r>
  <r>
    <x v="0"/>
    <s v="Cơm đùi gà rôtyTrứng gà"/>
    <s v="Món mặn"/>
    <x v="1"/>
    <x v="107"/>
    <x v="13"/>
    <n v="80"/>
    <n v="230"/>
    <n v="100"/>
    <n v="0.8"/>
    <n v="184"/>
  </r>
  <r>
    <x v="1"/>
    <s v="Cơm đùi gà rôtyCà chua"/>
    <s v="Món mặn"/>
    <x v="1"/>
    <x v="107"/>
    <x v="31"/>
    <n v="2"/>
    <n v="20000"/>
    <n v="100"/>
    <n v="0.02"/>
    <n v="400"/>
  </r>
  <r>
    <x v="1"/>
    <s v="Cơm đùi gà rôtyBí đỏ "/>
    <s v="Món mặn"/>
    <x v="1"/>
    <x v="107"/>
    <x v="139"/>
    <n v="4"/>
    <n v="11000"/>
    <n v="100"/>
    <n v="0.04"/>
    <n v="440"/>
  </r>
  <r>
    <x v="0"/>
    <s v="Cơm đùi gà rôtyThịt xay"/>
    <s v="Món mặn"/>
    <x v="1"/>
    <x v="107"/>
    <x v="2"/>
    <n v="0.4"/>
    <n v="80000"/>
    <n v="100"/>
    <n v="4.0000000000000001E-3"/>
    <n v="320"/>
  </r>
  <r>
    <x v="0"/>
    <s v="Thịt xay xào củ quảThịt xay"/>
    <s v="Món mặn"/>
    <x v="2"/>
    <x v="108"/>
    <x v="2"/>
    <n v="1"/>
    <n v="80000"/>
    <n v="40"/>
    <n v="2.5000000000000001E-2"/>
    <n v="2000"/>
  </r>
  <r>
    <x v="1"/>
    <s v="Thịt xay xào củ quảCà rốt"/>
    <s v="Món mặn"/>
    <x v="2"/>
    <x v="108"/>
    <x v="26"/>
    <n v="1"/>
    <n v="16000"/>
    <n v="30"/>
    <n v="3.3333333333333333E-2"/>
    <n v="533.33333333333337"/>
  </r>
  <r>
    <x v="1"/>
    <s v="Thịt xay xào củ quảKhoai tây"/>
    <s v="Món mặn"/>
    <x v="2"/>
    <x v="108"/>
    <x v="42"/>
    <n v="1"/>
    <n v="13000"/>
    <n v="30"/>
    <n v="3.3333333333333333E-2"/>
    <n v="433.33333333333331"/>
  </r>
  <r>
    <x v="1"/>
    <s v="Thịt xay xào củ quảNấm mèo"/>
    <s v="Món mặn"/>
    <x v="2"/>
    <x v="108"/>
    <x v="11"/>
    <n v="0.1"/>
    <n v="110000"/>
    <n v="40"/>
    <n v="2.5000000000000001E-3"/>
    <n v="275"/>
  </r>
  <r>
    <x v="0"/>
    <s v="Chả kho đậu khuônChả cá tấm chiên"/>
    <s v="Món mặn"/>
    <x v="2"/>
    <x v="109"/>
    <x v="121"/>
    <n v="3"/>
    <n v="90000"/>
    <n v="100"/>
    <n v="0.03"/>
    <n v="2700"/>
  </r>
  <r>
    <x v="0"/>
    <s v="Chả kho đậu khuônĐậu khuôn chiên"/>
    <s v="Món mặn"/>
    <x v="2"/>
    <x v="109"/>
    <x v="140"/>
    <n v="2"/>
    <n v="1600"/>
    <n v="3"/>
    <n v="0.66666666666666663"/>
    <n v="1066.6666666666667"/>
  </r>
  <r>
    <x v="0"/>
    <s v="Bún gà nấu nấmGà DL"/>
    <s v="Món mặn"/>
    <x v="1"/>
    <x v="110"/>
    <x v="124"/>
    <n v="11"/>
    <n v="50000"/>
    <n v="100"/>
    <n v="0.11"/>
    <n v="5500"/>
  </r>
  <r>
    <x v="1"/>
    <s v="Bún gà nấu nấmNấm dai"/>
    <s v="Món mặn"/>
    <x v="1"/>
    <x v="110"/>
    <x v="141"/>
    <n v="0.02"/>
    <n v="16000"/>
    <n v="1"/>
    <n v="0.02"/>
    <n v="320"/>
  </r>
  <r>
    <x v="1"/>
    <s v="Bún gà nấu nấmNấm đùi gà"/>
    <s v="Món mặn"/>
    <x v="1"/>
    <x v="110"/>
    <x v="142"/>
    <n v="1.4999999999999999E-2"/>
    <n v="40000"/>
    <n v="1"/>
    <n v="1.4999999999999999E-2"/>
    <n v="600"/>
  </r>
  <r>
    <x v="1"/>
    <s v="Bún gà nấu nấmỚt xiêm"/>
    <s v="Món mặn"/>
    <x v="1"/>
    <x v="110"/>
    <x v="143"/>
    <n v="1"/>
    <n v="40000"/>
    <n v="100"/>
    <n v="0.01"/>
    <n v="400"/>
  </r>
  <r>
    <x v="1"/>
    <s v="Bún gà nấu nấmHành lá"/>
    <s v="Món mặn"/>
    <x v="1"/>
    <x v="110"/>
    <x v="8"/>
    <n v="1"/>
    <n v="18000"/>
    <n v="100"/>
    <n v="0.01"/>
    <n v="180"/>
  </r>
  <r>
    <x v="1"/>
    <s v="Bún gà nấu nấmNgò gai"/>
    <s v="Món mặn"/>
    <x v="1"/>
    <x v="110"/>
    <x v="18"/>
    <n v="0.5"/>
    <n v="36000"/>
    <n v="100"/>
    <n v="5.0000000000000001E-3"/>
    <n v="180"/>
  </r>
  <r>
    <x v="1"/>
    <s v="Bún gà nấu nấmHành tây"/>
    <s v="Món mặn"/>
    <x v="1"/>
    <x v="110"/>
    <x v="58"/>
    <n v="1"/>
    <n v="11000"/>
    <n v="100"/>
    <n v="0.01"/>
    <n v="110"/>
  </r>
  <r>
    <x v="1"/>
    <s v="Bún gà nấu nấmCủ cải"/>
    <s v="Món mặn"/>
    <x v="1"/>
    <x v="110"/>
    <x v="65"/>
    <n v="2"/>
    <n v="10000"/>
    <n v="100"/>
    <n v="0.02"/>
    <n v="200"/>
  </r>
  <r>
    <x v="1"/>
    <s v="Bún gà nấu nấmCà rốt"/>
    <s v="Món mặn"/>
    <x v="1"/>
    <x v="110"/>
    <x v="26"/>
    <n v="2"/>
    <n v="16000"/>
    <n v="100"/>
    <n v="0.02"/>
    <n v="320"/>
  </r>
  <r>
    <x v="1"/>
    <s v="Bún gà nấu nấmChanh"/>
    <s v="Món mặn"/>
    <x v="1"/>
    <x v="110"/>
    <x v="20"/>
    <n v="1"/>
    <n v="20000"/>
    <n v="100"/>
    <n v="0.01"/>
    <n v="200"/>
  </r>
  <r>
    <x v="0"/>
    <s v="Thịt heo kho chảThịt  heo nọng"/>
    <s v="Món mặn"/>
    <x v="1"/>
    <x v="111"/>
    <x v="144"/>
    <n v="3.5"/>
    <n v="65000"/>
    <n v="100"/>
    <n v="3.5000000000000003E-2"/>
    <n v="2275"/>
  </r>
  <r>
    <x v="0"/>
    <s v="Thịt heo kho chảChả cá tấm chiên"/>
    <s v="Món mặn"/>
    <x v="1"/>
    <x v="111"/>
    <x v="121"/>
    <n v="2.5"/>
    <n v="85000"/>
    <n v="100"/>
    <n v="2.5000000000000001E-2"/>
    <n v="2125"/>
  </r>
  <r>
    <x v="0"/>
    <s v="Mỳ Thịt xíu trứngHeo đùi mông"/>
    <s v="Món mặn"/>
    <x v="0"/>
    <x v="112"/>
    <x v="0"/>
    <n v="5"/>
    <n v="100000"/>
    <n v="100"/>
    <n v="0.05"/>
    <n v="5000"/>
  </r>
  <r>
    <x v="0"/>
    <s v="Mỳ Thịt xíu trứngTrứng cút"/>
    <s v="Món mặn"/>
    <x v="0"/>
    <x v="112"/>
    <x v="94"/>
    <n v="3"/>
    <n v="500"/>
    <n v="1"/>
    <n v="3"/>
    <n v="1500"/>
  </r>
  <r>
    <x v="1"/>
    <s v="Mỳ Thịt xíu trứngBánh tráng"/>
    <s v="Món mặn"/>
    <x v="0"/>
    <x v="112"/>
    <x v="15"/>
    <n v="1"/>
    <n v="3000"/>
    <n v="6"/>
    <n v="0.16666666666666666"/>
    <n v="500"/>
  </r>
  <r>
    <x v="1"/>
    <s v="Mỳ Thịt xíu trứngXà lách "/>
    <s v="Món mặn"/>
    <x v="0"/>
    <x v="112"/>
    <x v="16"/>
    <n v="2.5"/>
    <n v="25000"/>
    <n v="123"/>
    <n v="2.032520325203252E-2"/>
    <n v="508.130081300813"/>
  </r>
  <r>
    <x v="1"/>
    <s v="Mỳ Thịt xíu trứngSu trắng"/>
    <s v="Món mặn"/>
    <x v="0"/>
    <x v="112"/>
    <x v="17"/>
    <n v="2"/>
    <n v="10000"/>
    <n v="123"/>
    <n v="1.6260162601626018E-2"/>
    <n v="162.60162601626016"/>
  </r>
  <r>
    <x v="1"/>
    <s v="Mỳ Thịt xíu trứngGiá"/>
    <s v="Món mặn"/>
    <x v="0"/>
    <x v="112"/>
    <x v="7"/>
    <n v="2"/>
    <n v="8000"/>
    <n v="123"/>
    <n v="1.6260162601626018E-2"/>
    <n v="130.08130081300814"/>
  </r>
  <r>
    <x v="1"/>
    <s v="Mỳ Thịt xíu trứngHành lá"/>
    <s v="Món mặn"/>
    <x v="0"/>
    <x v="112"/>
    <x v="8"/>
    <n v="0.9"/>
    <n v="18000"/>
    <n v="123"/>
    <n v="7.3170731707317077E-3"/>
    <n v="131.70731707317074"/>
  </r>
  <r>
    <x v="1"/>
    <s v="Mỳ Thịt xíu trứngNgò gai"/>
    <s v="Món mặn"/>
    <x v="0"/>
    <x v="112"/>
    <x v="18"/>
    <n v="1"/>
    <n v="36000"/>
    <n v="307"/>
    <n v="3.2573289902280132E-3"/>
    <n v="117.26384364820846"/>
  </r>
  <r>
    <x v="1"/>
    <s v="Mỳ Thịt xíu trứngQuế"/>
    <s v="Món mặn"/>
    <x v="0"/>
    <x v="112"/>
    <x v="19"/>
    <n v="1"/>
    <n v="15000"/>
    <n v="123"/>
    <n v="8.130081300813009E-3"/>
    <n v="121.95121951219512"/>
  </r>
  <r>
    <x v="1"/>
    <s v="Mỳ Thịt xíu trứngChanh"/>
    <s v="Món mặn"/>
    <x v="0"/>
    <x v="112"/>
    <x v="20"/>
    <n v="0.5"/>
    <n v="26000"/>
    <n v="123"/>
    <n v="4.0650406504065045E-3"/>
    <n v="105.6910569105691"/>
  </r>
  <r>
    <x v="1"/>
    <s v="Mỳ Thịt xíu trứngỚt"/>
    <s v="Món mặn"/>
    <x v="0"/>
    <x v="112"/>
    <x v="10"/>
    <n v="0.5"/>
    <n v="30000"/>
    <n v="123"/>
    <n v="4.0650406504065045E-3"/>
    <n v="121.95121951219512"/>
  </r>
  <r>
    <x v="1"/>
    <s v="Heo xào đậu veĐậu ve"/>
    <s v="Món mặn"/>
    <x v="2"/>
    <x v="113"/>
    <x v="145"/>
    <n v="6"/>
    <n v="18000"/>
    <n v="100"/>
    <n v="0.06"/>
    <n v="1080"/>
  </r>
  <r>
    <x v="0"/>
    <s v="Heo xào đậu ve Nạc vai"/>
    <s v="Món mặn"/>
    <x v="2"/>
    <x v="113"/>
    <x v="146"/>
    <n v="1.5"/>
    <n v="100000"/>
    <n v="100"/>
    <n v="1.4999999999999999E-2"/>
    <n v="1500"/>
  </r>
  <r>
    <x v="0"/>
    <s v="Heo xào đậu veHeo nọng"/>
    <s v="Món mặn"/>
    <x v="2"/>
    <x v="113"/>
    <x v="74"/>
    <n v="1.5"/>
    <n v="65000"/>
    <n v="100"/>
    <n v="1.4999999999999999E-2"/>
    <n v="975"/>
  </r>
  <r>
    <x v="1"/>
    <s v="Rau má nấu tômRau má"/>
    <s v="Món mặn"/>
    <x v="5"/>
    <x v="114"/>
    <x v="76"/>
    <n v="18"/>
    <n v="18000"/>
    <n v="520"/>
    <n v="3.4615384615384617E-2"/>
    <n v="623.07692307692309"/>
  </r>
  <r>
    <x v="0"/>
    <s v="Rau má nấu tômTôm"/>
    <s v="Món mặn"/>
    <x v="5"/>
    <x v="114"/>
    <x v="14"/>
    <n v="1.5"/>
    <n v="130000"/>
    <n v="500"/>
    <n v="3.0000000000000001E-3"/>
    <n v="390"/>
  </r>
  <r>
    <x v="0"/>
    <s v="Cơm thịt xá xíuHeo đùi mông"/>
    <s v="Món mặn"/>
    <x v="1"/>
    <x v="115"/>
    <x v="0"/>
    <n v="6"/>
    <n v="100000"/>
    <n v="100"/>
    <n v="0.06"/>
    <n v="6000"/>
  </r>
  <r>
    <x v="1"/>
    <s v="Cơm thịt xá xíuCà chua"/>
    <s v="Món mặn"/>
    <x v="1"/>
    <x v="115"/>
    <x v="31"/>
    <n v="2"/>
    <n v="20000"/>
    <n v="100"/>
    <n v="0.02"/>
    <n v="400"/>
  </r>
  <r>
    <x v="1"/>
    <s v="Cơm thịt xá xíuDưa leo"/>
    <s v="Món mặn"/>
    <x v="1"/>
    <x v="115"/>
    <x v="133"/>
    <n v="3"/>
    <n v="10000"/>
    <n v="100"/>
    <n v="0.03"/>
    <n v="300"/>
  </r>
  <r>
    <x v="0"/>
    <s v="Cơm thịt xá xíuTrứng gà"/>
    <s v="Món mặn"/>
    <x v="1"/>
    <x v="115"/>
    <x v="13"/>
    <n v="100"/>
    <n v="2200"/>
    <n v="100"/>
    <n v="1"/>
    <n v="2200"/>
  </r>
  <r>
    <x v="1"/>
    <s v="Cơm thịt xá xíuRong biển khô"/>
    <s v="Món mặn"/>
    <x v="1"/>
    <x v="115"/>
    <x v="147"/>
    <n v="0.5"/>
    <n v="200000"/>
    <n v="150"/>
    <n v="3.3333333333333335E-3"/>
    <n v="666.66666666666663"/>
  </r>
  <r>
    <x v="0"/>
    <s v="Cơm thịt xá xíuTôm"/>
    <s v="Món mặn"/>
    <x v="1"/>
    <x v="115"/>
    <x v="14"/>
    <n v="0.5"/>
    <n v="130000"/>
    <n v="150"/>
    <n v="3.3333333333333335E-3"/>
    <n v="433.33333333333331"/>
  </r>
  <r>
    <x v="0"/>
    <s v="Tim heo xào măngTim heo"/>
    <s v="Món mặn"/>
    <x v="2"/>
    <x v="116"/>
    <x v="148"/>
    <n v="0.05"/>
    <n v="50000"/>
    <n v="1"/>
    <n v="0.05"/>
    <n v="2500"/>
  </r>
  <r>
    <x v="1"/>
    <s v="Tim heo xào măngMăng vàng"/>
    <s v="Món mặn"/>
    <x v="2"/>
    <x v="116"/>
    <x v="75"/>
    <n v="0.05"/>
    <n v="25000"/>
    <n v="1"/>
    <n v="0.05"/>
    <n v="1250"/>
  </r>
  <r>
    <x v="0"/>
    <s v="Thịt heo ngâm mắmHeo đùi mông"/>
    <s v="Món mặn"/>
    <x v="1"/>
    <x v="117"/>
    <x v="0"/>
    <n v="4.5"/>
    <n v="100000"/>
    <n v="100"/>
    <n v="4.4999999999999998E-2"/>
    <n v="4500"/>
  </r>
  <r>
    <x v="0"/>
    <s v="Chả cá chiên sả ớtChả cá tấm"/>
    <s v="Món mặn"/>
    <x v="2"/>
    <x v="118"/>
    <x v="125"/>
    <n v="3.5"/>
    <n v="90000"/>
    <n v="100"/>
    <n v="3.5000000000000003E-2"/>
    <n v="3150"/>
  </r>
  <r>
    <x v="1"/>
    <s v="Chả cá chiên sả ớtSả"/>
    <s v="Món mặn"/>
    <x v="2"/>
    <x v="118"/>
    <x v="47"/>
    <n v="0.5"/>
    <n v="10000"/>
    <n v="100"/>
    <n v="5.0000000000000001E-3"/>
    <n v="50"/>
  </r>
  <r>
    <x v="1"/>
    <s v="Canh chuaMăng chua"/>
    <s v="Món mặn"/>
    <x v="5"/>
    <x v="119"/>
    <x v="101"/>
    <n v="2"/>
    <n v="25000"/>
    <n v="130"/>
    <n v="1.5384615384615385E-2"/>
    <n v="384.61538461538464"/>
  </r>
  <r>
    <x v="1"/>
    <s v="Canh chuaThơm"/>
    <s v="Món mặn"/>
    <x v="5"/>
    <x v="119"/>
    <x v="24"/>
    <n v="1.5"/>
    <n v="18000"/>
    <n v="130"/>
    <n v="1.1538461538461539E-2"/>
    <n v="207.69230769230768"/>
  </r>
  <r>
    <x v="1"/>
    <s v="Canh chuaCà chua"/>
    <s v="Món mặn"/>
    <x v="5"/>
    <x v="119"/>
    <x v="31"/>
    <n v="1"/>
    <n v="25000"/>
    <n v="130"/>
    <n v="7.6923076923076927E-3"/>
    <n v="192.30769230769232"/>
  </r>
  <r>
    <x v="1"/>
    <s v="Canh chuaRau ngũ điếc"/>
    <s v="Món mặn"/>
    <x v="5"/>
    <x v="119"/>
    <x v="149"/>
    <n v="0.5"/>
    <n v="30000"/>
    <n v="130"/>
    <n v="3.8461538461538464E-3"/>
    <n v="115.38461538461539"/>
  </r>
  <r>
    <x v="1"/>
    <s v="Canh chuaHành lá"/>
    <s v="Món mặn"/>
    <x v="5"/>
    <x v="119"/>
    <x v="8"/>
    <n v="0.5"/>
    <n v="25000"/>
    <n v="130"/>
    <n v="3.8461538461538464E-3"/>
    <n v="96.15384615384616"/>
  </r>
  <r>
    <x v="1"/>
    <s v="Mít non nấu tômMít non"/>
    <s v="Món mặn"/>
    <x v="5"/>
    <x v="120"/>
    <x v="150"/>
    <n v="22"/>
    <n v="15000"/>
    <n v="630"/>
    <n v="3.4920634920634921E-2"/>
    <n v="523.80952380952385"/>
  </r>
  <r>
    <x v="0"/>
    <s v="Mít non nấu tômTôm"/>
    <s v="Món mặn"/>
    <x v="5"/>
    <x v="120"/>
    <x v="14"/>
    <n v="1.5"/>
    <n v="130000"/>
    <n v="630"/>
    <n v="2.3809523809523812E-3"/>
    <n v="309.52380952380952"/>
  </r>
  <r>
    <x v="1"/>
    <s v="Mít non nấu tômLá lót"/>
    <s v="Món mặn"/>
    <x v="5"/>
    <x v="120"/>
    <x v="151"/>
    <n v="1"/>
    <m/>
    <n v="630"/>
    <n v="1.5873015873015873E-3"/>
    <n v="0"/>
  </r>
  <r>
    <x v="1"/>
    <s v="Cà ri bò + bánh mỳNạm bò"/>
    <s v="Món mặn"/>
    <x v="1"/>
    <x v="121"/>
    <x v="78"/>
    <n v="26"/>
    <m/>
    <n v="175"/>
    <n v="0.14857142857142858"/>
    <n v="0"/>
  </r>
  <r>
    <x v="0"/>
    <s v="Thịt kho dưa muốiThịt heo nọng"/>
    <s v="Món mặn"/>
    <x v="1"/>
    <x v="122"/>
    <x v="152"/>
    <n v="0.02"/>
    <n v="65000"/>
    <n v="1"/>
    <n v="0.02"/>
    <n v="1300"/>
  </r>
  <r>
    <x v="0"/>
    <s v="Thịt kho dưa muốiThịt đùi mông"/>
    <s v="Món mặn"/>
    <x v="1"/>
    <x v="122"/>
    <x v="25"/>
    <n v="0.02"/>
    <n v="100000"/>
    <n v="1"/>
    <n v="0.02"/>
    <n v="2000"/>
  </r>
  <r>
    <x v="1"/>
    <s v="Thịt kho dưa muốiDưa trái muối"/>
    <s v="Món mặn"/>
    <x v="1"/>
    <x v="122"/>
    <x v="136"/>
    <n v="0.05"/>
    <n v="15000"/>
    <n v="1"/>
    <n v="0.05"/>
    <n v="750"/>
  </r>
  <r>
    <x v="1"/>
    <s v="Tôm thịt rim củ cảiBa chỉ ĐL"/>
    <s v="Món mặn"/>
    <x v="1"/>
    <x v="123"/>
    <x v="153"/>
    <n v="0.03"/>
    <n v="80000"/>
    <n v="1"/>
    <n v="0.03"/>
    <n v="2400"/>
  </r>
  <r>
    <x v="1"/>
    <s v="Tôm thịt rim củ cảiTôm"/>
    <s v="Món mặn"/>
    <x v="1"/>
    <x v="123"/>
    <x v="14"/>
    <n v="1"/>
    <n v="145000"/>
    <n v="60"/>
    <n v="1.6666666666666666E-2"/>
    <n v="2416.6666666666665"/>
  </r>
  <r>
    <x v="1"/>
    <s v="Tôm thịt rim củ cảiCủ cải"/>
    <s v="Món mặn"/>
    <x v="1"/>
    <x v="123"/>
    <x v="65"/>
    <n v="0.03"/>
    <n v="12000"/>
    <n v="1"/>
    <n v="0.03"/>
    <n v="360"/>
  </r>
  <r>
    <x v="1"/>
    <s v="Cải thìa xàoCải thìa"/>
    <s v="Món mặn"/>
    <x v="3"/>
    <x v="124"/>
    <x v="154"/>
    <n v="9.5"/>
    <n v="10000"/>
    <n v="100"/>
    <n v="9.5000000000000001E-2"/>
    <n v="950"/>
  </r>
  <r>
    <x v="1"/>
    <s v="Đậu ve xàoĐậu ve"/>
    <s v="Món mặn"/>
    <x v="3"/>
    <x v="125"/>
    <x v="145"/>
    <n v="8.5"/>
    <n v="15000"/>
    <n v="100"/>
    <n v="8.5000000000000006E-2"/>
    <n v="1275"/>
  </r>
  <r>
    <x v="0"/>
    <s v="Tôm thịt rim mặnTôm ~150c/kg"/>
    <s v="Món mặn"/>
    <x v="1"/>
    <x v="126"/>
    <x v="155"/>
    <n v="1"/>
    <n v="90000"/>
    <n v="37"/>
    <n v="2.7027027027027029E-2"/>
    <n v="2432.4324324324325"/>
  </r>
  <r>
    <x v="0"/>
    <s v="Tôm thịt rim mặnNạc đùi ĐL"/>
    <s v="Món mặn"/>
    <x v="1"/>
    <x v="126"/>
    <x v="156"/>
    <n v="0.04"/>
    <n v="98000"/>
    <n v="1"/>
    <n v="0.04"/>
    <n v="3920"/>
  </r>
  <r>
    <x v="0"/>
    <s v="Lưỡi heo xào thơm càLưỡi heo"/>
    <s v="Món mặn"/>
    <x v="1"/>
    <x v="127"/>
    <x v="157"/>
    <n v="5.5E-2"/>
    <n v="65000"/>
    <n v="1"/>
    <n v="5.5E-2"/>
    <n v="3575"/>
  </r>
  <r>
    <x v="1"/>
    <s v="Lưỡi heo xào thơm càThơm"/>
    <s v="Món mặn"/>
    <x v="1"/>
    <x v="127"/>
    <x v="24"/>
    <n v="2.5000000000000001E-2"/>
    <n v="18000"/>
    <n v="1"/>
    <n v="2.5000000000000001E-2"/>
    <n v="450"/>
  </r>
  <r>
    <x v="1"/>
    <s v="Lưỡi heo xào thơm càCà chua"/>
    <s v="Món mặn"/>
    <x v="1"/>
    <x v="127"/>
    <x v="31"/>
    <n v="0.02"/>
    <n v="15000"/>
    <n v="1"/>
    <n v="0.02"/>
    <n v="300"/>
  </r>
  <r>
    <x v="1"/>
    <s v="Lưỡi heo xào thơm càNgò rí"/>
    <s v="Món mặn"/>
    <x v="1"/>
    <x v="127"/>
    <x v="158"/>
    <n v="0.1"/>
    <n v="40000"/>
    <n v="20"/>
    <n v="5.0000000000000001E-3"/>
    <n v="200"/>
  </r>
  <r>
    <x v="1"/>
    <s v="Bún chayCà rốt"/>
    <s v="Món chay"/>
    <x v="1"/>
    <x v="128"/>
    <x v="26"/>
    <n v="0.5"/>
    <n v="15000"/>
    <n v="14"/>
    <n v="3.5714285714285712E-2"/>
    <n v="535.71428571428567"/>
  </r>
  <r>
    <x v="1"/>
    <s v="Bún chayCủ cải"/>
    <s v="Món chay"/>
    <x v="1"/>
    <x v="128"/>
    <x v="65"/>
    <n v="0.5"/>
    <n v="10000"/>
    <n v="14"/>
    <n v="3.5714285714285712E-2"/>
    <n v="357.14285714285717"/>
  </r>
  <r>
    <x v="1"/>
    <s v="Bún chayBí đỏ"/>
    <s v="Món chay"/>
    <x v="1"/>
    <x v="128"/>
    <x v="71"/>
    <n v="0.5"/>
    <n v="12000"/>
    <n v="14"/>
    <n v="3.5714285714285712E-2"/>
    <n v="428.57142857142856"/>
  </r>
  <r>
    <x v="1"/>
    <s v="Bún chayPhù chúc khô"/>
    <s v="Món chay"/>
    <x v="1"/>
    <x v="128"/>
    <x v="159"/>
    <n v="0.15"/>
    <n v="80000"/>
    <n v="14"/>
    <n v="1.0714285714285714E-2"/>
    <n v="857.14285714285711"/>
  </r>
  <r>
    <x v="1"/>
    <s v="Bún chayChả chay"/>
    <s v="Món chay"/>
    <x v="1"/>
    <x v="128"/>
    <x v="160"/>
    <n v="0.5"/>
    <n v="80000"/>
    <n v="14"/>
    <n v="3.5714285714285712E-2"/>
    <n v="2857.1428571428573"/>
  </r>
  <r>
    <x v="1"/>
    <s v="Bún chayNấm dai"/>
    <s v="Món chay"/>
    <x v="1"/>
    <x v="128"/>
    <x v="141"/>
    <n v="0.5"/>
    <n v="45000"/>
    <n v="14"/>
    <n v="3.5714285714285712E-2"/>
    <n v="1607.1428571428571"/>
  </r>
  <r>
    <x v="1"/>
    <s v="Bún xào căn cuộnCăn cuộn"/>
    <s v="Món chay"/>
    <x v="1"/>
    <x v="129"/>
    <x v="161"/>
    <n v="12"/>
    <m/>
    <n v="10"/>
    <n v="1.2"/>
    <n v="0"/>
  </r>
  <r>
    <x v="1"/>
    <s v="Bún xào căn cuộnBún khô"/>
    <s v="Món chay"/>
    <x v="1"/>
    <x v="129"/>
    <x v="162"/>
    <n v="0.03"/>
    <m/>
    <n v="10"/>
    <n v="3.0000000000000001E-3"/>
    <n v="0"/>
  </r>
  <r>
    <x v="1"/>
    <s v="Bún xào căn cuộnNgò rí"/>
    <s v="Món chay"/>
    <x v="1"/>
    <x v="129"/>
    <x v="158"/>
    <n v="0.1"/>
    <m/>
    <n v="10"/>
    <n v="0.01"/>
    <n v="0"/>
  </r>
  <r>
    <x v="0"/>
    <s v="Xíu  mại trứng cútChả quết"/>
    <s v="Món mặn"/>
    <x v="1"/>
    <x v="130"/>
    <x v="79"/>
    <n v="0.6"/>
    <n v="120000"/>
    <n v="75"/>
    <n v="8.0000000000000002E-3"/>
    <n v="960"/>
  </r>
  <r>
    <x v="0"/>
    <s v="Xíu  mại trứng cútThịt nọng xay mịn"/>
    <s v="Món mặn"/>
    <x v="1"/>
    <x v="130"/>
    <x v="163"/>
    <n v="1.7"/>
    <n v="70000"/>
    <n v="75"/>
    <n v="2.2666666666666665E-2"/>
    <n v="1586.6666666666667"/>
  </r>
  <r>
    <x v="0"/>
    <s v="Xíu  mại trứng cúttrứng cút lọt sẵn"/>
    <s v="Món mặn"/>
    <x v="1"/>
    <x v="130"/>
    <x v="164"/>
    <n v="150"/>
    <n v="600"/>
    <n v="75"/>
    <n v="2"/>
    <n v="1200"/>
  </r>
  <r>
    <x v="1"/>
    <s v="Xíu  mại trứng cútBún tàu"/>
    <s v="Món mặn"/>
    <x v="1"/>
    <x v="130"/>
    <x v="165"/>
    <n v="0.1"/>
    <n v="30000"/>
    <n v="75"/>
    <n v="1.3333333333333335E-3"/>
    <n v="40"/>
  </r>
  <r>
    <x v="1"/>
    <s v="Xíu  mại trứng cútNấm mèo khô"/>
    <s v="Món mặn"/>
    <x v="1"/>
    <x v="130"/>
    <x v="166"/>
    <n v="0.05"/>
    <n v="120000"/>
    <n v="75"/>
    <n v="6.6666666666666675E-4"/>
    <n v="80"/>
  </r>
  <r>
    <x v="1"/>
    <s v="Xíu  mại trứng cútHành lá"/>
    <s v="Món mặn"/>
    <x v="1"/>
    <x v="130"/>
    <x v="8"/>
    <n v="0.4"/>
    <n v="20000"/>
    <n v="75"/>
    <n v="5.333333333333334E-3"/>
    <n v="106.66666666666667"/>
  </r>
  <r>
    <x v="1"/>
    <s v="Xíu  mại trứng cútCà chua"/>
    <s v="Món mặn"/>
    <x v="1"/>
    <x v="130"/>
    <x v="31"/>
    <n v="0.3"/>
    <n v="15000"/>
    <n v="75"/>
    <n v="4.0000000000000001E-3"/>
    <n v="60"/>
  </r>
  <r>
    <x v="0"/>
    <s v="Mực xào thơm càMực tép nháy"/>
    <s v="Món mặn"/>
    <x v="1"/>
    <x v="131"/>
    <x v="167"/>
    <n v="2.7"/>
    <n v="120000"/>
    <n v="78"/>
    <n v="3.4615384615384617E-2"/>
    <n v="4153.8461538461543"/>
  </r>
  <r>
    <x v="1"/>
    <s v="Mực xào thơm càThơm"/>
    <s v="Món mặn"/>
    <x v="1"/>
    <x v="131"/>
    <x v="24"/>
    <n v="1.5"/>
    <n v="22000"/>
    <n v="78"/>
    <n v="1.9230769230769232E-2"/>
    <n v="423.07692307692309"/>
  </r>
  <r>
    <x v="1"/>
    <s v="Mực xào thơm càCà chua"/>
    <s v="Món mặn"/>
    <x v="1"/>
    <x v="131"/>
    <x v="31"/>
    <n v="0.5"/>
    <n v="15000"/>
    <n v="78"/>
    <n v="6.41025641025641E-3"/>
    <n v="96.15384615384616"/>
  </r>
  <r>
    <x v="1"/>
    <s v="Mực xào thơm càHành tây"/>
    <s v="Món mặn"/>
    <x v="1"/>
    <x v="131"/>
    <x v="58"/>
    <n v="1.5"/>
    <n v="12000"/>
    <n v="78"/>
    <n v="1.9230769230769232E-2"/>
    <n v="230.76923076923077"/>
  </r>
  <r>
    <x v="1"/>
    <s v="Mực xào thơm càNgò gai"/>
    <s v="Món mặn"/>
    <x v="1"/>
    <x v="131"/>
    <x v="18"/>
    <n v="0.1"/>
    <n v="25000"/>
    <n v="78"/>
    <n v="1.2820512820512821E-3"/>
    <n v="32.051282051282051"/>
  </r>
  <r>
    <x v="1"/>
    <s v="Giò heo kho măngBắp giò heo"/>
    <s v="Món mặn"/>
    <x v="1"/>
    <x v="90"/>
    <x v="168"/>
    <n v="8.5"/>
    <n v="59000"/>
    <n v="78"/>
    <n v="0.10897435897435898"/>
    <n v="6429.4871794871797"/>
  </r>
  <r>
    <x v="1"/>
    <s v="Giò heo kho măngSả"/>
    <s v="Món mặn"/>
    <x v="1"/>
    <x v="90"/>
    <x v="47"/>
    <n v="0.3"/>
    <n v="22000"/>
    <n v="78"/>
    <n v="3.8461538461538459E-3"/>
    <n v="84.615384615384613"/>
  </r>
  <r>
    <x v="1"/>
    <s v="Giò heo kho măngMăng vàng cục"/>
    <s v="Món mặn"/>
    <x v="1"/>
    <x v="90"/>
    <x v="169"/>
    <n v="2"/>
    <n v="25000"/>
    <n v="78"/>
    <n v="2.564102564102564E-2"/>
    <n v="641.02564102564099"/>
  </r>
  <r>
    <x v="1"/>
    <s v="Chả cá viên sốt càChả cá viên"/>
    <s v="Món mặn"/>
    <x v="2"/>
    <x v="132"/>
    <x v="170"/>
    <n v="1"/>
    <n v="70000"/>
    <n v="25"/>
    <n v="0.04"/>
    <n v="2800"/>
  </r>
  <r>
    <x v="1"/>
    <s v="Chả cá viên sốt càCà chua"/>
    <s v="Món mặn"/>
    <x v="2"/>
    <x v="132"/>
    <x v="31"/>
    <n v="0.2"/>
    <n v="22000"/>
    <n v="25"/>
    <n v="8.0000000000000002E-3"/>
    <n v="176"/>
  </r>
  <r>
    <x v="1"/>
    <s v="Heo kho đậu khuônHeo nọng nạc"/>
    <s v="Món mặn"/>
    <x v="9"/>
    <x v="133"/>
    <x v="171"/>
    <n v="1"/>
    <n v="70000"/>
    <n v="78"/>
    <n v="1.282051282051282E-2"/>
    <n v="897.43589743589746"/>
  </r>
  <r>
    <x v="1"/>
    <s v="Heo kho đậu khuônHeo nạc vai"/>
    <s v="Món mặn"/>
    <x v="9"/>
    <x v="133"/>
    <x v="73"/>
    <n v="1.8"/>
    <n v="110000"/>
    <n v="78"/>
    <n v="2.3076923076923078E-2"/>
    <n v="2538.4615384615386"/>
  </r>
  <r>
    <x v="1"/>
    <s v="Heo kho đậu khuônĐậu khuôn chiên lát nhỏ"/>
    <s v="Món mặn"/>
    <x v="9"/>
    <x v="133"/>
    <x v="172"/>
    <n v="48"/>
    <n v="1600"/>
    <n v="78"/>
    <n v="0.61538461538461542"/>
    <n v="984.61538461538464"/>
  </r>
  <r>
    <x v="0"/>
    <s v="Tôm xào mướpTôm ~150c"/>
    <s v="Món mặn"/>
    <x v="2"/>
    <x v="134"/>
    <x v="173"/>
    <n v="2"/>
    <n v="90000"/>
    <n v="78"/>
    <n v="2.564102564102564E-2"/>
    <n v="2307.6923076923076"/>
  </r>
  <r>
    <x v="1"/>
    <s v="Tôm xào mướpMướp"/>
    <s v="Món mặn"/>
    <x v="2"/>
    <x v="134"/>
    <x v="39"/>
    <n v="5.5"/>
    <n v="12000"/>
    <n v="78"/>
    <n v="7.0512820512820512E-2"/>
    <n v="846.15384615384619"/>
  </r>
  <r>
    <x v="1"/>
    <s v="Tôm xào mướpHành lá"/>
    <s v="Món mặn"/>
    <x v="2"/>
    <x v="134"/>
    <x v="8"/>
    <n v="0.3"/>
    <n v="20000"/>
    <n v="78"/>
    <n v="3.8461538461538459E-3"/>
    <n v="76.92307692307692"/>
  </r>
  <r>
    <x v="0"/>
    <s v="Gà kho sả nghệGà enfood"/>
    <s v="Món mặn"/>
    <x v="1"/>
    <x v="135"/>
    <x v="174"/>
    <n v="9.4"/>
    <n v="50000"/>
    <n v="78"/>
    <n v="0.12051282051282051"/>
    <n v="6025.6410256410254"/>
  </r>
  <r>
    <x v="1"/>
    <s v="Gà kho sả nghệSả"/>
    <s v="Món mặn"/>
    <x v="1"/>
    <x v="135"/>
    <x v="47"/>
    <n v="0.5"/>
    <n v="25000"/>
    <n v="78"/>
    <n v="6.41025641025641E-3"/>
    <n v="160.25641025641025"/>
  </r>
  <r>
    <x v="1"/>
    <s v="Gà kho sả nghệNghệ"/>
    <s v="Món mặn"/>
    <x v="1"/>
    <x v="135"/>
    <x v="87"/>
    <n v="0.3"/>
    <n v="25000"/>
    <n v="78"/>
    <n v="3.8461538461538459E-3"/>
    <n v="96.15384615384616"/>
  </r>
  <r>
    <x v="0"/>
    <s v="Gà xé trộn hànhGà enfood"/>
    <s v="Món mặn"/>
    <x v="1"/>
    <x v="136"/>
    <x v="174"/>
    <n v="8"/>
    <n v="50000"/>
    <n v="100"/>
    <n v="0.08"/>
    <n v="4000"/>
  </r>
  <r>
    <x v="1"/>
    <s v="Gà xé trộn hànhHành tây"/>
    <s v="Món mặn"/>
    <x v="1"/>
    <x v="136"/>
    <x v="58"/>
    <n v="3"/>
    <n v="15000"/>
    <n v="100"/>
    <n v="0.03"/>
    <n v="450"/>
  </r>
  <r>
    <x v="1"/>
    <s v="Gà xé trộn hànhRau răm"/>
    <s v="Món mặn"/>
    <x v="1"/>
    <x v="136"/>
    <x v="38"/>
    <n v="0.5"/>
    <n v="30000"/>
    <n v="100"/>
    <n v="5.0000000000000001E-3"/>
    <n v="150"/>
  </r>
  <r>
    <x v="0"/>
    <s v="Thịt kho sả ruốcHeo nọng nạc"/>
    <s v="Món mặn"/>
    <x v="1"/>
    <x v="137"/>
    <x v="171"/>
    <n v="1.2"/>
    <n v="70000"/>
    <n v="78"/>
    <n v="1.5384615384615384E-2"/>
    <n v="1076.9230769230769"/>
  </r>
  <r>
    <x v="0"/>
    <s v="Thịt kho sả ruốcThịt nạc vai"/>
    <s v="Món mặn"/>
    <x v="1"/>
    <x v="137"/>
    <x v="126"/>
    <n v="2.2999999999999998"/>
    <n v="110000"/>
    <n v="78"/>
    <n v="2.9487179487179487E-2"/>
    <n v="3243.5897435897432"/>
  </r>
  <r>
    <x v="1"/>
    <s v="Thịt kho sả ruốcSả"/>
    <s v="Món mặn"/>
    <x v="1"/>
    <x v="137"/>
    <x v="47"/>
    <n v="0.5"/>
    <n v="25000"/>
    <n v="78"/>
    <n v="6.41025641025641E-3"/>
    <n v="160.25641025641025"/>
  </r>
  <r>
    <x v="0"/>
    <s v="Thịt kho sả ruốcMắm ruốc"/>
    <s v="Món mặn"/>
    <x v="1"/>
    <x v="137"/>
    <x v="48"/>
    <n v="0.5"/>
    <n v="35000"/>
    <n v="78"/>
    <n v="6.41025641025641E-3"/>
    <n v="224.3589743589743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1">
  <r>
    <x v="0"/>
    <s v="Bún mọcHeo đùi mông"/>
    <s v="Món mặn"/>
    <s v="Món nước"/>
    <x v="0"/>
    <x v="0"/>
    <n v="10"/>
    <n v="100000"/>
    <n v="408"/>
    <n v="2.4509803921568627E-2"/>
    <n v="2450.9803921568628"/>
  </r>
  <r>
    <x v="0"/>
    <s v="Bún mọcChả quét"/>
    <s v="Món mặn"/>
    <s v="Món nước"/>
    <x v="0"/>
    <x v="1"/>
    <n v="6"/>
    <n v="120000"/>
    <n v="408"/>
    <n v="1.4705882352941176E-2"/>
    <n v="1764.7058823529412"/>
  </r>
  <r>
    <x v="0"/>
    <s v="Bún mọcThịt xay"/>
    <s v="Món mặn"/>
    <s v="Món nước"/>
    <x v="0"/>
    <x v="2"/>
    <n v="8"/>
    <n v="80000"/>
    <n v="408"/>
    <n v="1.9607843137254902E-2"/>
    <n v="1568.6274509803923"/>
  </r>
  <r>
    <x v="0"/>
    <s v="Bún mọcChả heo chín"/>
    <s v="Món mặn"/>
    <s v="Món nước"/>
    <x v="0"/>
    <x v="3"/>
    <n v="2.5"/>
    <n v="120000"/>
    <n v="408"/>
    <n v="6.1274509803921568E-3"/>
    <n v="735.29411764705878"/>
  </r>
  <r>
    <x v="0"/>
    <s v="Bún mọcDa heo"/>
    <s v="Món mặn"/>
    <s v="Món nước"/>
    <x v="0"/>
    <x v="4"/>
    <n v="9"/>
    <n v="30000"/>
    <n v="408"/>
    <n v="2.2058823529411766E-2"/>
    <n v="661.76470588235293"/>
  </r>
  <r>
    <x v="1"/>
    <s v="Bún mọcBún"/>
    <s v="Món mặn"/>
    <s v="Món nước"/>
    <x v="0"/>
    <x v="5"/>
    <n v="135"/>
    <n v="9500"/>
    <n v="443"/>
    <n v="0.30474040632054178"/>
    <n v="2895.0338600451469"/>
  </r>
  <r>
    <x v="1"/>
    <s v="Bún mọcRau quế"/>
    <s v="Món mặn"/>
    <s v="Món nước"/>
    <x v="0"/>
    <x v="6"/>
    <n v="3"/>
    <n v="15000"/>
    <n v="408"/>
    <n v="7.3529411764705881E-3"/>
    <n v="110.29411764705883"/>
  </r>
  <r>
    <x v="1"/>
    <s v="Bún mọcGiá"/>
    <s v="Món mặn"/>
    <s v="Món nước"/>
    <x v="0"/>
    <x v="7"/>
    <n v="5"/>
    <n v="8000"/>
    <n v="408"/>
    <n v="1.2254901960784314E-2"/>
    <n v="98.039215686274517"/>
  </r>
  <r>
    <x v="1"/>
    <s v="Bún mọcHành lá"/>
    <s v="Món mặn"/>
    <s v="Món nước"/>
    <x v="0"/>
    <x v="8"/>
    <n v="2.5"/>
    <n v="18000"/>
    <n v="408"/>
    <n v="6.1274509803921568E-3"/>
    <n v="110.29411764705883"/>
  </r>
  <r>
    <x v="1"/>
    <s v="Bún mọcChanh "/>
    <s v="Món mặn"/>
    <s v="Món nước"/>
    <x v="0"/>
    <x v="9"/>
    <n v="2"/>
    <n v="26000"/>
    <n v="408"/>
    <n v="4.9019607843137254E-3"/>
    <n v="127.45098039215686"/>
  </r>
  <r>
    <x v="1"/>
    <s v="Bún mọcỚt"/>
    <s v="Món mặn"/>
    <s v="Món nước"/>
    <x v="0"/>
    <x v="10"/>
    <n v="1"/>
    <n v="30000"/>
    <n v="408"/>
    <n v="2.4509803921568627E-3"/>
    <n v="73.529411764705884"/>
  </r>
  <r>
    <x v="1"/>
    <s v="Bún mọcNấm mèo"/>
    <s v="Món mặn"/>
    <s v="Món nước"/>
    <x v="0"/>
    <x v="11"/>
    <n v="0.5"/>
    <n v="55000"/>
    <n v="408"/>
    <n v="1.2254901960784314E-3"/>
    <n v="67.401960784313729"/>
  </r>
  <r>
    <x v="1"/>
    <s v="Trái câyCam"/>
    <s v="Món mặn"/>
    <s v="Món nước"/>
    <x v="1"/>
    <x v="12"/>
    <n v="15"/>
    <n v="18000"/>
    <n v="408"/>
    <n v="3.6764705882352942E-2"/>
    <n v="661.76470588235293"/>
  </r>
  <r>
    <x v="0"/>
    <s v="Mỳ Quảng Tôm ThịtHeo đùi mông"/>
    <s v="Món mặn"/>
    <s v="Món nước"/>
    <x v="2"/>
    <x v="0"/>
    <n v="4.3"/>
    <n v="100000"/>
    <n v="100"/>
    <n v="4.2999999999999997E-2"/>
    <n v="4300"/>
  </r>
  <r>
    <x v="0"/>
    <s v="Mỳ Quảng Tôm ThịtTrứng gà"/>
    <s v="Món mặn"/>
    <s v="Món nước"/>
    <x v="2"/>
    <x v="13"/>
    <n v="64"/>
    <n v="2167"/>
    <n v="123"/>
    <n v="0.52032520325203258"/>
    <n v="1127.5447154471544"/>
  </r>
  <r>
    <x v="0"/>
    <s v="Mỳ Quảng Tôm ThịtTôm"/>
    <s v="Món mặn"/>
    <s v="Món nước"/>
    <x v="2"/>
    <x v="14"/>
    <n v="6"/>
    <n v="115000"/>
    <n v="307"/>
    <n v="1.9543973941368076E-2"/>
    <n v="2247.5570032573291"/>
  </r>
  <r>
    <x v="1"/>
    <s v="Mỳ Quảng Tôm ThịtBánh tráng"/>
    <s v="Món mặn"/>
    <s v="Món nước"/>
    <x v="2"/>
    <x v="15"/>
    <n v="1"/>
    <n v="3000"/>
    <n v="6"/>
    <n v="0.16666666666666666"/>
    <n v="500"/>
  </r>
  <r>
    <x v="1"/>
    <s v="Mỳ Quảng Tôm ThịtXà lách "/>
    <s v="Món mặn"/>
    <s v="Món nước"/>
    <x v="2"/>
    <x v="16"/>
    <n v="2.5"/>
    <n v="25000"/>
    <n v="123"/>
    <n v="2.032520325203252E-2"/>
    <n v="508.130081300813"/>
  </r>
  <r>
    <x v="1"/>
    <s v="Mỳ Quảng Tôm ThịtSu trắng"/>
    <s v="Món mặn"/>
    <s v="Món nước"/>
    <x v="2"/>
    <x v="17"/>
    <n v="2"/>
    <n v="10000"/>
    <n v="123"/>
    <n v="1.6260162601626018E-2"/>
    <n v="162.60162601626016"/>
  </r>
  <r>
    <x v="1"/>
    <s v="Mỳ Quảng Tôm ThịtGiá"/>
    <s v="Món mặn"/>
    <s v="Món nước"/>
    <x v="2"/>
    <x v="7"/>
    <n v="2"/>
    <n v="8000"/>
    <n v="123"/>
    <n v="1.6260162601626018E-2"/>
    <n v="130.08130081300814"/>
  </r>
  <r>
    <x v="1"/>
    <s v="Mỳ Quảng Tôm ThịtHành lá"/>
    <s v="Món mặn"/>
    <s v="Món nước"/>
    <x v="2"/>
    <x v="8"/>
    <n v="0.9"/>
    <n v="18000"/>
    <n v="123"/>
    <n v="7.3170731707317077E-3"/>
    <n v="131.70731707317074"/>
  </r>
  <r>
    <x v="1"/>
    <s v="Mỳ Quảng Tôm ThịtNgò gai"/>
    <s v="Món mặn"/>
    <s v="Món nước"/>
    <x v="2"/>
    <x v="18"/>
    <n v="1"/>
    <n v="36000"/>
    <n v="307"/>
    <n v="3.2573289902280132E-3"/>
    <n v="117.26384364820846"/>
  </r>
  <r>
    <x v="1"/>
    <s v="Mỳ Quảng Tôm ThịtQuế"/>
    <s v="Món mặn"/>
    <s v="Món nước"/>
    <x v="2"/>
    <x v="19"/>
    <n v="1"/>
    <n v="15000"/>
    <n v="123"/>
    <n v="8.130081300813009E-3"/>
    <n v="121.95121951219512"/>
  </r>
  <r>
    <x v="1"/>
    <s v="Mỳ Quảng Tôm ThịtChanh"/>
    <s v="Món mặn"/>
    <s v="Món nước"/>
    <x v="2"/>
    <x v="20"/>
    <n v="0.5"/>
    <n v="26000"/>
    <n v="123"/>
    <n v="4.0650406504065045E-3"/>
    <n v="105.6910569105691"/>
  </r>
  <r>
    <x v="1"/>
    <s v="Mỳ Quảng Tôm ThịtỚt"/>
    <s v="Món mặn"/>
    <s v="Món nước"/>
    <x v="2"/>
    <x v="10"/>
    <n v="0.5"/>
    <n v="30000"/>
    <n v="123"/>
    <n v="4.0650406504065045E-3"/>
    <n v="121.95121951219512"/>
  </r>
  <r>
    <x v="1"/>
    <s v="Trái câyỔi"/>
    <s v="Món mặn"/>
    <s v="Món nước"/>
    <x v="1"/>
    <x v="21"/>
    <n v="6"/>
    <n v="17000"/>
    <n v="123"/>
    <n v="4.878048780487805E-2"/>
    <n v="829.26829268292681"/>
  </r>
  <r>
    <x v="1"/>
    <s v="MỳMỳ"/>
    <s v="Món mặn"/>
    <s v="Món nước"/>
    <x v="3"/>
    <x v="22"/>
    <n v="50"/>
    <n v="9400"/>
    <n v="125"/>
    <n v="0.4"/>
    <n v="3760"/>
  </r>
  <r>
    <x v="0"/>
    <s v="Cá kình kho thơmCá kình"/>
    <s v="Món mặn"/>
    <s v="Món chính"/>
    <x v="4"/>
    <x v="23"/>
    <n v="45"/>
    <n v="37000"/>
    <n v="300"/>
    <n v="0.15"/>
    <n v="5550"/>
  </r>
  <r>
    <x v="1"/>
    <s v="Cá kình kho thơmThơm"/>
    <s v="Món mặn"/>
    <s v="Món chính"/>
    <x v="4"/>
    <x v="24"/>
    <n v="7"/>
    <n v="18000"/>
    <n v="300"/>
    <n v="2.3333333333333334E-2"/>
    <n v="420"/>
  </r>
  <r>
    <x v="0"/>
    <s v="Thịt heo luộc giá chuaThịt đùi mông"/>
    <s v="Món mặn"/>
    <s v="Món Phụ"/>
    <x v="5"/>
    <x v="25"/>
    <n v="4.3"/>
    <n v="100000"/>
    <n v="100"/>
    <n v="4.2999999999999997E-2"/>
    <n v="4300"/>
  </r>
  <r>
    <x v="1"/>
    <s v="Thịt heo luộc giá chuaHành lá"/>
    <s v="Món mặn"/>
    <s v="Món Phụ"/>
    <x v="5"/>
    <x v="8"/>
    <n v="0.3"/>
    <n v="18000"/>
    <n v="100"/>
    <n v="3.0000000000000001E-3"/>
    <n v="54"/>
  </r>
  <r>
    <x v="1"/>
    <s v="Thịt heo luộc giá chuaGiá"/>
    <s v="Món mặn"/>
    <s v="Món Phụ"/>
    <x v="5"/>
    <x v="7"/>
    <n v="4"/>
    <n v="8000"/>
    <n v="100"/>
    <n v="0.04"/>
    <n v="320"/>
  </r>
  <r>
    <x v="1"/>
    <s v="Thịt heo luộc giá chuaCà rốt"/>
    <s v="Món mặn"/>
    <s v="Món Phụ"/>
    <x v="5"/>
    <x v="26"/>
    <n v="1"/>
    <n v="15000"/>
    <n v="100"/>
    <n v="0.01"/>
    <n v="150"/>
  </r>
  <r>
    <x v="1"/>
    <s v="Rau xào thập cẩmRau thập cẩm"/>
    <s v="Món mặn"/>
    <s v="Món rau"/>
    <x v="6"/>
    <x v="27"/>
    <n v="35"/>
    <n v="16000"/>
    <n v="438"/>
    <n v="7.9908675799086754E-2"/>
    <n v="1278.538812785388"/>
  </r>
  <r>
    <x v="1"/>
    <s v="Sữa chuaSữa chua"/>
    <s v="Món mặn"/>
    <s v="Tráng miệng"/>
    <x v="7"/>
    <x v="28"/>
    <n v="290"/>
    <n v="4620"/>
    <n v="290"/>
    <n v="1"/>
    <n v="4620"/>
  </r>
  <r>
    <x v="0"/>
    <s v="Cá nục kho xì dầuCá nục"/>
    <s v="Món mặn"/>
    <s v="Món chính"/>
    <x v="8"/>
    <x v="29"/>
    <n v="13"/>
    <n v="43000"/>
    <n v="110"/>
    <n v="0.11818181818181818"/>
    <n v="5081.818181818182"/>
  </r>
  <r>
    <x v="0"/>
    <s v="Cá chim kho càCá chim"/>
    <s v="Món mặn"/>
    <s v="Món chính"/>
    <x v="9"/>
    <x v="30"/>
    <n v="23"/>
    <n v="37000"/>
    <n v="134"/>
    <n v="0.17164179104477612"/>
    <n v="6350.746268656716"/>
  </r>
  <r>
    <x v="1"/>
    <s v="Cá chim kho càCà chua"/>
    <s v="Món mặn"/>
    <s v="Món chính"/>
    <x v="9"/>
    <x v="31"/>
    <n v="3"/>
    <n v="20000"/>
    <n v="134"/>
    <n v="2.2388059701492536E-2"/>
    <n v="447.76119402985074"/>
  </r>
  <r>
    <x v="0"/>
    <s v="Tôm thịt rimTôm"/>
    <s v="Món mặn"/>
    <s v="Món chính"/>
    <x v="10"/>
    <x v="14"/>
    <n v="2.5"/>
    <n v="115000"/>
    <n v="134"/>
    <n v="1.8656716417910446E-2"/>
    <n v="2145.5223880597014"/>
  </r>
  <r>
    <x v="0"/>
    <s v="Tôm thịt rimThịt nọng"/>
    <s v="Món mặn"/>
    <s v="Món chính"/>
    <x v="10"/>
    <x v="32"/>
    <n v="1.5"/>
    <n v="60000"/>
    <n v="134"/>
    <n v="1.1194029850746268E-2"/>
    <n v="671.64179104477614"/>
  </r>
  <r>
    <x v="0"/>
    <s v="Tôm thịt rimNạc vai"/>
    <s v="Món mặn"/>
    <s v="Món chính"/>
    <x v="10"/>
    <x v="33"/>
    <n v="3.5"/>
    <n v="100000"/>
    <n v="134"/>
    <n v="2.6119402985074626E-2"/>
    <n v="2611.9402985074626"/>
  </r>
  <r>
    <x v="1"/>
    <s v="Bí đao nấu tômBí đao"/>
    <s v="Món mặn"/>
    <s v="Món Canh"/>
    <x v="11"/>
    <x v="34"/>
    <n v="5"/>
    <n v="9000"/>
    <n v="136"/>
    <n v="3.6764705882352942E-2"/>
    <n v="330.88235294117646"/>
  </r>
  <r>
    <x v="0"/>
    <s v="Bí đao nấu tômTôm"/>
    <s v="Món mặn"/>
    <s v="Món Canh"/>
    <x v="11"/>
    <x v="14"/>
    <n v="0.5"/>
    <n v="115000"/>
    <n v="134"/>
    <n v="3.7313432835820895E-3"/>
    <n v="429.1044776119403"/>
  </r>
  <r>
    <x v="1"/>
    <s v="Rau muống xào tỏiRau muống"/>
    <s v="Món mặn"/>
    <s v="Món rau"/>
    <x v="12"/>
    <x v="35"/>
    <n v="12"/>
    <n v="6000"/>
    <n v="125"/>
    <n v="9.6000000000000002E-2"/>
    <n v="576"/>
  </r>
  <r>
    <x v="0"/>
    <s v="Gỏi gà xéGà"/>
    <s v="Món mặn"/>
    <s v="Món chính"/>
    <x v="13"/>
    <x v="36"/>
    <n v="35"/>
    <n v="45000"/>
    <n v="404"/>
    <n v="8.6633663366336627E-2"/>
    <n v="3898.5148514851485"/>
  </r>
  <r>
    <x v="1"/>
    <s v="Gỏi gà xéSu tím"/>
    <s v="Món mặn"/>
    <s v="Món chính"/>
    <x v="13"/>
    <x v="37"/>
    <n v="8"/>
    <n v="14000"/>
    <n v="404"/>
    <n v="1.9801980198019802E-2"/>
    <n v="277.22772277227722"/>
  </r>
  <r>
    <x v="1"/>
    <s v="Gỏi gà xéSu trắng"/>
    <s v="Món mặn"/>
    <s v="Món chính"/>
    <x v="13"/>
    <x v="17"/>
    <n v="10"/>
    <n v="11000"/>
    <n v="404"/>
    <n v="2.4752475247524754E-2"/>
    <n v="272.2772277227723"/>
  </r>
  <r>
    <x v="1"/>
    <s v="Gỏi gà xéRau răm"/>
    <s v="Món mặn"/>
    <s v="Món chính"/>
    <x v="13"/>
    <x v="38"/>
    <n v="1.5"/>
    <n v="20000"/>
    <n v="404"/>
    <n v="3.7128712871287127E-3"/>
    <n v="74.257425742574256"/>
  </r>
  <r>
    <x v="1"/>
    <s v="Gỏi gà xéCà Rốt"/>
    <s v="Món mặn"/>
    <s v="Món chính"/>
    <x v="13"/>
    <x v="26"/>
    <n v="10"/>
    <n v="15000"/>
    <n v="404"/>
    <n v="2.4752475247524754E-2"/>
    <n v="371.28712871287127"/>
  </r>
  <r>
    <x v="1"/>
    <s v="Mướp xào giáMướp"/>
    <s v="Món mặn"/>
    <s v="Món rau"/>
    <x v="14"/>
    <x v="39"/>
    <n v="32"/>
    <n v="10000"/>
    <n v="433"/>
    <n v="7.3903002309468821E-2"/>
    <n v="739.0300230946882"/>
  </r>
  <r>
    <x v="1"/>
    <s v="Mướp xào giáGiá"/>
    <s v="Món mặn"/>
    <s v="Món rau"/>
    <x v="14"/>
    <x v="7"/>
    <n v="17"/>
    <n v="8000"/>
    <n v="433"/>
    <n v="3.9260969976905313E-2"/>
    <n v="314.08775981524252"/>
  </r>
  <r>
    <x v="0"/>
    <s v="Chả cá sốt càChả cá"/>
    <s v="Món mặn"/>
    <s v="Món Phụ"/>
    <x v="15"/>
    <x v="40"/>
    <n v="270"/>
    <n v="1000"/>
    <n v="113"/>
    <n v="2.3893805309734515"/>
    <n v="2389.3805309734512"/>
  </r>
  <r>
    <x v="1"/>
    <s v="Chả cá sốt càCà chua"/>
    <s v="Món mặn"/>
    <s v="Món Phụ"/>
    <x v="15"/>
    <x v="31"/>
    <n v="3"/>
    <n v="20000"/>
    <n v="113"/>
    <n v="2.6548672566371681E-2"/>
    <n v="530.97345132743362"/>
  </r>
  <r>
    <x v="1"/>
    <s v="Dưa mónDưa món"/>
    <s v="Món mặn"/>
    <s v="Mắm "/>
    <x v="16"/>
    <x v="41"/>
    <n v="17"/>
    <n v="15000"/>
    <n v="404"/>
    <n v="4.2079207920792082E-2"/>
    <n v="631.18811881188117"/>
  </r>
  <r>
    <x v="1"/>
    <s v="Canh củ quảKhoai tây"/>
    <s v="Món mặn"/>
    <s v="Món Canh"/>
    <x v="17"/>
    <x v="42"/>
    <n v="4"/>
    <n v="17000"/>
    <n v="433"/>
    <n v="9.2378752886836026E-3"/>
    <n v="157.04387990762126"/>
  </r>
  <r>
    <x v="1"/>
    <s v="Canh củ quảCà rốt"/>
    <s v="Món mặn"/>
    <s v="Món Canh"/>
    <x v="17"/>
    <x v="26"/>
    <n v="5.5"/>
    <n v="15000"/>
    <n v="433"/>
    <n v="1.2702078521939953E-2"/>
    <n v="190.53117782909931"/>
  </r>
  <r>
    <x v="0"/>
    <s v="Canh củ quảThịt xay"/>
    <s v="Món mặn"/>
    <s v="Món Canh"/>
    <x v="17"/>
    <x v="2"/>
    <n v="1"/>
    <n v="80000"/>
    <n v="404"/>
    <n v="2.4752475247524753E-3"/>
    <n v="198.01980198019803"/>
  </r>
  <r>
    <x v="1"/>
    <s v="Trái câyChuối"/>
    <s v="Món mặn"/>
    <s v="Tráng miệng"/>
    <x v="1"/>
    <x v="43"/>
    <n v="450"/>
    <n v="1500"/>
    <n v="433"/>
    <n v="1.0392609699769053"/>
    <n v="1558.891454965358"/>
  </r>
  <r>
    <x v="1"/>
    <s v="CơmGạo"/>
    <s v="Món mặn"/>
    <s v="Cơm"/>
    <x v="18"/>
    <x v="44"/>
    <n v="60"/>
    <n v="15000"/>
    <n v="433"/>
    <n v="0.13856812933025403"/>
    <n v="2078.5219399538105"/>
  </r>
  <r>
    <x v="0"/>
    <s v="Cá phèn khoCá phèn"/>
    <s v="Món mặn"/>
    <s v="Món chính"/>
    <x v="19"/>
    <x v="45"/>
    <n v="4.2"/>
    <n v="37000"/>
    <n v="36"/>
    <n v="0.11666666666666667"/>
    <n v="4316.666666666667"/>
  </r>
  <r>
    <x v="0"/>
    <s v="Thịt heo kho sả ruốcThịt heo nọng nạc"/>
    <s v="Món mặn"/>
    <s v="Món chính"/>
    <x v="20"/>
    <x v="46"/>
    <n v="21"/>
    <n v="60000"/>
    <n v="300"/>
    <n v="7.0000000000000007E-2"/>
    <n v="4200"/>
  </r>
  <r>
    <x v="0"/>
    <s v="Thịt heo kho sả ruốcSả"/>
    <s v="Món mặn"/>
    <s v="Món chính"/>
    <x v="20"/>
    <x v="47"/>
    <n v="3.5"/>
    <n v="10000"/>
    <n v="300"/>
    <n v="1.1666666666666667E-2"/>
    <n v="116.66666666666667"/>
  </r>
  <r>
    <x v="0"/>
    <s v="Thịt heo kho sả ruốcMắm ruốc"/>
    <s v="Món mặn"/>
    <s v="Món chính"/>
    <x v="20"/>
    <x v="48"/>
    <n v="1.5"/>
    <n v="40000"/>
    <n v="300"/>
    <n v="5.0000000000000001E-3"/>
    <n v="200"/>
  </r>
  <r>
    <x v="0"/>
    <s v="Canh cải ngọt thịt bằmThịt xay"/>
    <s v="Món mặn"/>
    <s v="Món Canh"/>
    <x v="21"/>
    <x v="2"/>
    <n v="0.3"/>
    <n v="80000"/>
    <n v="100"/>
    <n v="3.0000000000000001E-3"/>
    <n v="240"/>
  </r>
  <r>
    <x v="1"/>
    <s v="Canh cải ngọt thịt bằmCải ngọt"/>
    <s v="Món mặn"/>
    <s v="Món Canh"/>
    <x v="21"/>
    <x v="49"/>
    <n v="1.5"/>
    <n v="8000"/>
    <n v="36"/>
    <n v="4.1666666666666664E-2"/>
    <n v="333.33333333333331"/>
  </r>
  <r>
    <x v="1"/>
    <s v="Cơm sườnCốt lết"/>
    <s v="Món mặn"/>
    <s v="Món chính"/>
    <x v="22"/>
    <x v="50"/>
    <n v="11.2"/>
    <n v="100000"/>
    <n v="91"/>
    <n v="0.12307692307692307"/>
    <n v="12307.692307692309"/>
  </r>
  <r>
    <x v="0"/>
    <s v="Cơm sườnTrứng gà"/>
    <s v="Món mặn"/>
    <s v="Món chính"/>
    <x v="22"/>
    <x v="13"/>
    <n v="85"/>
    <n v="2160"/>
    <n v="91"/>
    <n v="0.93406593406593408"/>
    <n v="2017.5824175824175"/>
  </r>
  <r>
    <x v="0"/>
    <s v="Cá basa kho nghệCá basa"/>
    <s v="Món mặn"/>
    <s v="Món chính"/>
    <x v="23"/>
    <x v="51"/>
    <n v="37"/>
    <n v="35000"/>
    <n v="300"/>
    <n v="0.12333333333333334"/>
    <n v="4316.666666666667"/>
  </r>
  <r>
    <x v="0"/>
    <s v="Gỏi tai heoTai mui heo"/>
    <s v="Món mặn"/>
    <s v="Món Phụ"/>
    <x v="24"/>
    <x v="52"/>
    <n v="9"/>
    <n v="70000"/>
    <n v="300"/>
    <n v="0.03"/>
    <n v="2100"/>
  </r>
  <r>
    <x v="1"/>
    <s v="Gỏi tai heoSu tím "/>
    <s v="Món mặn"/>
    <s v="Món Phụ"/>
    <x v="24"/>
    <x v="53"/>
    <n v="6"/>
    <n v="14000"/>
    <n v="300"/>
    <n v="0.02"/>
    <n v="280"/>
  </r>
  <r>
    <x v="1"/>
    <s v="Gỏi tai heoSu trắng"/>
    <s v="Món mặn"/>
    <s v="Món Phụ"/>
    <x v="24"/>
    <x v="17"/>
    <n v="8"/>
    <n v="10000"/>
    <n v="300"/>
    <n v="2.6666666666666668E-2"/>
    <n v="266.66666666666669"/>
  </r>
  <r>
    <x v="1"/>
    <s v="Gỏi tai heoCà rốt"/>
    <s v="Món mặn"/>
    <s v="Món Phụ"/>
    <x v="24"/>
    <x v="26"/>
    <n v="5"/>
    <n v="15000"/>
    <n v="300"/>
    <n v="1.6666666666666666E-2"/>
    <n v="250"/>
  </r>
  <r>
    <x v="1"/>
    <s v="Gỏi tai heoRau quế"/>
    <s v="Món mặn"/>
    <s v="Món Phụ"/>
    <x v="24"/>
    <x v="6"/>
    <n v="1.5"/>
    <n v="20000"/>
    <n v="300"/>
    <n v="5.0000000000000001E-3"/>
    <n v="100"/>
  </r>
  <r>
    <x v="1"/>
    <s v="Bầu xào giáGiá"/>
    <s v="Món mặn"/>
    <s v="Món rau"/>
    <x v="25"/>
    <x v="7"/>
    <n v="13"/>
    <n v="8000"/>
    <n v="323"/>
    <n v="4.0247678018575851E-2"/>
    <n v="321.98142414860683"/>
  </r>
  <r>
    <x v="1"/>
    <s v="Bầu xào giáBầu"/>
    <s v="Món mặn"/>
    <s v="Món rau"/>
    <x v="25"/>
    <x v="54"/>
    <n v="15"/>
    <n v="11000"/>
    <n v="323"/>
    <n v="4.6439628482972138E-2"/>
    <n v="510.83591331269349"/>
  </r>
  <r>
    <x v="1"/>
    <s v="Bồ ngốt nấu tômBồ ngót"/>
    <s v="Món mặn"/>
    <s v="Món Canh"/>
    <x v="26"/>
    <x v="55"/>
    <n v="10"/>
    <n v="12000"/>
    <n v="323"/>
    <n v="3.0959752321981424E-2"/>
    <n v="371.51702786377712"/>
  </r>
  <r>
    <x v="0"/>
    <s v="Bồ ngốt nấu tômTôm"/>
    <s v="Món mặn"/>
    <s v="Món Canh"/>
    <x v="26"/>
    <x v="14"/>
    <n v="1.5"/>
    <n v="115000"/>
    <n v="500"/>
    <n v="3.0000000000000001E-3"/>
    <n v="345"/>
  </r>
  <r>
    <x v="1"/>
    <s v="Trái câyThanh long"/>
    <s v="Món mặn"/>
    <s v="Tráng miệng"/>
    <x v="1"/>
    <x v="56"/>
    <n v="35"/>
    <n v="20000"/>
    <n v="323"/>
    <n v="0.10835913312693499"/>
    <n v="2167.1826625386998"/>
  </r>
  <r>
    <x v="1"/>
    <s v="Sữa chuaSữa chua"/>
    <s v="Món mặn"/>
    <s v="Sữa chua"/>
    <x v="7"/>
    <x v="28"/>
    <n v="91"/>
    <n v="4125"/>
    <n v="91"/>
    <n v="1"/>
    <n v="4125"/>
  </r>
  <r>
    <x v="0"/>
    <s v="Phở gàGà"/>
    <s v="Món mặn"/>
    <s v="Món nước"/>
    <x v="27"/>
    <x v="36"/>
    <n v="12"/>
    <n v="50000"/>
    <n v="100"/>
    <n v="0.12"/>
    <n v="6000"/>
  </r>
  <r>
    <x v="1"/>
    <s v="Phở gàPhở"/>
    <s v="Món mặn"/>
    <s v="Món nước"/>
    <x v="27"/>
    <x v="57"/>
    <n v="75"/>
    <n v="11500"/>
    <n v="249"/>
    <n v="0.30120481927710846"/>
    <n v="3463.8554216867469"/>
  </r>
  <r>
    <x v="1"/>
    <s v="Phở gàHành tây"/>
    <s v="Món mặn"/>
    <s v="Món nước"/>
    <x v="27"/>
    <x v="58"/>
    <n v="3"/>
    <n v="11000"/>
    <n v="249"/>
    <n v="1.2048192771084338E-2"/>
    <n v="132.53012048192772"/>
  </r>
  <r>
    <x v="1"/>
    <s v="Phở gàHành lá"/>
    <s v="Món mặn"/>
    <s v="Món nước"/>
    <x v="27"/>
    <x v="8"/>
    <n v="3"/>
    <n v="18000"/>
    <n v="249"/>
    <n v="1.2048192771084338E-2"/>
    <n v="216.86746987951807"/>
  </r>
  <r>
    <x v="1"/>
    <s v="Phở gàChanh"/>
    <s v="Món mặn"/>
    <s v="Món nước"/>
    <x v="27"/>
    <x v="20"/>
    <n v="2"/>
    <n v="26000"/>
    <n v="230"/>
    <n v="8.6956521739130436E-3"/>
    <n v="226.08695652173913"/>
  </r>
  <r>
    <x v="1"/>
    <s v="Phở gàỚt"/>
    <s v="Món mặn"/>
    <s v="Món nước"/>
    <x v="27"/>
    <x v="10"/>
    <n v="1"/>
    <n v="30000"/>
    <n v="230"/>
    <n v="4.3478260869565218E-3"/>
    <n v="130.43478260869566"/>
  </r>
  <r>
    <x v="1"/>
    <s v="Phở gàNgò gai"/>
    <s v="Món mặn"/>
    <s v="Món nước"/>
    <x v="27"/>
    <x v="18"/>
    <n v="1"/>
    <n v="36000"/>
    <n v="249"/>
    <n v="4.0160642570281121E-3"/>
    <n v="144.57831325301206"/>
  </r>
  <r>
    <x v="1"/>
    <s v="Phở gàRau quế"/>
    <s v="Món mặn"/>
    <s v="Món nước"/>
    <x v="27"/>
    <x v="6"/>
    <n v="1.5"/>
    <n v="20000"/>
    <n v="249"/>
    <n v="6.024096385542169E-3"/>
    <n v="120.48192771084338"/>
  </r>
  <r>
    <x v="1"/>
    <s v="Phở gàGiá"/>
    <s v="Món mặn"/>
    <s v="Món nước"/>
    <x v="27"/>
    <x v="7"/>
    <n v="4"/>
    <n v="8000"/>
    <n v="249"/>
    <n v="1.6064257028112448E-2"/>
    <n v="128.5140562248996"/>
  </r>
  <r>
    <x v="0"/>
    <s v="Cá đù khoCá đù"/>
    <s v="Món mặn"/>
    <s v="Món chính"/>
    <x v="28"/>
    <x v="59"/>
    <n v="12"/>
    <n v="45000"/>
    <n v="100"/>
    <n v="0.12"/>
    <n v="5400"/>
  </r>
  <r>
    <x v="0"/>
    <s v="Heo xíu xào giáHeo đùi mông"/>
    <s v="Món mặn"/>
    <s v="Món Phụ"/>
    <x v="29"/>
    <x v="0"/>
    <n v="3.5"/>
    <n v="100000"/>
    <n v="100"/>
    <n v="3.5000000000000003E-2"/>
    <n v="3500"/>
  </r>
  <r>
    <x v="1"/>
    <s v="Heo xíu xào giáGiá"/>
    <s v="Món mặn"/>
    <s v="Món Phụ"/>
    <x v="29"/>
    <x v="7"/>
    <n v="6"/>
    <n v="8000"/>
    <n v="100"/>
    <n v="0.06"/>
    <n v="480"/>
  </r>
  <r>
    <x v="1"/>
    <s v="Củ quả luộcCà rốt"/>
    <s v="Món mặn"/>
    <s v="Món rau"/>
    <x v="30"/>
    <x v="26"/>
    <n v="3"/>
    <n v="15000"/>
    <n v="119"/>
    <n v="2.5210084033613446E-2"/>
    <n v="378.15126050420167"/>
  </r>
  <r>
    <x v="1"/>
    <s v="Củ quả luộcKhoai tây"/>
    <s v="Món mặn"/>
    <s v="Món rau"/>
    <x v="30"/>
    <x v="42"/>
    <n v="3"/>
    <n v="17000"/>
    <n v="119"/>
    <n v="2.5210084033613446E-2"/>
    <n v="428.57142857142856"/>
  </r>
  <r>
    <x v="1"/>
    <s v="Củ quả luộcĐậu bắp"/>
    <s v="Món mặn"/>
    <s v="Món rau"/>
    <x v="30"/>
    <x v="60"/>
    <n v="3.5"/>
    <n v="12000"/>
    <n v="119"/>
    <n v="2.9411764705882353E-2"/>
    <n v="352.94117647058823"/>
  </r>
  <r>
    <x v="1"/>
    <s v="Bí đao nấu tômBí đao"/>
    <s v="Món mặn"/>
    <s v="Món Canh"/>
    <x v="11"/>
    <x v="34"/>
    <n v="4.5"/>
    <n v="10000"/>
    <n v="119"/>
    <n v="3.7815126050420166E-2"/>
    <n v="378.15126050420167"/>
  </r>
  <r>
    <x v="0"/>
    <s v="Bí đao nấu tômTôm"/>
    <s v="Món mặn"/>
    <s v="Món Canh"/>
    <x v="11"/>
    <x v="14"/>
    <n v="0.5"/>
    <n v="110000"/>
    <n v="119"/>
    <n v="4.2016806722689074E-3"/>
    <n v="462.18487394957981"/>
  </r>
  <r>
    <x v="1"/>
    <s v="Trái câyDưa hấu"/>
    <s v="Món mặn"/>
    <s v="Tráng miệng"/>
    <x v="1"/>
    <x v="61"/>
    <n v="12"/>
    <n v="12000"/>
    <n v="119"/>
    <n v="0.10084033613445378"/>
    <n v="1210.0840336134454"/>
  </r>
  <r>
    <x v="1"/>
    <s v="Sữa chuaSữa chua"/>
    <s v="Món mặn"/>
    <s v="Sữa chua"/>
    <x v="7"/>
    <x v="28"/>
    <n v="119"/>
    <n v="4375"/>
    <n v="119"/>
    <n v="1"/>
    <n v="4375"/>
  </r>
  <r>
    <x v="0"/>
    <s v="Cá hố khoCá hố"/>
    <s v="Món mặn"/>
    <s v="Món chính"/>
    <x v="31"/>
    <x v="62"/>
    <n v="40"/>
    <n v="60000"/>
    <n v="325"/>
    <n v="0.12307692307692308"/>
    <n v="7384.6153846153848"/>
  </r>
  <r>
    <x v="1"/>
    <s v="Mướp xào giáMướp"/>
    <s v="Món mặn"/>
    <s v="Món rau"/>
    <x v="14"/>
    <x v="39"/>
    <n v="20"/>
    <n v="10000"/>
    <n v="325"/>
    <n v="6.1538461538461542E-2"/>
    <n v="615.38461538461536"/>
  </r>
  <r>
    <x v="1"/>
    <s v="Mướp xào giáGiá"/>
    <s v="Món mặn"/>
    <s v="Món rau"/>
    <x v="14"/>
    <x v="7"/>
    <n v="20"/>
    <n v="8000"/>
    <n v="325"/>
    <n v="6.1538461538461542E-2"/>
    <n v="492.30769230769232"/>
  </r>
  <r>
    <x v="1"/>
    <s v="Trái câyỔi"/>
    <s v="Món mặn"/>
    <s v="Tráng miệng"/>
    <x v="1"/>
    <x v="21"/>
    <n v="30"/>
    <n v="17000"/>
    <n v="415"/>
    <n v="7.2289156626506021E-2"/>
    <n v="1228.9156626506024"/>
  </r>
  <r>
    <x v="1"/>
    <s v="Sữa chuaSữa chua"/>
    <s v="Món mặn"/>
    <s v="Sữa chua"/>
    <x v="7"/>
    <x v="28"/>
    <m/>
    <n v="4375"/>
    <m/>
    <e v="#DIV/0!"/>
    <n v="4375"/>
  </r>
  <r>
    <x v="0"/>
    <s v="Cơm sườn queSườn"/>
    <s v="Món mặn"/>
    <s v="Món chính"/>
    <x v="32"/>
    <x v="63"/>
    <n v="9"/>
    <n v="95000"/>
    <n v="100"/>
    <n v="0.09"/>
    <n v="8550"/>
  </r>
  <r>
    <x v="1"/>
    <s v="Cơm sườn queSả"/>
    <s v="Món mặn"/>
    <s v="Món chính"/>
    <x v="32"/>
    <x v="47"/>
    <n v="0.6"/>
    <n v="10000"/>
    <n v="100"/>
    <n v="6.0000000000000001E-3"/>
    <n v="60"/>
  </r>
  <r>
    <x v="1"/>
    <s v="Cơm sườn queCải thảo "/>
    <s v="Món mặn"/>
    <s v="Món chính"/>
    <x v="32"/>
    <x v="64"/>
    <n v="3"/>
    <n v="14000"/>
    <n v="100"/>
    <n v="0.03"/>
    <n v="420"/>
  </r>
  <r>
    <x v="1"/>
    <s v="Cơm sườn queCà rốt"/>
    <s v="Món mặn"/>
    <s v="Món chính"/>
    <x v="32"/>
    <x v="26"/>
    <n v="2"/>
    <n v="15000"/>
    <n v="100"/>
    <n v="0.02"/>
    <n v="300"/>
  </r>
  <r>
    <x v="1"/>
    <s v="Cơm sườn quecủ cải"/>
    <s v="Món mặn"/>
    <s v="Món chính"/>
    <x v="32"/>
    <x v="65"/>
    <n v="3"/>
    <n v="8000"/>
    <n v="100"/>
    <n v="0.03"/>
    <n v="240"/>
  </r>
  <r>
    <x v="1"/>
    <s v="Cơm sườn queỚt sừng"/>
    <s v="Món mặn"/>
    <s v="Món chính"/>
    <x v="32"/>
    <x v="66"/>
    <n v="0.5"/>
    <n v="40000"/>
    <n v="100"/>
    <n v="5.0000000000000001E-3"/>
    <n v="200"/>
  </r>
  <r>
    <x v="0"/>
    <s v="Trứng xào cà chuaTrứng gà"/>
    <s v="Món mặn"/>
    <s v="Món Phụ"/>
    <x v="33"/>
    <x v="13"/>
    <n v="230"/>
    <n v="2400"/>
    <n v="262"/>
    <n v="0.87786259541984735"/>
    <n v="2106.8702290076335"/>
  </r>
  <r>
    <x v="1"/>
    <s v="Trứng xào cà chuaCà chua"/>
    <s v="Món mặn"/>
    <s v="Món Phụ"/>
    <x v="33"/>
    <x v="31"/>
    <n v="5"/>
    <n v="20000"/>
    <n v="262"/>
    <n v="1.9083969465648856E-2"/>
    <n v="381.67938931297709"/>
  </r>
  <r>
    <x v="1"/>
    <s v="Trái câyChuối"/>
    <s v="Món mặn"/>
    <s v="Tráng miệng"/>
    <x v="1"/>
    <x v="43"/>
    <n v="262"/>
    <n v="1500"/>
    <n v="262"/>
    <n v="1"/>
    <n v="1500"/>
  </r>
  <r>
    <x v="0"/>
    <s v="Cá lóc khoCá lóc"/>
    <s v="Món mặn"/>
    <s v="Món chính"/>
    <x v="34"/>
    <x v="67"/>
    <n v="15"/>
    <n v="58000"/>
    <n v="125"/>
    <n v="0.12"/>
    <n v="6960"/>
  </r>
  <r>
    <x v="1"/>
    <s v="Đậu khuôn thịt bằmĐậu khuôn"/>
    <s v="Món mặn"/>
    <s v="Món Phụ"/>
    <x v="35"/>
    <x v="68"/>
    <n v="118"/>
    <n v="1600"/>
    <n v="118"/>
    <n v="1"/>
    <n v="1600"/>
  </r>
  <r>
    <x v="0"/>
    <s v="Đậu khuôn thịt bằmThịt bằm"/>
    <s v="Món mặn"/>
    <s v="Món Phụ"/>
    <x v="35"/>
    <x v="69"/>
    <n v="1"/>
    <n v="80000"/>
    <n v="100"/>
    <n v="0.01"/>
    <n v="800"/>
  </r>
  <r>
    <x v="1"/>
    <s v="Đậu khuôn thịt bằmNấm mèo"/>
    <s v="Món mặn"/>
    <s v="Món Phụ"/>
    <x v="35"/>
    <x v="11"/>
    <n v="0.2"/>
    <n v="110000"/>
    <n v="118"/>
    <n v="1.6949152542372883E-3"/>
    <n v="186.4406779661017"/>
  </r>
  <r>
    <x v="1"/>
    <s v="Đậu khuôn thịt bằmCà rốt"/>
    <s v="Món mặn"/>
    <s v="Món Phụ"/>
    <x v="35"/>
    <x v="26"/>
    <n v="2"/>
    <n v="15000"/>
    <n v="118"/>
    <n v="1.6949152542372881E-2"/>
    <n v="254.23728813559322"/>
  </r>
  <r>
    <x v="1"/>
    <s v="Dưa cải xàoDưa cải"/>
    <s v="Món mặn"/>
    <s v="Món rau"/>
    <x v="36"/>
    <x v="70"/>
    <n v="9"/>
    <n v="15000"/>
    <n v="118"/>
    <n v="7.6271186440677971E-2"/>
    <n v="1144.0677966101696"/>
  </r>
  <r>
    <x v="1"/>
    <s v="Bí đỏ thịt bằmBí đỏ"/>
    <s v="Món mặn"/>
    <s v="Món Canh"/>
    <x v="37"/>
    <x v="71"/>
    <n v="4"/>
    <n v="11000"/>
    <n v="118"/>
    <n v="3.3898305084745763E-2"/>
    <n v="372.88135593220341"/>
  </r>
  <r>
    <x v="0"/>
    <s v="Bí đỏ thịt bằmThịt bằm"/>
    <s v="Món mặn"/>
    <s v="Món Canh"/>
    <x v="37"/>
    <x v="69"/>
    <n v="0.3"/>
    <n v="80000"/>
    <n v="118"/>
    <n v="2.542372881355932E-3"/>
    <n v="203.38983050847457"/>
  </r>
  <r>
    <x v="1"/>
    <s v="Sữa chuaSữa chua"/>
    <s v="Sữa chua"/>
    <s v="Sữa chua"/>
    <x v="7"/>
    <x v="28"/>
    <n v="118"/>
    <n v="4375"/>
    <n v="118"/>
    <n v="1"/>
    <n v="4375"/>
  </r>
  <r>
    <x v="0"/>
    <s v="Gỏi bòBò "/>
    <s v="Món mặn"/>
    <s v="Món Phụ"/>
    <x v="38"/>
    <x v="72"/>
    <n v="8"/>
    <n v="80000"/>
    <n v="247"/>
    <n v="3.2388663967611336E-2"/>
    <n v="2591.0931174089069"/>
  </r>
  <r>
    <x v="1"/>
    <s v="Gỏi bòSu trắng"/>
    <s v="Món mặn"/>
    <s v="Món Phụ"/>
    <x v="38"/>
    <x v="17"/>
    <n v="6"/>
    <n v="10000"/>
    <n v="247"/>
    <n v="2.4291497975708502E-2"/>
    <n v="242.91497975708501"/>
  </r>
  <r>
    <x v="1"/>
    <s v="Gỏi bòSu tím"/>
    <s v="Món mặn"/>
    <s v="Món Phụ"/>
    <x v="38"/>
    <x v="37"/>
    <n v="6"/>
    <n v="14000"/>
    <n v="247"/>
    <n v="2.4291497975708502E-2"/>
    <n v="340.08097165991904"/>
  </r>
  <r>
    <x v="1"/>
    <s v="Gỏi bòCà rốt"/>
    <s v="Món mặn"/>
    <s v="Món Phụ"/>
    <x v="38"/>
    <x v="26"/>
    <n v="4"/>
    <n v="18000"/>
    <n v="247"/>
    <n v="1.6194331983805668E-2"/>
    <n v="291.497975708502"/>
  </r>
  <r>
    <x v="1"/>
    <s v="Gỏi bòQuế"/>
    <s v="Món mặn"/>
    <s v="Món Phụ"/>
    <x v="38"/>
    <x v="19"/>
    <n v="1.2"/>
    <n v="20000"/>
    <n v="247"/>
    <n v="4.8582995951417006E-3"/>
    <n v="97.165991902834008"/>
  </r>
  <r>
    <x v="1"/>
    <s v="Đậu bắp hấpĐậu bắp"/>
    <s v="Món mặn"/>
    <s v="Món rau"/>
    <x v="39"/>
    <x v="60"/>
    <n v="16"/>
    <n v="12000"/>
    <n v="247"/>
    <n v="6.4777327935222673E-2"/>
    <n v="777.32793522267207"/>
  </r>
  <r>
    <x v="1"/>
    <s v="Su thịt bằmSu trắng"/>
    <s v="Món mặn"/>
    <s v="Món Canh"/>
    <x v="40"/>
    <x v="17"/>
    <n v="8"/>
    <n v="10000"/>
    <n v="247"/>
    <n v="3.2388663967611336E-2"/>
    <n v="323.88663967611336"/>
  </r>
  <r>
    <x v="0"/>
    <s v="Su thịt bằmThịt bằm"/>
    <s v="Món mặn"/>
    <s v="Món Canh"/>
    <x v="40"/>
    <x v="69"/>
    <n v="0.7"/>
    <n v="80000"/>
    <n v="247"/>
    <n v="2.8340080971659917E-3"/>
    <n v="226.72064777327935"/>
  </r>
  <r>
    <x v="1"/>
    <s v="Sữa chuaSữa chua"/>
    <s v="Món mặn"/>
    <s v="Sữa chua"/>
    <x v="7"/>
    <x v="28"/>
    <n v="247"/>
    <n v="4375"/>
    <n v="247"/>
    <n v="1"/>
    <n v="4375"/>
  </r>
  <r>
    <x v="0"/>
    <s v="Cá hố khoCá hố"/>
    <s v="Món mặn"/>
    <s v="Món chính"/>
    <x v="31"/>
    <x v="62"/>
    <n v="12"/>
    <n v="60000"/>
    <n v="116"/>
    <n v="0.10344827586206896"/>
    <n v="6206.8965517241377"/>
  </r>
  <r>
    <x v="0"/>
    <s v="Heo xào măngHeo nạc vai"/>
    <s v="Món mặn"/>
    <s v="Món Phụ"/>
    <x v="41"/>
    <x v="73"/>
    <n v="2"/>
    <n v="85000"/>
    <n v="100"/>
    <n v="0.02"/>
    <n v="1700"/>
  </r>
  <r>
    <x v="0"/>
    <s v="Heo xào măngHeo nọng"/>
    <s v="Món mặn"/>
    <s v="Món Phụ"/>
    <x v="41"/>
    <x v="74"/>
    <n v="2"/>
    <n v="65000"/>
    <n v="100"/>
    <n v="0.02"/>
    <n v="1300"/>
  </r>
  <r>
    <x v="1"/>
    <s v="Heo xào măngMăng vàng"/>
    <s v="Món mặn"/>
    <s v="Món Phụ"/>
    <x v="41"/>
    <x v="75"/>
    <n v="4"/>
    <n v="25000"/>
    <n v="100"/>
    <n v="0.04"/>
    <n v="1000"/>
  </r>
  <r>
    <x v="1"/>
    <s v="Mướp xào giáMướp"/>
    <s v="Món mặn"/>
    <s v="Món rau"/>
    <x v="14"/>
    <x v="39"/>
    <n v="7"/>
    <n v="10000"/>
    <n v="116"/>
    <n v="6.0344827586206899E-2"/>
    <n v="603.44827586206895"/>
  </r>
  <r>
    <x v="1"/>
    <s v="Mướp xào giáGiá"/>
    <s v="Món mặn"/>
    <s v="Món rau"/>
    <x v="14"/>
    <x v="7"/>
    <n v="6"/>
    <n v="8000"/>
    <n v="116"/>
    <n v="5.1724137931034482E-2"/>
    <n v="413.79310344827587"/>
  </r>
  <r>
    <x v="1"/>
    <s v="Rau má thịt bằmRau má"/>
    <s v="Món mặn"/>
    <s v="Món Canh"/>
    <x v="42"/>
    <x v="76"/>
    <n v="4"/>
    <n v="18000"/>
    <n v="116"/>
    <n v="3.4482758620689655E-2"/>
    <n v="620.68965517241384"/>
  </r>
  <r>
    <x v="0"/>
    <s v="Rau má thịt bằmThịt bằm"/>
    <s v="Món mặn"/>
    <s v="Món Canh"/>
    <x v="42"/>
    <x v="69"/>
    <n v="0.3"/>
    <n v="80000"/>
    <n v="116"/>
    <n v="2.5862068965517241E-3"/>
    <n v="206.89655172413794"/>
  </r>
  <r>
    <x v="1"/>
    <s v="Trái câyChôm chôm"/>
    <s v="Món mặn"/>
    <s v="Tráng miệng"/>
    <x v="1"/>
    <x v="77"/>
    <n v="9"/>
    <n v="25000"/>
    <n v="116"/>
    <n v="7.7586206896551727E-2"/>
    <n v="1939.655172413793"/>
  </r>
  <r>
    <x v="1"/>
    <s v="Sữa chuaSữa chua"/>
    <s v="Món mặn"/>
    <s v="Sữa chua"/>
    <x v="7"/>
    <x v="28"/>
    <n v="40"/>
    <n v="4375"/>
    <n v="40"/>
    <n v="1"/>
    <n v="4375"/>
  </r>
  <r>
    <x v="0"/>
    <s v="Bún bò huếNạm bò"/>
    <s v="Món mặn"/>
    <s v="Món nước"/>
    <x v="43"/>
    <x v="78"/>
    <n v="17"/>
    <n v="80000"/>
    <n v="234"/>
    <n v="7.2649572649572655E-2"/>
    <n v="5811.9658119658116"/>
  </r>
  <r>
    <x v="0"/>
    <s v="Bún bò huếChả quết"/>
    <s v="Món mặn"/>
    <s v="Món nước"/>
    <x v="43"/>
    <x v="79"/>
    <n v="1.3"/>
    <n v="120000"/>
    <n v="113"/>
    <n v="1.1504424778761062E-2"/>
    <n v="1380.5309734513273"/>
  </r>
  <r>
    <x v="0"/>
    <s v="Bún bò huếHuyết bò"/>
    <s v="Món mặn"/>
    <s v="Món nước"/>
    <x v="43"/>
    <x v="80"/>
    <n v="2.5"/>
    <n v="25000"/>
    <n v="113"/>
    <n v="2.2123893805309734E-2"/>
    <n v="553.09734513274338"/>
  </r>
  <r>
    <x v="1"/>
    <s v="Bún bò huếBún"/>
    <s v="Món mặn"/>
    <s v="Món nước"/>
    <x v="43"/>
    <x v="5"/>
    <n v="70.2"/>
    <n v="9500"/>
    <n v="234"/>
    <n v="0.3"/>
    <n v="2850"/>
  </r>
  <r>
    <x v="1"/>
    <s v="Bún bò huếHành lá"/>
    <s v="Món mặn"/>
    <s v="Món nước"/>
    <x v="43"/>
    <x v="8"/>
    <n v="1.5"/>
    <n v="18000"/>
    <n v="234"/>
    <n v="6.41025641025641E-3"/>
    <n v="115.38461538461539"/>
  </r>
  <r>
    <x v="1"/>
    <s v="Bún bò huếRau quế"/>
    <s v="Món mặn"/>
    <s v="Món nước"/>
    <x v="43"/>
    <x v="6"/>
    <n v="0.7"/>
    <n v="20000"/>
    <n v="234"/>
    <n v="2.9914529914529912E-3"/>
    <n v="59.82905982905983"/>
  </r>
  <r>
    <x v="1"/>
    <s v="Bún bò huếGiá "/>
    <s v="Món mặn"/>
    <s v="Món nước"/>
    <x v="43"/>
    <x v="81"/>
    <n v="4"/>
    <n v="8000"/>
    <n v="234"/>
    <n v="1.7094017094017096E-2"/>
    <n v="136.75213675213675"/>
  </r>
  <r>
    <x v="1"/>
    <s v="Bún bò huếHành tây"/>
    <s v="Món mặn"/>
    <s v="Món nước"/>
    <x v="43"/>
    <x v="58"/>
    <n v="2.5"/>
    <n v="11000"/>
    <n v="234"/>
    <n v="1.0683760683760684E-2"/>
    <n v="117.52136752136752"/>
  </r>
  <r>
    <x v="1"/>
    <s v="Bún bò huếChanh "/>
    <s v="Món mặn"/>
    <s v="Món nước"/>
    <x v="43"/>
    <x v="9"/>
    <n v="1.55"/>
    <n v="26000"/>
    <n v="234"/>
    <n v="6.6239316239316238E-3"/>
    <n v="172.22222222222223"/>
  </r>
  <r>
    <x v="1"/>
    <s v="Bún bò huếỚt"/>
    <s v="Món mặn"/>
    <s v="Món nước"/>
    <x v="43"/>
    <x v="10"/>
    <n v="0.8"/>
    <n v="30000"/>
    <n v="234"/>
    <n v="3.4188034188034188E-3"/>
    <n v="102.56410256410257"/>
  </r>
  <r>
    <x v="1"/>
    <s v="Trái câyTáo"/>
    <s v="Món mặn"/>
    <s v="Tráng miệng"/>
    <x v="1"/>
    <x v="82"/>
    <n v="9"/>
    <n v="25000"/>
    <n v="234"/>
    <n v="3.8461538461538464E-2"/>
    <n v="961.53846153846155"/>
  </r>
  <r>
    <x v="0"/>
    <s v="Mỳ cá lócCá lóc"/>
    <s v="Món mặn"/>
    <s v="Món nước"/>
    <x v="44"/>
    <x v="67"/>
    <n v="13"/>
    <n v="60000"/>
    <n v="100"/>
    <n v="0.13"/>
    <n v="7800"/>
  </r>
  <r>
    <x v="1"/>
    <s v="Mỳ cá lócMỳ "/>
    <s v="Món mặn"/>
    <s v="Món nước"/>
    <x v="44"/>
    <x v="83"/>
    <n v="10"/>
    <n v="9400"/>
    <n v="33"/>
    <n v="0.30303030303030304"/>
    <n v="2848.4848484848485"/>
  </r>
  <r>
    <x v="1"/>
    <s v="Mỳ cá lócChanh"/>
    <s v="Món mặn"/>
    <s v="Món nước"/>
    <x v="44"/>
    <x v="20"/>
    <n v="0.45"/>
    <n v="26000"/>
    <n v="69"/>
    <n v="6.5217391304347831E-3"/>
    <n v="169.56521739130434"/>
  </r>
  <r>
    <x v="1"/>
    <s v="Mỳ cá lócỚt"/>
    <s v="Món mặn"/>
    <s v="Món nước"/>
    <x v="44"/>
    <x v="10"/>
    <n v="0.2"/>
    <n v="30000"/>
    <n v="69"/>
    <n v="2.8985507246376812E-3"/>
    <n v="86.956521739130437"/>
  </r>
  <r>
    <x v="1"/>
    <s v="Mỳ cá lócRau sống"/>
    <s v="Món mặn"/>
    <s v="Món nước"/>
    <x v="44"/>
    <x v="84"/>
    <n v="4"/>
    <n v="8000"/>
    <n v="69"/>
    <n v="5.7971014492753624E-2"/>
    <n v="463.768115942029"/>
  </r>
  <r>
    <x v="0"/>
    <s v="Cá nhói kho nghệCá nhói"/>
    <s v="Món mặn"/>
    <s v="Món chính"/>
    <x v="45"/>
    <x v="85"/>
    <n v="12"/>
    <n v="48000"/>
    <n v="120"/>
    <n v="0.1"/>
    <n v="4800"/>
  </r>
  <r>
    <x v="1"/>
    <s v="Cá nhói kho nghệNén "/>
    <s v="Món mặn"/>
    <s v="Món chính"/>
    <x v="45"/>
    <x v="86"/>
    <n v="1"/>
    <n v="60000"/>
    <n v="120"/>
    <n v="8.3333333333333332E-3"/>
    <n v="500"/>
  </r>
  <r>
    <x v="1"/>
    <s v="Cá nhói kho nghệNghệ"/>
    <s v="Món mặn"/>
    <s v="Món chính"/>
    <x v="45"/>
    <x v="87"/>
    <n v="1"/>
    <n v="22000"/>
    <n v="120"/>
    <n v="8.3333333333333332E-3"/>
    <n v="183.33333333333334"/>
  </r>
  <r>
    <x v="1"/>
    <s v="Cà tím mỡ hànhCà tím"/>
    <s v="Món mặn"/>
    <s v="Món rau"/>
    <x v="46"/>
    <x v="88"/>
    <n v="9.5"/>
    <n v="11000"/>
    <n v="100"/>
    <n v="9.5000000000000001E-2"/>
    <n v="1045"/>
  </r>
  <r>
    <x v="1"/>
    <s v="Sườn honSườn"/>
    <s v="Món mặn"/>
    <s v="Món chính"/>
    <x v="47"/>
    <x v="63"/>
    <n v="3"/>
    <n v="95000"/>
    <n v="40"/>
    <n v="7.4999999999999997E-2"/>
    <n v="7125"/>
  </r>
  <r>
    <x v="1"/>
    <s v="Su trắng xàoSu trắng"/>
    <s v="Món mặn"/>
    <s v="Món rau"/>
    <x v="48"/>
    <x v="17"/>
    <n v="9"/>
    <n v="12000"/>
    <n v="100"/>
    <n v="0.09"/>
    <n v="1080"/>
  </r>
  <r>
    <x v="0"/>
    <s v="Cá diêu hồng kho tiêuCá diêu hồng"/>
    <s v="Món mặn"/>
    <s v="Món chính"/>
    <x v="49"/>
    <x v="89"/>
    <n v="50"/>
    <n v="65000"/>
    <n v="378"/>
    <n v="0.13227513227513227"/>
    <n v="8597.8835978835978"/>
  </r>
  <r>
    <x v="0"/>
    <s v="Vịt kho măngVịt"/>
    <s v="Món mặn"/>
    <s v="Món chính"/>
    <x v="50"/>
    <x v="90"/>
    <n v="8.5"/>
    <n v="65000"/>
    <n v="103"/>
    <n v="8.2524271844660199E-2"/>
    <n v="5364.0776699029129"/>
  </r>
  <r>
    <x v="1"/>
    <s v="Vịt kho măngMăng"/>
    <s v="Món mặn"/>
    <s v="Món chính"/>
    <x v="50"/>
    <x v="91"/>
    <n v="2"/>
    <n v="25000"/>
    <n v="103"/>
    <n v="1.9417475728155338E-2"/>
    <n v="485.43689320388347"/>
  </r>
  <r>
    <x v="0"/>
    <s v="Chả lá lốtChả quết"/>
    <s v="Món mặn"/>
    <s v="Món Phụ"/>
    <x v="51"/>
    <x v="79"/>
    <n v="1.5"/>
    <n v="120000"/>
    <n v="100"/>
    <n v="1.4999999999999999E-2"/>
    <n v="1800"/>
  </r>
  <r>
    <x v="1"/>
    <s v="Chả lá lốtLá lốt"/>
    <s v="Món mặn"/>
    <s v="Món Phụ"/>
    <x v="51"/>
    <x v="92"/>
    <n v="4"/>
    <n v="12000"/>
    <n v="774"/>
    <n v="5.1679586563307496E-3"/>
    <n v="62.015503875968989"/>
  </r>
  <r>
    <x v="0"/>
    <s v="Chả lá lốtBột nở"/>
    <s v="Món mặn"/>
    <s v="Món Phụ"/>
    <x v="51"/>
    <x v="93"/>
    <n v="2.5"/>
    <n v="25000"/>
    <n v="774"/>
    <n v="3.2299741602067182E-3"/>
    <n v="80.749354005167959"/>
  </r>
  <r>
    <x v="0"/>
    <s v="Chả lá lốtThịt xay"/>
    <s v="Món mặn"/>
    <s v="Món Phụ"/>
    <x v="51"/>
    <x v="2"/>
    <n v="2"/>
    <n v="80000"/>
    <n v="100"/>
    <n v="0.02"/>
    <n v="1600"/>
  </r>
  <r>
    <x v="0"/>
    <s v="Tôm rim trứng cútTôm"/>
    <s v="Món mặn"/>
    <s v="Món chính"/>
    <x v="52"/>
    <x v="14"/>
    <n v="6.5"/>
    <n v="115000"/>
    <n v="250"/>
    <n v="2.5999999999999999E-2"/>
    <n v="2990"/>
  </r>
  <r>
    <x v="0"/>
    <s v="Tôm rim trứng cútTrứng cút"/>
    <s v="Món mặn"/>
    <s v="Món chính"/>
    <x v="52"/>
    <x v="94"/>
    <n v="770"/>
    <n v="550"/>
    <n v="250"/>
    <n v="3.08"/>
    <n v="1694"/>
  </r>
  <r>
    <x v="1"/>
    <s v="Rau lang luộc Rau lang"/>
    <s v="Món mặn"/>
    <s v="Món rau"/>
    <x v="53"/>
    <x v="95"/>
    <n v="8.5"/>
    <n v="19000"/>
    <n v="100"/>
    <n v="8.5000000000000006E-2"/>
    <n v="1615"/>
  </r>
  <r>
    <x v="0"/>
    <s v="Cá bạc má khoCá bạc má"/>
    <s v="Món mặn"/>
    <s v="Món chính"/>
    <x v="54"/>
    <x v="96"/>
    <n v="10"/>
    <n v="42000"/>
    <n v="109"/>
    <n v="9.1743119266055051E-2"/>
    <n v="3853.211009174312"/>
  </r>
  <r>
    <x v="1"/>
    <s v="Củ cải xàocủ cải"/>
    <s v="Món mặn"/>
    <s v="Món rau"/>
    <x v="55"/>
    <x v="65"/>
    <n v="10.5"/>
    <n v="8000"/>
    <n v="110"/>
    <n v="9.5454545454545459E-2"/>
    <n v="763.63636363636363"/>
  </r>
  <r>
    <x v="1"/>
    <s v="Khổ qua thịt bằmKhổ qua"/>
    <s v="Món mặn"/>
    <s v="Món Canh"/>
    <x v="56"/>
    <x v="97"/>
    <n v="4"/>
    <n v="16000"/>
    <n v="109"/>
    <n v="3.669724770642202E-2"/>
    <n v="587.1559633027523"/>
  </r>
  <r>
    <x v="0"/>
    <s v="Khổ qua thịt bằmThịt bằm"/>
    <s v="Món mặn"/>
    <s v="Món Canh"/>
    <x v="56"/>
    <x v="69"/>
    <n v="0.3"/>
    <n v="80000"/>
    <n v="109"/>
    <n v="2.7522935779816511E-3"/>
    <n v="220.18348623853211"/>
  </r>
  <r>
    <x v="1"/>
    <s v="Khổ qua nấu tômKhổ qua"/>
    <s v="Món mặn"/>
    <s v="Món Canh"/>
    <x v="57"/>
    <x v="97"/>
    <n v="4"/>
    <n v="16000"/>
    <n v="109"/>
    <n v="3.669724770642202E-2"/>
    <n v="587.1559633027523"/>
  </r>
  <r>
    <x v="0"/>
    <s v="Khổ qua nấu tômTôm"/>
    <s v="Món mặn"/>
    <s v="Món Canh"/>
    <x v="57"/>
    <x v="14"/>
    <n v="0.4"/>
    <n v="130000"/>
    <n v="120"/>
    <n v="3.3333333333333335E-3"/>
    <n v="433.33333333333331"/>
  </r>
  <r>
    <x v="0"/>
    <s v="Bầu nấu tômTôm "/>
    <s v="Món mặn"/>
    <s v="Món Canh"/>
    <x v="58"/>
    <x v="98"/>
    <n v="0.4"/>
    <n v="115000"/>
    <n v="120"/>
    <n v="3.3333333333333335E-3"/>
    <n v="383.33333333333331"/>
  </r>
  <r>
    <x v="1"/>
    <s v="Bầu nấu tômBầu"/>
    <s v="Món mặn"/>
    <s v="Món Canh"/>
    <x v="58"/>
    <x v="54"/>
    <n v="4"/>
    <n v="12000"/>
    <n v="120"/>
    <n v="3.3333333333333333E-2"/>
    <n v="400"/>
  </r>
  <r>
    <x v="0"/>
    <s v="Cơm gà chiên mắmGà"/>
    <s v="Món mặn"/>
    <s v="Món chính"/>
    <x v="59"/>
    <x v="36"/>
    <n v="30"/>
    <n v="47000"/>
    <n v="238"/>
    <n v="0.12605042016806722"/>
    <n v="5924.3697478991598"/>
  </r>
  <r>
    <x v="0"/>
    <s v="Trứng luộcTrứng gà"/>
    <s v="Món mặn"/>
    <s v="Món Phụ"/>
    <x v="60"/>
    <x v="13"/>
    <n v="238"/>
    <n v="2200"/>
    <n v="238"/>
    <n v="1"/>
    <n v="2200"/>
  </r>
  <r>
    <x v="0"/>
    <s v="Cơm sườn kim chiCốt lết"/>
    <s v="Món mặn"/>
    <s v="Món chính"/>
    <x v="61"/>
    <x v="50"/>
    <n v="9"/>
    <n v="100000"/>
    <n v="100"/>
    <n v="0.09"/>
    <n v="9000"/>
  </r>
  <r>
    <x v="1"/>
    <s v="Cơm sườn kim chiSả"/>
    <s v="Món mặn"/>
    <s v="Món chính"/>
    <x v="61"/>
    <x v="47"/>
    <n v="0.6"/>
    <n v="10000"/>
    <n v="100"/>
    <n v="6.0000000000000001E-3"/>
    <n v="60"/>
  </r>
  <r>
    <x v="1"/>
    <s v="Cơm sườn kim chiCải thảo "/>
    <s v="Món mặn"/>
    <s v="Món chính"/>
    <x v="61"/>
    <x v="64"/>
    <n v="3"/>
    <n v="14000"/>
    <n v="100"/>
    <n v="0.03"/>
    <n v="420"/>
  </r>
  <r>
    <x v="1"/>
    <s v="Cơm sườn kim chiCà rốt"/>
    <s v="Món mặn"/>
    <s v="Món chính"/>
    <x v="61"/>
    <x v="26"/>
    <n v="3"/>
    <n v="15000"/>
    <n v="100"/>
    <n v="0.03"/>
    <n v="450"/>
  </r>
  <r>
    <x v="1"/>
    <s v="Cơm sườn kim chicủ cải"/>
    <s v="Món mặn"/>
    <s v="Món chính"/>
    <x v="61"/>
    <x v="65"/>
    <n v="3"/>
    <n v="8000"/>
    <n v="100"/>
    <n v="0.03"/>
    <n v="240"/>
  </r>
  <r>
    <x v="1"/>
    <s v="Cơm sườn kim chiỚt sừng"/>
    <s v="Món mặn"/>
    <s v="Món chính"/>
    <x v="61"/>
    <x v="66"/>
    <n v="0.5"/>
    <n v="40000"/>
    <n v="100"/>
    <n v="5.0000000000000001E-3"/>
    <n v="200"/>
  </r>
  <r>
    <x v="0"/>
    <s v="Trứng ốp laTrứng gà (cái)"/>
    <s v="Món mặn"/>
    <s v="Món Phụ"/>
    <x v="62"/>
    <x v="99"/>
    <n v="74"/>
    <n v="2200"/>
    <n v="74"/>
    <n v="1"/>
    <n v="2200"/>
  </r>
  <r>
    <x v="1"/>
    <s v="Canh chua trứngTrứng"/>
    <s v="Món mặn"/>
    <s v="Món Canh"/>
    <x v="63"/>
    <x v="100"/>
    <n v="10"/>
    <n v="2200"/>
    <n v="74"/>
    <n v="0.13513513513513514"/>
    <n v="297.29729729729729"/>
  </r>
  <r>
    <x v="1"/>
    <s v="Canh chua trứngMăng chua"/>
    <s v="Món mặn"/>
    <s v="Món Canh"/>
    <x v="63"/>
    <x v="101"/>
    <n v="1"/>
    <n v="25000"/>
    <n v="74"/>
    <n v="1.3513513513513514E-2"/>
    <n v="337.83783783783781"/>
  </r>
  <r>
    <x v="0"/>
    <s v="Bò lúc lắcBò "/>
    <s v="Món mặn"/>
    <s v="Món chính"/>
    <x v="64"/>
    <x v="72"/>
    <n v="14"/>
    <n v="120000"/>
    <n v="115"/>
    <n v="0.12173913043478261"/>
    <n v="14608.695652173914"/>
  </r>
  <r>
    <x v="1"/>
    <s v="Bò lúc lắcỚt chuông"/>
    <s v="Món mặn"/>
    <s v="Món chính"/>
    <x v="64"/>
    <x v="102"/>
    <n v="10"/>
    <n v="40000"/>
    <n v="120"/>
    <n v="8.3333333333333329E-2"/>
    <n v="3333.3333333333335"/>
  </r>
  <r>
    <x v="1"/>
    <s v="Bò lúc lắcThơm"/>
    <s v="Món mặn"/>
    <s v="Món chính"/>
    <x v="64"/>
    <x v="24"/>
    <n v="5"/>
    <n v="17000"/>
    <n v="120"/>
    <n v="4.1666666666666664E-2"/>
    <n v="708.33333333333337"/>
  </r>
  <r>
    <x v="1"/>
    <s v="Bò lúc lắcXà lách"/>
    <s v="Món mặn"/>
    <s v="Món chính"/>
    <x v="64"/>
    <x v="103"/>
    <n v="3"/>
    <n v="30000"/>
    <n v="120"/>
    <n v="2.5000000000000001E-2"/>
    <n v="750"/>
  </r>
  <r>
    <x v="1"/>
    <s v="Bò lúc lắcCà chua"/>
    <s v="Món mặn"/>
    <s v="Món chính"/>
    <x v="64"/>
    <x v="31"/>
    <n v="3"/>
    <n v="20000"/>
    <n v="120"/>
    <n v="2.5000000000000001E-2"/>
    <n v="500"/>
  </r>
  <r>
    <x v="1"/>
    <s v="Khoai tây chiênKhoai tây "/>
    <s v="Món mặn"/>
    <s v="Món Phụ"/>
    <x v="65"/>
    <x v="104"/>
    <n v="13"/>
    <n v="50000"/>
    <n v="120"/>
    <n v="0.10833333333333334"/>
    <n v="5416.666666666667"/>
  </r>
  <r>
    <x v="1"/>
    <s v="Canh củ quả đặc biệtBắp"/>
    <s v="Món mặn"/>
    <s v="Món Canh"/>
    <x v="66"/>
    <x v="105"/>
    <n v="11"/>
    <n v="7000"/>
    <n v="120"/>
    <n v="9.166666666666666E-2"/>
    <n v="641.66666666666663"/>
  </r>
  <r>
    <x v="1"/>
    <s v="Canh củ quả đặc biệtKhoai môn"/>
    <s v="Món mặn"/>
    <s v="Món Canh"/>
    <x v="66"/>
    <x v="106"/>
    <n v="3"/>
    <n v="35000"/>
    <n v="120"/>
    <n v="2.5000000000000001E-2"/>
    <n v="875"/>
  </r>
  <r>
    <x v="1"/>
    <s v="Canh củ quả đặc biệtCà rốt"/>
    <s v="Món mặn"/>
    <s v="Món Canh"/>
    <x v="66"/>
    <x v="26"/>
    <n v="1.5"/>
    <n v="12000"/>
    <n v="120"/>
    <n v="1.2500000000000001E-2"/>
    <n v="150"/>
  </r>
  <r>
    <x v="0"/>
    <s v="Canh củ quả đặc biệtThịt bằm"/>
    <s v="Món mặn"/>
    <s v="Món Canh"/>
    <x v="66"/>
    <x v="69"/>
    <n v="0.5"/>
    <n v="80000"/>
    <n v="120"/>
    <n v="4.1666666666666666E-3"/>
    <n v="333.33333333333331"/>
  </r>
  <r>
    <x v="1"/>
    <s v="Kim chiCải thảo"/>
    <s v="Món mặn"/>
    <s v="Món rau"/>
    <x v="67"/>
    <x v="107"/>
    <n v="4"/>
    <n v="15000"/>
    <n v="120"/>
    <n v="3.3333333333333333E-2"/>
    <n v="500"/>
  </r>
  <r>
    <x v="1"/>
    <s v="Kim chiCà rốt"/>
    <s v="Món mặn"/>
    <s v="Món rau"/>
    <x v="67"/>
    <x v="26"/>
    <n v="3"/>
    <n v="16000"/>
    <n v="120"/>
    <n v="2.5000000000000001E-2"/>
    <n v="400"/>
  </r>
  <r>
    <x v="1"/>
    <s v="Kim chiCủ cải"/>
    <s v="Món mặn"/>
    <s v="Món rau"/>
    <x v="67"/>
    <x v="65"/>
    <n v="2"/>
    <n v="10000"/>
    <n v="120"/>
    <n v="1.6666666666666666E-2"/>
    <n v="166.66666666666666"/>
  </r>
  <r>
    <x v="1"/>
    <s v="Kim chiỚt sừng"/>
    <s v="Món mặn"/>
    <s v="Món rau"/>
    <x v="67"/>
    <x v="66"/>
    <n v="0.5"/>
    <n v="40000"/>
    <n v="120"/>
    <n v="4.1666666666666666E-3"/>
    <n v="166.66666666666666"/>
  </r>
  <r>
    <x v="0"/>
    <s v="Cá mối kho nghệCá mối"/>
    <s v="Món mặn"/>
    <s v="Món chính"/>
    <x v="68"/>
    <x v="108"/>
    <n v="10.5"/>
    <n v="55000"/>
    <n v="117"/>
    <n v="8.9743589743589744E-2"/>
    <n v="4935.8974358974356"/>
  </r>
  <r>
    <x v="1"/>
    <s v="Sườn hon sảSườn"/>
    <s v="Món mặn"/>
    <s v="Món chính"/>
    <x v="69"/>
    <x v="63"/>
    <n v="7.5"/>
    <n v="95000"/>
    <n v="100"/>
    <n v="7.4999999999999997E-2"/>
    <n v="7125"/>
  </r>
  <r>
    <x v="1"/>
    <s v="Sườn hon sảSả"/>
    <s v="Món mặn"/>
    <s v="Món chính"/>
    <x v="69"/>
    <x v="47"/>
    <n v="4"/>
    <n v="8000"/>
    <n v="466"/>
    <n v="8.5836909871244635E-3"/>
    <n v="68.669527896995703"/>
  </r>
  <r>
    <x v="0"/>
    <s v="Trứng kho nước dừaTrứng gà"/>
    <s v="Món mặn"/>
    <s v="Món Phụ"/>
    <x v="70"/>
    <x v="13"/>
    <n v="1"/>
    <n v="2300"/>
    <n v="1"/>
    <n v="1"/>
    <n v="2300"/>
  </r>
  <r>
    <x v="1"/>
    <s v="Trứng kho nước dừaBột cốt dừa"/>
    <s v="Món mặn"/>
    <s v="Món Phụ"/>
    <x v="70"/>
    <x v="109"/>
    <n v="10"/>
    <n v="4000"/>
    <n v="466"/>
    <n v="2.1459227467811159E-2"/>
    <n v="85.836909871244629"/>
  </r>
  <r>
    <x v="1"/>
    <s v="Mồng tơi thịt bằmMồng tơi"/>
    <s v="Món mặn"/>
    <s v="Món Canh"/>
    <x v="71"/>
    <x v="110"/>
    <n v="12"/>
    <n v="10000"/>
    <n v="250"/>
    <n v="4.8000000000000001E-2"/>
    <n v="480"/>
  </r>
  <r>
    <x v="0"/>
    <s v="Mồng tơi thịt bằmThịt bằm"/>
    <s v="Món mặn"/>
    <s v="Món Canh"/>
    <x v="71"/>
    <x v="69"/>
    <n v="0.5"/>
    <n v="80000"/>
    <n v="150"/>
    <n v="3.3333333333333335E-3"/>
    <n v="266.66666666666669"/>
  </r>
  <r>
    <x v="0"/>
    <s v="Cá bạc má kho thơmCá bạc má"/>
    <s v="Món mặn"/>
    <s v="Món chính"/>
    <x v="72"/>
    <x v="96"/>
    <n v="4.4000000000000004"/>
    <n v="42000"/>
    <n v="45"/>
    <n v="9.7777777777777783E-2"/>
    <n v="4106.666666666667"/>
  </r>
  <r>
    <x v="1"/>
    <s v="Cá bạc má kho thơmThơm"/>
    <s v="Món mặn"/>
    <s v="Món chính"/>
    <x v="72"/>
    <x v="24"/>
    <n v="1"/>
    <n v="17000"/>
    <n v="45"/>
    <n v="2.2222222222222223E-2"/>
    <n v="377.77777777777777"/>
  </r>
  <r>
    <x v="0"/>
    <s v="Trứng hấp thập cẩmTrứng gà"/>
    <s v="Món mặn"/>
    <s v="Món Phụ"/>
    <x v="73"/>
    <x v="13"/>
    <n v="280"/>
    <n v="2300"/>
    <n v="300"/>
    <n v="0.93333333333333335"/>
    <n v="2146.6666666666665"/>
  </r>
  <r>
    <x v="1"/>
    <s v="Trứng hấp thập cẩmHành lá"/>
    <s v="Món mặn"/>
    <s v="Món Phụ"/>
    <x v="73"/>
    <x v="8"/>
    <n v="0.5"/>
    <n v="18000"/>
    <n v="300"/>
    <n v="1.6666666666666668E-3"/>
    <n v="30"/>
  </r>
  <r>
    <x v="1"/>
    <s v="Trứng hấp thập cẩmNấm mèo"/>
    <s v="Món mặn"/>
    <s v="Món Phụ"/>
    <x v="73"/>
    <x v="11"/>
    <n v="0.4"/>
    <n v="55000"/>
    <n v="300"/>
    <n v="1.3333333333333335E-3"/>
    <n v="73.333333333333329"/>
  </r>
  <r>
    <x v="1"/>
    <s v="Trứng hấp thập cẩmCà rốt"/>
    <s v="Món mặn"/>
    <s v="Món Phụ"/>
    <x v="73"/>
    <x v="26"/>
    <n v="3"/>
    <n v="16000"/>
    <n v="300"/>
    <n v="0.01"/>
    <n v="160"/>
  </r>
  <r>
    <x v="0"/>
    <s v="Vịt kho gừngVịt"/>
    <s v="Món mặn"/>
    <s v="Món chính"/>
    <x v="74"/>
    <x v="90"/>
    <n v="34"/>
    <n v="65000"/>
    <n v="368"/>
    <n v="9.2391304347826081E-2"/>
    <n v="6005.434782608696"/>
  </r>
  <r>
    <x v="1"/>
    <s v="Vịt kho gừngGừng"/>
    <s v="Món mặn"/>
    <s v="Món chính"/>
    <x v="74"/>
    <x v="111"/>
    <n v="0.5"/>
    <n v="30000"/>
    <n v="368"/>
    <n v="1.358695652173913E-3"/>
    <n v="40.760869565217391"/>
  </r>
  <r>
    <x v="0"/>
    <s v="Bún giò heoGiò heo"/>
    <s v="Món mặn"/>
    <s v="Món nước"/>
    <x v="75"/>
    <x v="112"/>
    <n v="18"/>
    <n v="60000"/>
    <n v="90"/>
    <n v="0.2"/>
    <n v="12000"/>
  </r>
  <r>
    <x v="0"/>
    <s v="Bún giò heoHuyết heo"/>
    <s v="Món mặn"/>
    <s v="Món nước"/>
    <x v="75"/>
    <x v="113"/>
    <n v="2"/>
    <n v="25000"/>
    <n v="85"/>
    <n v="2.3529411764705882E-2"/>
    <n v="588.23529411764707"/>
  </r>
  <r>
    <x v="1"/>
    <s v="Bún giò heoRau quế"/>
    <s v="Món mặn"/>
    <s v="Món nước"/>
    <x v="75"/>
    <x v="6"/>
    <n v="1"/>
    <n v="20000"/>
    <n v="85"/>
    <n v="1.1764705882352941E-2"/>
    <n v="235.29411764705881"/>
  </r>
  <r>
    <x v="1"/>
    <s v="Bún giò heoGiá "/>
    <s v="Món mặn"/>
    <s v="Món nước"/>
    <x v="75"/>
    <x v="81"/>
    <n v="3"/>
    <n v="8000"/>
    <n v="85"/>
    <n v="3.5294117647058823E-2"/>
    <n v="282.35294117647061"/>
  </r>
  <r>
    <x v="1"/>
    <s v="Bún giò heoHành tây"/>
    <s v="Món mặn"/>
    <s v="Món nước"/>
    <x v="75"/>
    <x v="58"/>
    <n v="2"/>
    <n v="11000"/>
    <n v="85"/>
    <n v="2.3529411764705882E-2"/>
    <n v="258.8235294117647"/>
  </r>
  <r>
    <x v="1"/>
    <s v="Bún giò heoHành lá"/>
    <s v="Món mặn"/>
    <s v="Món nước"/>
    <x v="75"/>
    <x v="8"/>
    <n v="1"/>
    <n v="18000"/>
    <n v="85"/>
    <n v="1.1764705882352941E-2"/>
    <n v="211.76470588235293"/>
  </r>
  <r>
    <x v="1"/>
    <s v="Bún giò heoChanh "/>
    <s v="Món mặn"/>
    <s v="Món nước"/>
    <x v="75"/>
    <x v="9"/>
    <n v="1"/>
    <n v="26000"/>
    <n v="85"/>
    <n v="1.1764705882352941E-2"/>
    <n v="305.88235294117646"/>
  </r>
  <r>
    <x v="1"/>
    <s v="Bún giò heoỚt"/>
    <s v="Món mặn"/>
    <s v="Món nước"/>
    <x v="75"/>
    <x v="10"/>
    <n v="0.5"/>
    <n v="30000"/>
    <n v="85"/>
    <n v="5.8823529411764705E-3"/>
    <n v="176.47058823529412"/>
  </r>
  <r>
    <x v="1"/>
    <s v="Rau muống nấu hếnRau muống"/>
    <s v="Món mặn"/>
    <s v="Món Canh"/>
    <x v="76"/>
    <x v="35"/>
    <n v="4"/>
    <n v="9000"/>
    <n v="125"/>
    <n v="3.2000000000000001E-2"/>
    <n v="288"/>
  </r>
  <r>
    <x v="1"/>
    <s v="Rau muống nấu hếnHến"/>
    <s v="Món mặn"/>
    <s v="Món Canh"/>
    <x v="76"/>
    <x v="114"/>
    <n v="0.3"/>
    <n v="110000"/>
    <n v="125"/>
    <n v="2.3999999999999998E-3"/>
    <n v="264"/>
  </r>
  <r>
    <x v="0"/>
    <s v="Đùi gà rô tyĐùi gà"/>
    <s v="Món mặn"/>
    <s v="Món chính"/>
    <x v="77"/>
    <x v="115"/>
    <n v="12"/>
    <n v="55000"/>
    <n v="68"/>
    <n v="0.17647058823529413"/>
    <n v="9705.8823529411766"/>
  </r>
  <r>
    <x v="0"/>
    <s v="Gà xé hành rau rămGà"/>
    <s v="Món mặn"/>
    <s v="Món chính"/>
    <x v="78"/>
    <x v="36"/>
    <n v="3"/>
    <n v="75000"/>
    <n v="40"/>
    <n v="7.4999999999999997E-2"/>
    <n v="5625"/>
  </r>
  <r>
    <x v="1"/>
    <s v="Gà xé hành rau rămRau răm"/>
    <s v="Món mặn"/>
    <s v="Món chính"/>
    <x v="78"/>
    <x v="38"/>
    <n v="0.3"/>
    <n v="20000"/>
    <n v="40"/>
    <n v="7.4999999999999997E-3"/>
    <n v="150"/>
  </r>
  <r>
    <x v="1"/>
    <s v="Gà xé hành rau rămHành tây"/>
    <s v="Món mặn"/>
    <s v="Món chính"/>
    <x v="78"/>
    <x v="58"/>
    <n v="2"/>
    <n v="10000"/>
    <n v="40"/>
    <n v="0.05"/>
    <n v="500"/>
  </r>
  <r>
    <x v="1"/>
    <s v="Củ cải xàoCủ cải"/>
    <s v="Món mặn"/>
    <s v="Món rau"/>
    <x v="55"/>
    <x v="65"/>
    <n v="22"/>
    <n v="8000"/>
    <n v="231"/>
    <n v="9.5238095238095233E-2"/>
    <n v="761.90476190476193"/>
  </r>
  <r>
    <x v="1"/>
    <s v="Đậu đũa xàoĐậu đũa"/>
    <s v="Món mặn"/>
    <s v="Món rau"/>
    <x v="79"/>
    <x v="116"/>
    <n v="10"/>
    <n v="8000"/>
    <n v="115"/>
    <n v="8.6956521739130432E-2"/>
    <n v="695.6521739130435"/>
  </r>
  <r>
    <x v="1"/>
    <s v="Sắn dây xàoSắn dây"/>
    <s v="Món mặn"/>
    <s v="Món rau"/>
    <x v="80"/>
    <x v="117"/>
    <n v="3.5"/>
    <n v="13000"/>
    <n v="43"/>
    <n v="8.1395348837209308E-2"/>
    <n v="1058.1395348837209"/>
  </r>
  <r>
    <x v="1"/>
    <s v="Tim xào giá hẹTim "/>
    <s v="Món mặn"/>
    <s v="Món Phụ"/>
    <x v="81"/>
    <x v="118"/>
    <n v="15.5"/>
    <n v="50000"/>
    <n v="257"/>
    <n v="6.0311284046692608E-2"/>
    <n v="3015.5642023346304"/>
  </r>
  <r>
    <x v="1"/>
    <s v="Tim xào giá hẹlá he"/>
    <s v="Món mặn"/>
    <s v="Món Phụ"/>
    <x v="81"/>
    <x v="119"/>
    <n v="1"/>
    <n v="50000"/>
    <n v="257"/>
    <n v="3.8910505836575876E-3"/>
    <n v="194.55252918287937"/>
  </r>
  <r>
    <x v="1"/>
    <s v="Tim xào giá hẹGiá"/>
    <s v="Món mặn"/>
    <s v="Món Phụ"/>
    <x v="81"/>
    <x v="7"/>
    <n v="18"/>
    <n v="8000"/>
    <n v="257"/>
    <n v="7.0038910505836577E-2"/>
    <n v="560.31128404669266"/>
  </r>
  <r>
    <x v="0"/>
    <s v="Bún chả cáChả cá lát đồng tiền"/>
    <s v="Món mặn"/>
    <s v="Món nước"/>
    <x v="82"/>
    <x v="120"/>
    <n v="10"/>
    <n v="90000"/>
    <n v="411"/>
    <n v="2.4330900243309004E-2"/>
    <n v="2189.7810218978102"/>
  </r>
  <r>
    <x v="0"/>
    <s v="Bún chả cáChả cá tấm chiên"/>
    <s v="Món mặn"/>
    <s v="Món nước"/>
    <x v="82"/>
    <x v="121"/>
    <n v="9"/>
    <n v="90000"/>
    <n v="411"/>
    <n v="2.1897810218978103E-2"/>
    <n v="1970.8029197080291"/>
  </r>
  <r>
    <x v="0"/>
    <s v="Bún chả cáChả cá hấp"/>
    <s v="Món mặn"/>
    <s v="Món nước"/>
    <x v="82"/>
    <x v="122"/>
    <n v="8.5"/>
    <n v="90000"/>
    <n v="411"/>
    <n v="2.0681265206812651E-2"/>
    <n v="1861.3138686131388"/>
  </r>
  <r>
    <x v="1"/>
    <s v="Bún chả cáSu trắng"/>
    <s v="Món mặn"/>
    <s v="Món nước"/>
    <x v="82"/>
    <x v="17"/>
    <n v="2"/>
    <n v="8000"/>
    <n v="86"/>
    <n v="2.3255813953488372E-2"/>
    <n v="186.04651162790697"/>
  </r>
  <r>
    <x v="1"/>
    <s v="Bún chả cáRau quế"/>
    <s v="Món mặn"/>
    <s v="Món nước"/>
    <x v="82"/>
    <x v="6"/>
    <n v="0.5"/>
    <n v="15000"/>
    <n v="86"/>
    <n v="5.8139534883720929E-3"/>
    <n v="87.20930232558139"/>
  </r>
  <r>
    <x v="1"/>
    <s v="Bún chả cáHành lá"/>
    <s v="Món mặn"/>
    <s v="Món nước"/>
    <x v="82"/>
    <x v="8"/>
    <n v="0.8"/>
    <n v="18000"/>
    <n v="86"/>
    <n v="9.3023255813953487E-3"/>
    <n v="167.44186046511629"/>
  </r>
  <r>
    <x v="1"/>
    <s v="Bún chả cáHành tây"/>
    <s v="Món mặn"/>
    <s v="Món nước"/>
    <x v="82"/>
    <x v="58"/>
    <n v="0.8"/>
    <n v="11000"/>
    <n v="86"/>
    <n v="9.3023255813953487E-3"/>
    <n v="102.32558139534883"/>
  </r>
  <r>
    <x v="1"/>
    <s v="Bún chả cáBí đỏ"/>
    <s v="Món mặn"/>
    <s v="Món nước"/>
    <x v="82"/>
    <x v="71"/>
    <n v="2.5"/>
    <n v="11000"/>
    <n v="86"/>
    <n v="2.9069767441860465E-2"/>
    <n v="319.76744186046511"/>
  </r>
  <r>
    <x v="1"/>
    <s v="Bún chả cáỚt xanh huế"/>
    <s v="Món mặn"/>
    <s v="Món nước"/>
    <x v="82"/>
    <x v="123"/>
    <n v="0.5"/>
    <n v="30000"/>
    <n v="86"/>
    <n v="5.8139534883720929E-3"/>
    <n v="174.41860465116278"/>
  </r>
  <r>
    <x v="1"/>
    <s v="Bún chả cáGiá"/>
    <s v="Món mặn"/>
    <s v="Món nước"/>
    <x v="82"/>
    <x v="7"/>
    <n v="1.7"/>
    <n v="8000"/>
    <n v="86"/>
    <n v="1.9767441860465116E-2"/>
    <n v="158.13953488372093"/>
  </r>
  <r>
    <x v="1"/>
    <s v="Bún chả cáChanh"/>
    <s v="Món mặn"/>
    <s v="Món nước"/>
    <x v="82"/>
    <x v="20"/>
    <n v="0.5"/>
    <n v="26000"/>
    <n v="86"/>
    <n v="5.8139534883720929E-3"/>
    <n v="151.16279069767441"/>
  </r>
  <r>
    <x v="0"/>
    <s v="Cá phèn mắm tỏiCá phèn"/>
    <s v="Món mặn"/>
    <s v="Món chính"/>
    <x v="83"/>
    <x v="45"/>
    <n v="0.12"/>
    <n v="37000"/>
    <n v="1"/>
    <n v="0.12"/>
    <n v="4440"/>
  </r>
  <r>
    <x v="0"/>
    <s v="Gà kho măngGà DL"/>
    <s v="Món mặn"/>
    <s v="Món chính"/>
    <x v="84"/>
    <x v="124"/>
    <n v="42"/>
    <n v="45000"/>
    <n v="461"/>
    <n v="9.1106290672451198E-2"/>
    <n v="4099.7830802603039"/>
  </r>
  <r>
    <x v="1"/>
    <s v="Gà kho măngSả"/>
    <s v="Món mặn"/>
    <s v="Món chính"/>
    <x v="84"/>
    <x v="47"/>
    <n v="3"/>
    <n v="8000"/>
    <n v="461"/>
    <n v="6.5075921908893707E-3"/>
    <n v="52.060737527114966"/>
  </r>
  <r>
    <x v="1"/>
    <s v="Gà kho măngMăng"/>
    <s v="Món mặn"/>
    <s v="Món chính"/>
    <x v="84"/>
    <x v="91"/>
    <n v="14"/>
    <n v="25000"/>
    <n v="461"/>
    <n v="3.0368763557483729E-2"/>
    <n v="759.21908893709326"/>
  </r>
  <r>
    <x v="0"/>
    <s v="Chả rim trứng cútChả cá tấm"/>
    <s v="Món mặn"/>
    <s v="Món Phụ"/>
    <x v="85"/>
    <x v="125"/>
    <n v="0.02"/>
    <n v="90000"/>
    <n v="1"/>
    <n v="0.02"/>
    <n v="1800"/>
  </r>
  <r>
    <x v="0"/>
    <s v="Chả rim trứng cútTrứng cút"/>
    <s v="Món mặn"/>
    <s v="Món Phụ"/>
    <x v="85"/>
    <x v="94"/>
    <n v="3"/>
    <n v="600"/>
    <n v="1"/>
    <n v="3"/>
    <n v="1800"/>
  </r>
  <r>
    <x v="0"/>
    <s v="Gà kho sảGà DL"/>
    <s v="Món mặn"/>
    <s v="Món chính"/>
    <x v="86"/>
    <x v="124"/>
    <n v="11"/>
    <n v="50000"/>
    <n v="100"/>
    <n v="0.11"/>
    <n v="5500"/>
  </r>
  <r>
    <x v="1"/>
    <s v="Gà kho sảSả"/>
    <s v="Món mặn"/>
    <s v="Món chính"/>
    <x v="86"/>
    <x v="47"/>
    <n v="4"/>
    <n v="8000"/>
    <n v="390"/>
    <n v="1.0256410256410256E-2"/>
    <n v="82.051282051282058"/>
  </r>
  <r>
    <x v="0"/>
    <s v="Thịt heo kho trứngThịt nạc vai"/>
    <s v="Món mặn"/>
    <s v="Món chính"/>
    <x v="87"/>
    <x v="126"/>
    <n v="10"/>
    <n v="100000"/>
    <n v="420"/>
    <n v="2.3809523809523808E-2"/>
    <n v="2380.9523809523807"/>
  </r>
  <r>
    <x v="0"/>
    <s v="Thịt heo kho trứngThịt nọng"/>
    <s v="Món mặn"/>
    <s v="Món chính"/>
    <x v="87"/>
    <x v="32"/>
    <n v="6.8"/>
    <n v="70000"/>
    <n v="420"/>
    <n v="1.6190476190476189E-2"/>
    <n v="1133.3333333333333"/>
  </r>
  <r>
    <x v="0"/>
    <s v="Thịt heo kho trứngTrứng cút"/>
    <s v="Món mặn"/>
    <s v="Món chính"/>
    <x v="87"/>
    <x v="94"/>
    <n v="2"/>
    <n v="600"/>
    <n v="2"/>
    <n v="1"/>
    <n v="600"/>
  </r>
  <r>
    <x v="0"/>
    <s v="Thịt kho đậu khuônThịt nạc vai"/>
    <s v="Món mặn"/>
    <s v="Món chính"/>
    <x v="88"/>
    <x v="126"/>
    <n v="2"/>
    <n v="85000"/>
    <n v="100"/>
    <n v="0.02"/>
    <n v="1700"/>
  </r>
  <r>
    <x v="0"/>
    <s v="Thịt kho đậu khuônThịt nọng"/>
    <s v="Món mặn"/>
    <s v="Món chính"/>
    <x v="88"/>
    <x v="32"/>
    <n v="1.5"/>
    <n v="65000"/>
    <n v="100"/>
    <n v="1.4999999999999999E-2"/>
    <n v="975"/>
  </r>
  <r>
    <x v="0"/>
    <s v="Thịt kho đậu khuônĐậu khuôn"/>
    <s v="Món mặn"/>
    <s v="Món chính"/>
    <x v="88"/>
    <x v="68"/>
    <n v="2"/>
    <n v="1600"/>
    <n v="3"/>
    <n v="0.66666666666666663"/>
    <n v="1066.6666666666667"/>
  </r>
  <r>
    <x v="0"/>
    <s v="Cá chim mắm tỏiCá chim"/>
    <s v="Món mặn"/>
    <s v="Món chính"/>
    <x v="89"/>
    <x v="30"/>
    <n v="0.15"/>
    <n v="37000"/>
    <n v="1"/>
    <n v="0.15"/>
    <n v="5550"/>
  </r>
  <r>
    <x v="0"/>
    <s v="Giò heo kho măngGiò heo"/>
    <s v="Món mặn"/>
    <s v="Món chính"/>
    <x v="90"/>
    <x v="112"/>
    <n v="11"/>
    <n v="30000"/>
    <n v="91"/>
    <n v="0.12087912087912088"/>
    <n v="3626.3736263736264"/>
  </r>
  <r>
    <x v="1"/>
    <s v="Giò heo kho măngMăng vàng"/>
    <s v="Món mặn"/>
    <s v="Món chính"/>
    <x v="90"/>
    <x v="75"/>
    <n v="3.6"/>
    <n v="25000"/>
    <n v="91"/>
    <n v="3.9560439560439559E-2"/>
    <n v="989.01098901098896"/>
  </r>
  <r>
    <x v="0"/>
    <s v="Chả viên sốt càChả quết"/>
    <s v="Món mặn"/>
    <s v="Món Phụ"/>
    <x v="91"/>
    <x v="79"/>
    <n v="1.5"/>
    <n v="120000"/>
    <n v="100"/>
    <n v="1.4999999999999999E-2"/>
    <n v="1800"/>
  </r>
  <r>
    <x v="0"/>
    <s v="Chả viên sốt càThịt xay"/>
    <s v="Món mặn"/>
    <s v="Món Phụ"/>
    <x v="91"/>
    <x v="2"/>
    <n v="2"/>
    <n v="80000"/>
    <n v="100"/>
    <n v="0.02"/>
    <n v="1600"/>
  </r>
  <r>
    <x v="1"/>
    <s v="Chả viên sốt càCà chua"/>
    <s v="Món mặn"/>
    <s v="Món Phụ"/>
    <x v="91"/>
    <x v="31"/>
    <n v="1"/>
    <n v="20000"/>
    <n v="100"/>
    <n v="0.01"/>
    <n v="200"/>
  </r>
  <r>
    <x v="1"/>
    <s v="Rau lang xàoRau lang xào"/>
    <s v="Món mặn"/>
    <s v="Món rau"/>
    <x v="92"/>
    <x v="127"/>
    <n v="8.5"/>
    <n v="18000"/>
    <n v="100"/>
    <n v="8.5000000000000006E-2"/>
    <n v="1530"/>
  </r>
  <r>
    <x v="0"/>
    <s v="Bồ ngốt thịt bằmBồ ngót"/>
    <s v="Món mặn"/>
    <s v="Món Canh"/>
    <x v="93"/>
    <x v="55"/>
    <n v="3"/>
    <n v="12000"/>
    <n v="125"/>
    <n v="2.4E-2"/>
    <n v="288"/>
  </r>
  <r>
    <x v="1"/>
    <s v="Bồ ngốt thịt bằmThịt bằm"/>
    <s v="Món mặn"/>
    <s v="Món Canh"/>
    <x v="93"/>
    <x v="69"/>
    <n v="0.4"/>
    <n v="80000"/>
    <n v="125"/>
    <n v="3.2000000000000002E-3"/>
    <n v="256"/>
  </r>
  <r>
    <x v="0"/>
    <s v="Cơm gà xé trộnGà tươi"/>
    <s v="Món mặn"/>
    <s v="Món chính"/>
    <x v="94"/>
    <x v="128"/>
    <n v="9.5"/>
    <n v="75000"/>
    <n v="95"/>
    <n v="0.1"/>
    <n v="7500"/>
  </r>
  <r>
    <x v="1"/>
    <s v="Cơm gà xé trộnHành tây"/>
    <s v="Món mặn"/>
    <s v="Món chính"/>
    <x v="94"/>
    <x v="58"/>
    <n v="3.5"/>
    <n v="11000"/>
    <n v="85"/>
    <n v="4.1176470588235294E-2"/>
    <n v="452.94117647058823"/>
  </r>
  <r>
    <x v="1"/>
    <s v="Cơm gà xé trộnRau răm"/>
    <s v="Món mặn"/>
    <s v="Món chính"/>
    <x v="94"/>
    <x v="38"/>
    <n v="1"/>
    <n v="20000"/>
    <n v="85"/>
    <n v="1.1764705882352941E-2"/>
    <n v="235.29411764705881"/>
  </r>
  <r>
    <x v="1"/>
    <s v="Cơm gà xé trộnCà rốt"/>
    <s v="Món mặn"/>
    <s v="Món chính"/>
    <x v="94"/>
    <x v="26"/>
    <n v="4"/>
    <n v="15000"/>
    <n v="85"/>
    <n v="4.7058823529411764E-2"/>
    <n v="705.88235294117646"/>
  </r>
  <r>
    <x v="1"/>
    <s v="Cơm gà xé trộnKhoai tây"/>
    <s v="Món mặn"/>
    <s v="Món chính"/>
    <x v="94"/>
    <x v="42"/>
    <n v="3"/>
    <n v="17000"/>
    <n v="85"/>
    <n v="3.5294117647058823E-2"/>
    <n v="600"/>
  </r>
  <r>
    <x v="0"/>
    <s v="Cơm gà xé trộnLòng gà"/>
    <s v="Món mặn"/>
    <s v="Món chính"/>
    <x v="94"/>
    <x v="129"/>
    <n v="5"/>
    <n v="8000"/>
    <n v="95"/>
    <n v="5.2631578947368418E-2"/>
    <n v="421.05263157894734"/>
  </r>
  <r>
    <x v="0"/>
    <s v="Tôm rimTôm"/>
    <s v="Món mặn"/>
    <s v="Món chính"/>
    <x v="95"/>
    <x v="14"/>
    <n v="1"/>
    <n v="115000"/>
    <n v="24"/>
    <n v="4.1666666666666664E-2"/>
    <n v="4791.666666666667"/>
  </r>
  <r>
    <x v="0"/>
    <s v="Cá cơm khoCá cơm"/>
    <s v="Món mặn"/>
    <s v="Món chính"/>
    <x v="96"/>
    <x v="130"/>
    <n v="9"/>
    <n v="40000"/>
    <n v="100"/>
    <n v="0.09"/>
    <n v="3600"/>
  </r>
  <r>
    <x v="1"/>
    <s v="Heo xào cải chuaCải chua"/>
    <s v="Món mặn"/>
    <s v="Món Phụ"/>
    <x v="97"/>
    <x v="131"/>
    <n v="5"/>
    <n v="24000"/>
    <n v="100"/>
    <n v="0.05"/>
    <n v="1200"/>
  </r>
  <r>
    <x v="0"/>
    <s v="Heo xào cải chuaHeo nọng"/>
    <s v="Món mặn"/>
    <s v="Món Phụ"/>
    <x v="97"/>
    <x v="74"/>
    <n v="2"/>
    <n v="65000"/>
    <n v="100"/>
    <n v="0.02"/>
    <n v="1300"/>
  </r>
  <r>
    <x v="0"/>
    <s v="Heo xào cải chuaNạc vai"/>
    <s v="Món mặn"/>
    <s v="Món Phụ"/>
    <x v="97"/>
    <x v="33"/>
    <n v="1.5"/>
    <n v="100000"/>
    <n v="100"/>
    <n v="1.4999999999999999E-2"/>
    <n v="1500"/>
  </r>
  <r>
    <x v="0"/>
    <s v="Mỳ Quảng GàGà"/>
    <s v="Món mặn"/>
    <s v="Món nước"/>
    <x v="98"/>
    <x v="36"/>
    <n v="12"/>
    <n v="50000"/>
    <n v="100"/>
    <n v="0.12"/>
    <n v="6000"/>
  </r>
  <r>
    <x v="0"/>
    <s v="Mỳ Quảng GàTrứng gà"/>
    <s v="Món mặn"/>
    <s v="Món nước"/>
    <x v="98"/>
    <x v="13"/>
    <n v="64"/>
    <n v="2167"/>
    <n v="123"/>
    <n v="0.52032520325203258"/>
    <n v="1127.5447154471544"/>
  </r>
  <r>
    <x v="1"/>
    <s v="Mỳ Quảng GàBánh tráng"/>
    <s v="Món mặn"/>
    <s v="Món nước"/>
    <x v="98"/>
    <x v="15"/>
    <n v="1"/>
    <n v="3000"/>
    <n v="6"/>
    <n v="0.16666666666666666"/>
    <n v="500"/>
  </r>
  <r>
    <x v="1"/>
    <s v="Mỳ Quảng GàXà lách "/>
    <s v="Món mặn"/>
    <s v="Món nước"/>
    <x v="98"/>
    <x v="16"/>
    <n v="2.5"/>
    <n v="25000"/>
    <n v="123"/>
    <n v="2.032520325203252E-2"/>
    <n v="508.130081300813"/>
  </r>
  <r>
    <x v="1"/>
    <s v="Mỳ Quảng GàSu trắng"/>
    <s v="Món mặn"/>
    <s v="Món nước"/>
    <x v="98"/>
    <x v="17"/>
    <n v="2"/>
    <n v="10000"/>
    <n v="123"/>
    <n v="1.6260162601626018E-2"/>
    <n v="162.60162601626016"/>
  </r>
  <r>
    <x v="1"/>
    <s v="Mỳ Quảng GàGiá"/>
    <s v="Món mặn"/>
    <s v="Món nước"/>
    <x v="98"/>
    <x v="7"/>
    <n v="2"/>
    <n v="8000"/>
    <n v="123"/>
    <n v="1.6260162601626018E-2"/>
    <n v="130.08130081300814"/>
  </r>
  <r>
    <x v="1"/>
    <s v="Mỳ Quảng GàHành lá"/>
    <s v="Món mặn"/>
    <s v="Món nước"/>
    <x v="98"/>
    <x v="8"/>
    <n v="0.9"/>
    <n v="18000"/>
    <n v="123"/>
    <n v="7.3170731707317077E-3"/>
    <n v="131.70731707317074"/>
  </r>
  <r>
    <x v="1"/>
    <s v="Mỳ Quảng GàNgò gai"/>
    <s v="Món mặn"/>
    <s v="Món nước"/>
    <x v="98"/>
    <x v="18"/>
    <n v="1"/>
    <n v="36000"/>
    <n v="307"/>
    <n v="3.2573289902280132E-3"/>
    <n v="117.26384364820846"/>
  </r>
  <r>
    <x v="1"/>
    <s v="Mỳ Quảng GàQuế"/>
    <s v="Món mặn"/>
    <s v="Món nước"/>
    <x v="98"/>
    <x v="19"/>
    <n v="1"/>
    <n v="25000"/>
    <n v="123"/>
    <n v="8.130081300813009E-3"/>
    <n v="203.2520325203252"/>
  </r>
  <r>
    <x v="1"/>
    <s v="Mỳ Quảng GàChanh"/>
    <s v="Món mặn"/>
    <s v="Món nước"/>
    <x v="98"/>
    <x v="20"/>
    <n v="0.8"/>
    <n v="26000"/>
    <n v="123"/>
    <n v="6.5040650406504065E-3"/>
    <n v="169.10569105691056"/>
  </r>
  <r>
    <x v="1"/>
    <s v="Mỳ Quảng GàĐậu phộng rang"/>
    <s v="Món mặn"/>
    <s v="Món nước"/>
    <x v="98"/>
    <x v="132"/>
    <n v="0.5"/>
    <n v="50000"/>
    <n v="123"/>
    <n v="4.0650406504065045E-3"/>
    <n v="203.2520325203252"/>
  </r>
  <r>
    <x v="1"/>
    <s v="Mỳ Quảng GàỚt"/>
    <s v="Món mặn"/>
    <s v="Món nước"/>
    <x v="98"/>
    <x v="10"/>
    <n v="0.5"/>
    <n v="30000"/>
    <n v="123"/>
    <n v="4.0650406504065045E-3"/>
    <n v="121.95121951219512"/>
  </r>
  <r>
    <x v="0"/>
    <s v="Bún thịt nướngNạc vai"/>
    <s v="Món mặn"/>
    <s v="Món nước"/>
    <x v="99"/>
    <x v="33"/>
    <n v="8"/>
    <n v="100000"/>
    <n v="100"/>
    <n v="0.08"/>
    <n v="8000"/>
  </r>
  <r>
    <x v="1"/>
    <s v="Bún thịt nướngSả"/>
    <s v="Món mặn"/>
    <s v="Món nước"/>
    <x v="99"/>
    <x v="47"/>
    <n v="1"/>
    <n v="10000"/>
    <n v="100"/>
    <n v="0.01"/>
    <n v="100"/>
  </r>
  <r>
    <x v="1"/>
    <s v="Bún thịt nướngDưa leo"/>
    <s v="Món mặn"/>
    <s v="Món nước"/>
    <x v="99"/>
    <x v="133"/>
    <n v="2"/>
    <n v="10000"/>
    <n v="100"/>
    <n v="0.02"/>
    <n v="200"/>
  </r>
  <r>
    <x v="1"/>
    <s v="Bún thịt nướngĐu đủ xanh"/>
    <s v="Món mặn"/>
    <s v="Món nước"/>
    <x v="99"/>
    <x v="134"/>
    <n v="2"/>
    <n v="5000"/>
    <n v="100"/>
    <n v="0.02"/>
    <n v="100"/>
  </r>
  <r>
    <x v="1"/>
    <s v="Bún thịt nướngHành lá"/>
    <s v="Món mặn"/>
    <s v="Món nước"/>
    <x v="99"/>
    <x v="8"/>
    <n v="0.5"/>
    <n v="18000"/>
    <n v="100"/>
    <n v="5.0000000000000001E-3"/>
    <n v="90"/>
  </r>
  <r>
    <x v="1"/>
    <s v="Bún thịt nướngĐậu phộng rang"/>
    <s v="Món mặn"/>
    <s v="Món nước"/>
    <x v="99"/>
    <x v="132"/>
    <n v="0.7"/>
    <n v="50000"/>
    <n v="100"/>
    <n v="6.9999999999999993E-3"/>
    <n v="350"/>
  </r>
  <r>
    <x v="1"/>
    <s v="Bún thịt nướngXà lách"/>
    <s v="Món mặn"/>
    <s v="Món nước"/>
    <x v="99"/>
    <x v="103"/>
    <n v="2"/>
    <n v="25000"/>
    <n v="100"/>
    <n v="0.02"/>
    <n v="500"/>
  </r>
  <r>
    <x v="1"/>
    <s v="Bún thịt nướngQuế"/>
    <s v="Món mặn"/>
    <s v="Món nước"/>
    <x v="99"/>
    <x v="19"/>
    <n v="0.5"/>
    <n v="25000"/>
    <n v="100"/>
    <n v="5.0000000000000001E-3"/>
    <n v="125"/>
  </r>
  <r>
    <x v="1"/>
    <s v="Bún thịt nướngCà chua"/>
    <s v="Món mặn"/>
    <s v="Món nước"/>
    <x v="99"/>
    <x v="31"/>
    <n v="1.5"/>
    <n v="20000"/>
    <n v="100"/>
    <n v="1.4999999999999999E-2"/>
    <n v="300"/>
  </r>
  <r>
    <x v="0"/>
    <s v="Cá ngừ sốt càCá ngừ"/>
    <s v="Món mặn"/>
    <s v="Món chính"/>
    <x v="100"/>
    <x v="135"/>
    <n v="13"/>
    <n v="32000"/>
    <n v="100"/>
    <n v="0.13"/>
    <n v="4160"/>
  </r>
  <r>
    <x v="1"/>
    <s v="Cá ngừ sốt càCà chua"/>
    <s v="Món mặn"/>
    <s v="Món chính"/>
    <x v="100"/>
    <x v="31"/>
    <n v="2"/>
    <n v="20000"/>
    <n v="100"/>
    <n v="0.02"/>
    <n v="400"/>
  </r>
  <r>
    <x v="0"/>
    <s v="Cá ngừ kho dưaCá ngừ"/>
    <s v="Món mặn"/>
    <s v="Món chính"/>
    <x v="101"/>
    <x v="135"/>
    <n v="12"/>
    <n v="32000"/>
    <n v="100"/>
    <n v="0.12"/>
    <n v="3840"/>
  </r>
  <r>
    <x v="1"/>
    <s v="Cá ngừ kho dưaDưa trái muối"/>
    <s v="Món mặn"/>
    <s v="Món chính"/>
    <x v="101"/>
    <x v="136"/>
    <n v="3.5"/>
    <n v="15000"/>
    <n v="100"/>
    <n v="3.5000000000000003E-2"/>
    <n v="525"/>
  </r>
  <r>
    <x v="0"/>
    <s v="Heo rang cháy cạnhHeo nọng"/>
    <s v="Món mặn"/>
    <s v="Món Phụ"/>
    <x v="102"/>
    <x v="74"/>
    <n v="6"/>
    <n v="60000"/>
    <n v="100"/>
    <n v="0.06"/>
    <n v="3600"/>
  </r>
  <r>
    <x v="0"/>
    <s v="Giò heo kho sảGiò heo"/>
    <s v="Món mặn"/>
    <s v="Món chính"/>
    <x v="103"/>
    <x v="112"/>
    <n v="12"/>
    <n v="30000"/>
    <n v="100"/>
    <n v="0.12"/>
    <n v="3600"/>
  </r>
  <r>
    <x v="1"/>
    <s v="Giò heo kho sảSả"/>
    <s v="Món mặn"/>
    <s v="Món chính"/>
    <x v="103"/>
    <x v="47"/>
    <n v="2"/>
    <n v="10000"/>
    <n v="100"/>
    <n v="0.02"/>
    <n v="200"/>
  </r>
  <r>
    <x v="1"/>
    <s v="Cải ngọt xàoCải ngọt"/>
    <s v="Món mặn"/>
    <s v="Món rau"/>
    <x v="104"/>
    <x v="49"/>
    <n v="9"/>
    <n v="12000"/>
    <n v="100"/>
    <n v="0.09"/>
    <n v="1080"/>
  </r>
  <r>
    <x v="1"/>
    <s v="Su su xàoSu su"/>
    <s v="Món mặn"/>
    <s v="Món rau"/>
    <x v="105"/>
    <x v="137"/>
    <n v="9.5"/>
    <n v="12000"/>
    <n v="100"/>
    <n v="9.5000000000000001E-2"/>
    <n v="1140"/>
  </r>
  <r>
    <x v="1"/>
    <s v="Mồng tơi nấu tômMồng tơi"/>
    <s v="Món mặn"/>
    <s v="Món Canh"/>
    <x v="106"/>
    <x v="110"/>
    <n v="5"/>
    <n v="10000"/>
    <n v="100"/>
    <n v="0.05"/>
    <n v="500"/>
  </r>
  <r>
    <x v="0"/>
    <s v="Mồng tơi nấu tômTôm"/>
    <s v="Món mặn"/>
    <s v="Món Canh"/>
    <x v="106"/>
    <x v="14"/>
    <n v="0.4"/>
    <n v="120000"/>
    <n v="100"/>
    <n v="4.0000000000000001E-3"/>
    <n v="480"/>
  </r>
  <r>
    <x v="0"/>
    <s v="Cơm đùi gà rôtyĐùi gà tỏi"/>
    <s v="Món mặn"/>
    <s v="Món chính"/>
    <x v="107"/>
    <x v="138"/>
    <n v="1"/>
    <n v="55000"/>
    <n v="6"/>
    <n v="0.16666666666666666"/>
    <n v="9166.6666666666661"/>
  </r>
  <r>
    <x v="0"/>
    <s v="Cơm đùi gà rôtyTrứng gà"/>
    <s v="Món mặn"/>
    <s v="Món chính"/>
    <x v="107"/>
    <x v="13"/>
    <n v="80"/>
    <n v="230"/>
    <n v="100"/>
    <n v="0.8"/>
    <n v="184"/>
  </r>
  <r>
    <x v="1"/>
    <s v="Cơm đùi gà rôtyCà chua"/>
    <s v="Món mặn"/>
    <s v="Món chính"/>
    <x v="107"/>
    <x v="31"/>
    <n v="2"/>
    <n v="20000"/>
    <n v="100"/>
    <n v="0.02"/>
    <n v="400"/>
  </r>
  <r>
    <x v="1"/>
    <s v="Cơm đùi gà rôtyBí đỏ "/>
    <s v="Món mặn"/>
    <s v="Món chính"/>
    <x v="107"/>
    <x v="139"/>
    <n v="4"/>
    <n v="11000"/>
    <n v="100"/>
    <n v="0.04"/>
    <n v="440"/>
  </r>
  <r>
    <x v="0"/>
    <s v="Cơm đùi gà rôtyThịt xay"/>
    <s v="Món mặn"/>
    <s v="Món chính"/>
    <x v="107"/>
    <x v="2"/>
    <n v="0.4"/>
    <n v="80000"/>
    <n v="100"/>
    <n v="4.0000000000000001E-3"/>
    <n v="320"/>
  </r>
  <r>
    <x v="0"/>
    <s v="Thịt xay xào củ quảThịt xay"/>
    <s v="Món mặn"/>
    <s v="Món Phụ"/>
    <x v="108"/>
    <x v="2"/>
    <n v="1"/>
    <n v="80000"/>
    <n v="40"/>
    <n v="2.5000000000000001E-2"/>
    <n v="2000"/>
  </r>
  <r>
    <x v="1"/>
    <s v="Thịt xay xào củ quảCà rốt"/>
    <s v="Món mặn"/>
    <s v="Món Phụ"/>
    <x v="108"/>
    <x v="26"/>
    <n v="1"/>
    <n v="16000"/>
    <n v="30"/>
    <n v="3.3333333333333333E-2"/>
    <n v="533.33333333333337"/>
  </r>
  <r>
    <x v="1"/>
    <s v="Thịt xay xào củ quảKhoai tây"/>
    <s v="Món mặn"/>
    <s v="Món Phụ"/>
    <x v="108"/>
    <x v="42"/>
    <n v="1"/>
    <n v="13000"/>
    <n v="30"/>
    <n v="3.3333333333333333E-2"/>
    <n v="433.33333333333331"/>
  </r>
  <r>
    <x v="1"/>
    <s v="Thịt xay xào củ quảNấm mèo"/>
    <s v="Món mặn"/>
    <s v="Món Phụ"/>
    <x v="108"/>
    <x v="11"/>
    <n v="0.1"/>
    <n v="110000"/>
    <n v="40"/>
    <n v="2.5000000000000001E-3"/>
    <n v="275"/>
  </r>
  <r>
    <x v="0"/>
    <s v="Chả kho đậu khuônChả cá tấm chiên"/>
    <s v="Món mặn"/>
    <s v="Món Phụ"/>
    <x v="109"/>
    <x v="121"/>
    <n v="3"/>
    <n v="90000"/>
    <n v="100"/>
    <n v="0.03"/>
    <n v="2700"/>
  </r>
  <r>
    <x v="0"/>
    <s v="Chả kho đậu khuônĐậu khuôn chiên"/>
    <s v="Món mặn"/>
    <s v="Món Phụ"/>
    <x v="109"/>
    <x v="140"/>
    <n v="2"/>
    <n v="1600"/>
    <n v="3"/>
    <n v="0.66666666666666663"/>
    <n v="1066.6666666666667"/>
  </r>
  <r>
    <x v="0"/>
    <s v="Bún gà nấu nấmGà DL"/>
    <s v="Món mặn"/>
    <s v="Món chính"/>
    <x v="110"/>
    <x v="124"/>
    <n v="11"/>
    <n v="50000"/>
    <n v="100"/>
    <n v="0.11"/>
    <n v="5500"/>
  </r>
  <r>
    <x v="1"/>
    <s v="Bún gà nấu nấmNấm dai"/>
    <s v="Món mặn"/>
    <s v="Món chính"/>
    <x v="110"/>
    <x v="141"/>
    <n v="0.02"/>
    <n v="16000"/>
    <n v="1"/>
    <n v="0.02"/>
    <n v="320"/>
  </r>
  <r>
    <x v="1"/>
    <s v="Bún gà nấu nấmNấm đùi gà"/>
    <s v="Món mặn"/>
    <s v="Món chính"/>
    <x v="110"/>
    <x v="142"/>
    <n v="1.4999999999999999E-2"/>
    <n v="40000"/>
    <n v="1"/>
    <n v="1.4999999999999999E-2"/>
    <n v="600"/>
  </r>
  <r>
    <x v="1"/>
    <s v="Bún gà nấu nấmỚt xiêm"/>
    <s v="Món mặn"/>
    <s v="Món chính"/>
    <x v="110"/>
    <x v="143"/>
    <n v="1"/>
    <n v="40000"/>
    <n v="100"/>
    <n v="0.01"/>
    <n v="400"/>
  </r>
  <r>
    <x v="1"/>
    <s v="Bún gà nấu nấmHành lá"/>
    <s v="Món mặn"/>
    <s v="Món chính"/>
    <x v="110"/>
    <x v="8"/>
    <n v="1"/>
    <n v="18000"/>
    <n v="100"/>
    <n v="0.01"/>
    <n v="180"/>
  </r>
  <r>
    <x v="1"/>
    <s v="Bún gà nấu nấmNgò gai"/>
    <s v="Món mặn"/>
    <s v="Món chính"/>
    <x v="110"/>
    <x v="18"/>
    <n v="0.5"/>
    <n v="36000"/>
    <n v="100"/>
    <n v="5.0000000000000001E-3"/>
    <n v="180"/>
  </r>
  <r>
    <x v="1"/>
    <s v="Bún gà nấu nấmHành tây"/>
    <s v="Món mặn"/>
    <s v="Món chính"/>
    <x v="110"/>
    <x v="58"/>
    <n v="1"/>
    <n v="11000"/>
    <n v="100"/>
    <n v="0.01"/>
    <n v="110"/>
  </r>
  <r>
    <x v="1"/>
    <s v="Bún gà nấu nấmCủ cải"/>
    <s v="Món mặn"/>
    <s v="Món chính"/>
    <x v="110"/>
    <x v="65"/>
    <n v="2"/>
    <n v="10000"/>
    <n v="100"/>
    <n v="0.02"/>
    <n v="200"/>
  </r>
  <r>
    <x v="1"/>
    <s v="Bún gà nấu nấmCà rốt"/>
    <s v="Món mặn"/>
    <s v="Món chính"/>
    <x v="110"/>
    <x v="26"/>
    <n v="2"/>
    <n v="16000"/>
    <n v="100"/>
    <n v="0.02"/>
    <n v="320"/>
  </r>
  <r>
    <x v="1"/>
    <s v="Bún gà nấu nấmChanh"/>
    <s v="Món mặn"/>
    <s v="Món chính"/>
    <x v="110"/>
    <x v="20"/>
    <n v="1"/>
    <n v="20000"/>
    <n v="100"/>
    <n v="0.01"/>
    <n v="200"/>
  </r>
  <r>
    <x v="0"/>
    <s v="Thịt heo kho chảThịt  heo nọng"/>
    <s v="Món mặn"/>
    <s v="Món chính"/>
    <x v="111"/>
    <x v="144"/>
    <n v="3.5"/>
    <n v="65000"/>
    <n v="100"/>
    <n v="3.5000000000000003E-2"/>
    <n v="2275"/>
  </r>
  <r>
    <x v="0"/>
    <s v="Thịt heo kho chảChả cá tấm chiên"/>
    <s v="Món mặn"/>
    <s v="Món chính"/>
    <x v="111"/>
    <x v="121"/>
    <n v="2.5"/>
    <n v="85000"/>
    <n v="100"/>
    <n v="2.5000000000000001E-2"/>
    <n v="2125"/>
  </r>
  <r>
    <x v="0"/>
    <s v="Mỳ Thịt xíu trứngHeo đùi mông"/>
    <s v="Món mặn"/>
    <s v="Món nước"/>
    <x v="112"/>
    <x v="0"/>
    <n v="5"/>
    <n v="100000"/>
    <n v="100"/>
    <n v="0.05"/>
    <n v="5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5">
  <r>
    <x v="0"/>
    <s v="Bún mọcHeo đùi mông"/>
    <s v="Món mặn"/>
    <s v="Món nước"/>
    <x v="0"/>
    <x v="0"/>
    <n v="10"/>
    <n v="100000"/>
    <n v="408"/>
    <n v="2.4509803921568627E-2"/>
    <n v="2450.9803921568628"/>
  </r>
  <r>
    <x v="0"/>
    <s v="Bún mọcChả quét"/>
    <s v="Món mặn"/>
    <s v="Món nước"/>
    <x v="0"/>
    <x v="1"/>
    <n v="6"/>
    <n v="120000"/>
    <n v="408"/>
    <n v="1.4705882352941176E-2"/>
    <n v="1764.7058823529412"/>
  </r>
  <r>
    <x v="0"/>
    <s v="Bún mọcThịt xay"/>
    <s v="Món mặn"/>
    <s v="Món nước"/>
    <x v="0"/>
    <x v="2"/>
    <n v="8"/>
    <n v="80000"/>
    <n v="408"/>
    <n v="1.9607843137254902E-2"/>
    <n v="1568.6274509803923"/>
  </r>
  <r>
    <x v="0"/>
    <s v="Bún mọcChả heo chín"/>
    <s v="Món mặn"/>
    <s v="Món nước"/>
    <x v="0"/>
    <x v="3"/>
    <n v="2.5"/>
    <n v="120000"/>
    <n v="408"/>
    <n v="6.1274509803921568E-3"/>
    <n v="735.29411764705878"/>
  </r>
  <r>
    <x v="0"/>
    <s v="Bún mọcDa heo"/>
    <s v="Món mặn"/>
    <s v="Món nước"/>
    <x v="0"/>
    <x v="4"/>
    <n v="9"/>
    <n v="30000"/>
    <n v="408"/>
    <n v="2.2058823529411766E-2"/>
    <n v="661.76470588235293"/>
  </r>
  <r>
    <x v="1"/>
    <s v="Bún mọcBún"/>
    <s v="Món mặn"/>
    <s v="Món nước"/>
    <x v="0"/>
    <x v="5"/>
    <n v="135"/>
    <n v="9500"/>
    <n v="443"/>
    <n v="0.30474040632054178"/>
    <n v="2895.0338600451469"/>
  </r>
  <r>
    <x v="1"/>
    <s v="Bún mọcRau quế"/>
    <s v="Món mặn"/>
    <s v="Món nước"/>
    <x v="0"/>
    <x v="6"/>
    <n v="3"/>
    <n v="15000"/>
    <n v="408"/>
    <n v="7.3529411764705881E-3"/>
    <n v="110.29411764705883"/>
  </r>
  <r>
    <x v="1"/>
    <s v="Bún mọcGiá"/>
    <s v="Món mặn"/>
    <s v="Món nước"/>
    <x v="0"/>
    <x v="7"/>
    <n v="5"/>
    <n v="8000"/>
    <n v="408"/>
    <n v="1.2254901960784314E-2"/>
    <n v="98.039215686274517"/>
  </r>
  <r>
    <x v="1"/>
    <s v="Bún mọcHành lá"/>
    <s v="Món mặn"/>
    <s v="Món nước"/>
    <x v="0"/>
    <x v="8"/>
    <n v="2.5"/>
    <n v="18000"/>
    <n v="408"/>
    <n v="6.1274509803921568E-3"/>
    <n v="110.29411764705883"/>
  </r>
  <r>
    <x v="1"/>
    <s v="Bún mọcChanh "/>
    <s v="Món mặn"/>
    <s v="Món nước"/>
    <x v="0"/>
    <x v="9"/>
    <n v="2"/>
    <n v="26000"/>
    <n v="408"/>
    <n v="4.9019607843137254E-3"/>
    <n v="127.45098039215686"/>
  </r>
  <r>
    <x v="1"/>
    <s v="Bún mọcỚt"/>
    <s v="Món mặn"/>
    <s v="Món nước"/>
    <x v="0"/>
    <x v="10"/>
    <n v="1"/>
    <n v="30000"/>
    <n v="408"/>
    <n v="2.4509803921568627E-3"/>
    <n v="73.529411764705884"/>
  </r>
  <r>
    <x v="1"/>
    <s v="Bún mọcNấm mèo"/>
    <s v="Món mặn"/>
    <s v="Món nước"/>
    <x v="0"/>
    <x v="11"/>
    <n v="0.5"/>
    <n v="55000"/>
    <n v="408"/>
    <n v="1.2254901960784314E-3"/>
    <n v="67.401960784313729"/>
  </r>
  <r>
    <x v="1"/>
    <s v="Trái câyCam"/>
    <s v="Món mặn"/>
    <s v="Món nước"/>
    <x v="1"/>
    <x v="12"/>
    <n v="15"/>
    <n v="18000"/>
    <n v="408"/>
    <n v="3.6764705882352942E-2"/>
    <n v="661.76470588235293"/>
  </r>
  <r>
    <x v="0"/>
    <s v="Mỳ Quảng Tôm ThịtHeo đùi mông"/>
    <s v="Món mặn"/>
    <s v="Món nước"/>
    <x v="2"/>
    <x v="0"/>
    <n v="4.3"/>
    <n v="100000"/>
    <n v="100"/>
    <n v="4.2999999999999997E-2"/>
    <n v="4300"/>
  </r>
  <r>
    <x v="0"/>
    <s v="Mỳ Quảng Tôm ThịtTrứng gà"/>
    <s v="Món mặn"/>
    <s v="Món nước"/>
    <x v="2"/>
    <x v="13"/>
    <n v="64"/>
    <n v="2167"/>
    <n v="123"/>
    <n v="0.52032520325203258"/>
    <n v="1127.5447154471544"/>
  </r>
  <r>
    <x v="0"/>
    <s v="Mỳ Quảng Tôm ThịtTôm"/>
    <s v="Món mặn"/>
    <s v="Món nước"/>
    <x v="2"/>
    <x v="14"/>
    <n v="6"/>
    <n v="115000"/>
    <n v="307"/>
    <n v="1.9543973941368076E-2"/>
    <n v="2247.5570032573291"/>
  </r>
  <r>
    <x v="1"/>
    <s v="Mỳ Quảng Tôm ThịtBánh tráng"/>
    <s v="Món mặn"/>
    <s v="Món nước"/>
    <x v="2"/>
    <x v="15"/>
    <n v="1"/>
    <n v="3000"/>
    <n v="6"/>
    <n v="0.16666666666666666"/>
    <n v="500"/>
  </r>
  <r>
    <x v="1"/>
    <s v="Mỳ Quảng Tôm ThịtXà lách "/>
    <s v="Món mặn"/>
    <s v="Món nước"/>
    <x v="2"/>
    <x v="16"/>
    <n v="2.5"/>
    <n v="25000"/>
    <n v="123"/>
    <n v="2.032520325203252E-2"/>
    <n v="508.130081300813"/>
  </r>
  <r>
    <x v="1"/>
    <s v="Mỳ Quảng Tôm ThịtSu trắng"/>
    <s v="Món mặn"/>
    <s v="Món nước"/>
    <x v="2"/>
    <x v="17"/>
    <n v="2"/>
    <n v="10000"/>
    <n v="123"/>
    <n v="1.6260162601626018E-2"/>
    <n v="162.60162601626016"/>
  </r>
  <r>
    <x v="1"/>
    <s v="Mỳ Quảng Tôm ThịtGiá"/>
    <s v="Món mặn"/>
    <s v="Món nước"/>
    <x v="2"/>
    <x v="7"/>
    <n v="2"/>
    <n v="8000"/>
    <n v="123"/>
    <n v="1.6260162601626018E-2"/>
    <n v="130.08130081300814"/>
  </r>
  <r>
    <x v="1"/>
    <s v="Mỳ Quảng Tôm ThịtHành lá"/>
    <s v="Món mặn"/>
    <s v="Món nước"/>
    <x v="2"/>
    <x v="8"/>
    <n v="0.9"/>
    <n v="18000"/>
    <n v="123"/>
    <n v="7.3170731707317077E-3"/>
    <n v="131.70731707317074"/>
  </r>
  <r>
    <x v="1"/>
    <s v="Mỳ Quảng Tôm ThịtNgò gai"/>
    <s v="Món mặn"/>
    <s v="Món nước"/>
    <x v="2"/>
    <x v="18"/>
    <n v="1"/>
    <n v="36000"/>
    <n v="307"/>
    <n v="3.2573289902280132E-3"/>
    <n v="117.26384364820846"/>
  </r>
  <r>
    <x v="1"/>
    <s v="Mỳ Quảng Tôm ThịtQuế"/>
    <s v="Món mặn"/>
    <s v="Món nước"/>
    <x v="2"/>
    <x v="19"/>
    <n v="1"/>
    <n v="15000"/>
    <n v="123"/>
    <n v="8.130081300813009E-3"/>
    <n v="121.95121951219512"/>
  </r>
  <r>
    <x v="1"/>
    <s v="Mỳ Quảng Tôm ThịtChanh"/>
    <s v="Món mặn"/>
    <s v="Món nước"/>
    <x v="2"/>
    <x v="20"/>
    <n v="0.5"/>
    <n v="26000"/>
    <n v="123"/>
    <n v="4.0650406504065045E-3"/>
    <n v="105.6910569105691"/>
  </r>
  <r>
    <x v="1"/>
    <s v="Mỳ Quảng Tôm ThịtỚt"/>
    <s v="Món mặn"/>
    <s v="Món nước"/>
    <x v="2"/>
    <x v="10"/>
    <n v="0.5"/>
    <n v="30000"/>
    <n v="123"/>
    <n v="4.0650406504065045E-3"/>
    <n v="121.95121951219512"/>
  </r>
  <r>
    <x v="1"/>
    <s v="Trái câyỔi"/>
    <s v="Món mặn"/>
    <s v="Món nước"/>
    <x v="1"/>
    <x v="21"/>
    <n v="6"/>
    <n v="17000"/>
    <n v="123"/>
    <n v="4.878048780487805E-2"/>
    <n v="829.26829268292681"/>
  </r>
  <r>
    <x v="1"/>
    <s v="MỳMỳ"/>
    <s v="Món mặn"/>
    <s v="Món nước"/>
    <x v="3"/>
    <x v="22"/>
    <n v="50"/>
    <n v="9400"/>
    <n v="125"/>
    <n v="0.4"/>
    <n v="3760"/>
  </r>
  <r>
    <x v="0"/>
    <s v="Cá kình kho thơmCá kình"/>
    <s v="Món mặn"/>
    <s v="Món chính"/>
    <x v="4"/>
    <x v="23"/>
    <n v="45"/>
    <n v="37000"/>
    <n v="300"/>
    <n v="0.15"/>
    <n v="5550"/>
  </r>
  <r>
    <x v="1"/>
    <s v="Cá kình kho thơmThơm"/>
    <s v="Món mặn"/>
    <s v="Món chính"/>
    <x v="4"/>
    <x v="24"/>
    <n v="7"/>
    <n v="18000"/>
    <n v="300"/>
    <n v="2.3333333333333334E-2"/>
    <n v="420"/>
  </r>
  <r>
    <x v="0"/>
    <s v="Thịt heo luộc giá chuaThịt đùi mông"/>
    <s v="Món mặn"/>
    <s v="Món Phụ"/>
    <x v="5"/>
    <x v="25"/>
    <n v="4.3"/>
    <n v="100000"/>
    <n v="100"/>
    <n v="4.2999999999999997E-2"/>
    <n v="4300"/>
  </r>
  <r>
    <x v="1"/>
    <s v="Thịt heo luộc giá chuaHành lá"/>
    <s v="Món mặn"/>
    <s v="Món Phụ"/>
    <x v="5"/>
    <x v="8"/>
    <n v="0.3"/>
    <n v="18000"/>
    <n v="100"/>
    <n v="3.0000000000000001E-3"/>
    <n v="54"/>
  </r>
  <r>
    <x v="1"/>
    <s v="Thịt heo luộc giá chuaGiá"/>
    <s v="Món mặn"/>
    <s v="Món Phụ"/>
    <x v="5"/>
    <x v="7"/>
    <n v="4"/>
    <n v="8000"/>
    <n v="100"/>
    <n v="0.04"/>
    <n v="320"/>
  </r>
  <r>
    <x v="1"/>
    <s v="Thịt heo luộc giá chuaCà rốt"/>
    <s v="Món mặn"/>
    <s v="Món Phụ"/>
    <x v="5"/>
    <x v="26"/>
    <n v="1"/>
    <n v="15000"/>
    <n v="100"/>
    <n v="0.01"/>
    <n v="150"/>
  </r>
  <r>
    <x v="1"/>
    <s v="Rau xào thập cẩmRau thập cẩm"/>
    <s v="Món mặn"/>
    <s v="Món rau"/>
    <x v="6"/>
    <x v="27"/>
    <n v="35"/>
    <n v="16000"/>
    <n v="438"/>
    <n v="7.9908675799086754E-2"/>
    <n v="1278.538812785388"/>
  </r>
  <r>
    <x v="1"/>
    <s v="Sữa chuaSữa chua"/>
    <s v="Món mặn"/>
    <s v="Tráng miệng"/>
    <x v="7"/>
    <x v="28"/>
    <n v="290"/>
    <n v="4620"/>
    <n v="290"/>
    <n v="1"/>
    <n v="4620"/>
  </r>
  <r>
    <x v="0"/>
    <s v="Cá nục kho xì dầuCá nục"/>
    <s v="Món mặn"/>
    <s v="Món chính"/>
    <x v="8"/>
    <x v="29"/>
    <n v="13"/>
    <n v="43000"/>
    <n v="110"/>
    <n v="0.11818181818181818"/>
    <n v="5081.818181818182"/>
  </r>
  <r>
    <x v="0"/>
    <s v="Cá chim kho càCá chim"/>
    <s v="Món mặn"/>
    <s v="Món chính"/>
    <x v="9"/>
    <x v="30"/>
    <n v="23"/>
    <n v="37000"/>
    <n v="134"/>
    <n v="0.17164179104477612"/>
    <n v="6350.746268656716"/>
  </r>
  <r>
    <x v="1"/>
    <s v="Cá chim kho càCà chua"/>
    <s v="Món mặn"/>
    <s v="Món chính"/>
    <x v="9"/>
    <x v="31"/>
    <n v="3"/>
    <n v="20000"/>
    <n v="134"/>
    <n v="2.2388059701492536E-2"/>
    <n v="447.76119402985074"/>
  </r>
  <r>
    <x v="0"/>
    <s v="Tôm thịt rimTôm"/>
    <s v="Món mặn"/>
    <s v="Món chính"/>
    <x v="10"/>
    <x v="14"/>
    <n v="2.5"/>
    <n v="115000"/>
    <n v="134"/>
    <n v="1.8656716417910446E-2"/>
    <n v="2145.5223880597014"/>
  </r>
  <r>
    <x v="0"/>
    <s v="Tôm thịt rimThịt nọng"/>
    <s v="Món mặn"/>
    <s v="Món chính"/>
    <x v="10"/>
    <x v="32"/>
    <n v="1.5"/>
    <n v="60000"/>
    <n v="134"/>
    <n v="1.1194029850746268E-2"/>
    <n v="671.64179104477614"/>
  </r>
  <r>
    <x v="0"/>
    <s v="Tôm thịt rimNạc vai"/>
    <s v="Món mặn"/>
    <s v="Món chính"/>
    <x v="10"/>
    <x v="33"/>
    <n v="3.5"/>
    <n v="100000"/>
    <n v="134"/>
    <n v="2.6119402985074626E-2"/>
    <n v="2611.9402985074626"/>
  </r>
  <r>
    <x v="1"/>
    <s v="Bí đao nấu tômBí đao"/>
    <s v="Món mặn"/>
    <s v="Món Canh"/>
    <x v="11"/>
    <x v="34"/>
    <n v="5"/>
    <n v="9000"/>
    <n v="136"/>
    <n v="3.6764705882352942E-2"/>
    <n v="330.88235294117646"/>
  </r>
  <r>
    <x v="0"/>
    <s v="Bí đao nấu tômTôm"/>
    <s v="Món mặn"/>
    <s v="Món Canh"/>
    <x v="11"/>
    <x v="14"/>
    <n v="0.5"/>
    <n v="115000"/>
    <n v="134"/>
    <n v="3.7313432835820895E-3"/>
    <n v="429.1044776119403"/>
  </r>
  <r>
    <x v="1"/>
    <s v="Rau muống xào tỏiRau muống"/>
    <s v="Món mặn"/>
    <s v="Món rau"/>
    <x v="12"/>
    <x v="35"/>
    <n v="12"/>
    <n v="6000"/>
    <n v="125"/>
    <n v="9.6000000000000002E-2"/>
    <n v="576"/>
  </r>
  <r>
    <x v="0"/>
    <s v="Gỏi gà xéGà"/>
    <s v="Món mặn"/>
    <s v="Món chính"/>
    <x v="13"/>
    <x v="36"/>
    <n v="35"/>
    <n v="45000"/>
    <n v="404"/>
    <n v="8.6633663366336627E-2"/>
    <n v="3898.5148514851485"/>
  </r>
  <r>
    <x v="1"/>
    <s v="Gỏi gà xéSu tím"/>
    <s v="Món mặn"/>
    <s v="Món chính"/>
    <x v="13"/>
    <x v="37"/>
    <n v="8"/>
    <n v="14000"/>
    <n v="404"/>
    <n v="1.9801980198019802E-2"/>
    <n v="277.22772277227722"/>
  </r>
  <r>
    <x v="1"/>
    <s v="Gỏi gà xéSu trắng"/>
    <s v="Món mặn"/>
    <s v="Món chính"/>
    <x v="13"/>
    <x v="17"/>
    <n v="10"/>
    <n v="11000"/>
    <n v="404"/>
    <n v="2.4752475247524754E-2"/>
    <n v="272.2772277227723"/>
  </r>
  <r>
    <x v="1"/>
    <s v="Gỏi gà xéRau răm"/>
    <s v="Món mặn"/>
    <s v="Món chính"/>
    <x v="13"/>
    <x v="38"/>
    <n v="1.5"/>
    <n v="20000"/>
    <n v="404"/>
    <n v="3.7128712871287127E-3"/>
    <n v="74.257425742574256"/>
  </r>
  <r>
    <x v="1"/>
    <s v="Gỏi gà xéCà Rốt"/>
    <s v="Món mặn"/>
    <s v="Món chính"/>
    <x v="13"/>
    <x v="26"/>
    <n v="10"/>
    <n v="15000"/>
    <n v="404"/>
    <n v="2.4752475247524754E-2"/>
    <n v="371.28712871287127"/>
  </r>
  <r>
    <x v="1"/>
    <s v="Mướp xào giáMướp"/>
    <s v="Món mặn"/>
    <s v="Món rau"/>
    <x v="14"/>
    <x v="39"/>
    <n v="32"/>
    <n v="10000"/>
    <n v="433"/>
    <n v="7.3903002309468821E-2"/>
    <n v="739.0300230946882"/>
  </r>
  <r>
    <x v="1"/>
    <s v="Mướp xào giáGiá"/>
    <s v="Món mặn"/>
    <s v="Món rau"/>
    <x v="14"/>
    <x v="7"/>
    <n v="17"/>
    <n v="8000"/>
    <n v="433"/>
    <n v="3.9260969976905313E-2"/>
    <n v="314.08775981524252"/>
  </r>
  <r>
    <x v="0"/>
    <s v="Chả cá sốt càChả cá"/>
    <s v="Món mặn"/>
    <s v="Món Phụ"/>
    <x v="15"/>
    <x v="40"/>
    <n v="270"/>
    <n v="1000"/>
    <n v="113"/>
    <n v="2.3893805309734515"/>
    <n v="2389.3805309734512"/>
  </r>
  <r>
    <x v="1"/>
    <s v="Chả cá sốt càCà chua"/>
    <s v="Món mặn"/>
    <s v="Món Phụ"/>
    <x v="15"/>
    <x v="31"/>
    <n v="3"/>
    <n v="20000"/>
    <n v="113"/>
    <n v="2.6548672566371681E-2"/>
    <n v="530.97345132743362"/>
  </r>
  <r>
    <x v="1"/>
    <s v="Dưa mónDưa món"/>
    <s v="Món mặn"/>
    <s v="Mắm "/>
    <x v="16"/>
    <x v="41"/>
    <n v="17"/>
    <n v="15000"/>
    <n v="404"/>
    <n v="4.2079207920792082E-2"/>
    <n v="631.18811881188117"/>
  </r>
  <r>
    <x v="1"/>
    <s v="Canh củ quảKhoai tây"/>
    <s v="Món mặn"/>
    <s v="Món Canh"/>
    <x v="17"/>
    <x v="42"/>
    <n v="4"/>
    <n v="17000"/>
    <n v="433"/>
    <n v="9.2378752886836026E-3"/>
    <n v="157.04387990762126"/>
  </r>
  <r>
    <x v="1"/>
    <s v="Canh củ quảCà rốt"/>
    <s v="Món mặn"/>
    <s v="Món Canh"/>
    <x v="17"/>
    <x v="26"/>
    <n v="5.5"/>
    <n v="15000"/>
    <n v="433"/>
    <n v="1.2702078521939953E-2"/>
    <n v="190.53117782909931"/>
  </r>
  <r>
    <x v="0"/>
    <s v="Canh củ quảThịt xay"/>
    <s v="Món mặn"/>
    <s v="Món Canh"/>
    <x v="17"/>
    <x v="2"/>
    <n v="1"/>
    <n v="80000"/>
    <n v="404"/>
    <n v="2.4752475247524753E-3"/>
    <n v="198.01980198019803"/>
  </r>
  <r>
    <x v="1"/>
    <s v="Trái câyChuối"/>
    <s v="Món mặn"/>
    <s v="Tráng miệng"/>
    <x v="1"/>
    <x v="43"/>
    <n v="450"/>
    <n v="1500"/>
    <n v="433"/>
    <n v="1.0392609699769053"/>
    <n v="1558.891454965358"/>
  </r>
  <r>
    <x v="1"/>
    <s v="CơmGạo"/>
    <s v="Món mặn"/>
    <s v="Cơm"/>
    <x v="18"/>
    <x v="44"/>
    <n v="60"/>
    <n v="15000"/>
    <n v="433"/>
    <n v="0.13856812933025403"/>
    <n v="2078.5219399538105"/>
  </r>
  <r>
    <x v="0"/>
    <s v="Cá phèn khoCá phèn"/>
    <s v="Món mặn"/>
    <s v="Món chính"/>
    <x v="19"/>
    <x v="45"/>
    <n v="4.2"/>
    <n v="37000"/>
    <n v="36"/>
    <n v="0.11666666666666667"/>
    <n v="4316.666666666667"/>
  </r>
  <r>
    <x v="0"/>
    <s v="Thịt heo kho sả ruốcThịt heo nọng nạc"/>
    <s v="Món mặn"/>
    <s v="Món chính"/>
    <x v="20"/>
    <x v="46"/>
    <n v="21"/>
    <n v="60000"/>
    <n v="300"/>
    <n v="7.0000000000000007E-2"/>
    <n v="4200"/>
  </r>
  <r>
    <x v="0"/>
    <s v="Thịt heo kho sả ruốcSả"/>
    <s v="Món mặn"/>
    <s v="Món chính"/>
    <x v="20"/>
    <x v="47"/>
    <n v="3.5"/>
    <n v="10000"/>
    <n v="300"/>
    <n v="1.1666666666666667E-2"/>
    <n v="116.66666666666667"/>
  </r>
  <r>
    <x v="0"/>
    <s v="Thịt heo kho sả ruốcMắm ruốc"/>
    <s v="Món mặn"/>
    <s v="Món chính"/>
    <x v="20"/>
    <x v="48"/>
    <n v="1.5"/>
    <n v="40000"/>
    <n v="300"/>
    <n v="5.0000000000000001E-3"/>
    <n v="200"/>
  </r>
  <r>
    <x v="0"/>
    <s v="Canh cải ngọt thịt bằmThịt xay"/>
    <s v="Món mặn"/>
    <s v="Món Canh"/>
    <x v="21"/>
    <x v="2"/>
    <n v="0.3"/>
    <n v="80000"/>
    <n v="100"/>
    <n v="3.0000000000000001E-3"/>
    <n v="240"/>
  </r>
  <r>
    <x v="1"/>
    <s v="Canh cải ngọt thịt bằmCải ngọt"/>
    <s v="Món mặn"/>
    <s v="Món Canh"/>
    <x v="21"/>
    <x v="49"/>
    <n v="1.5"/>
    <n v="8000"/>
    <n v="36"/>
    <n v="4.1666666666666664E-2"/>
    <n v="333.33333333333331"/>
  </r>
  <r>
    <x v="1"/>
    <s v="Cơm sườnCốt lết"/>
    <s v="Món mặn"/>
    <s v="Món chính"/>
    <x v="22"/>
    <x v="50"/>
    <n v="11.2"/>
    <n v="100000"/>
    <n v="91"/>
    <n v="0.12307692307692307"/>
    <n v="12307.692307692309"/>
  </r>
  <r>
    <x v="0"/>
    <s v="Cơm sườnTrứng gà"/>
    <s v="Món mặn"/>
    <s v="Món chính"/>
    <x v="22"/>
    <x v="13"/>
    <n v="85"/>
    <n v="2160"/>
    <n v="91"/>
    <n v="0.93406593406593408"/>
    <n v="2017.5824175824175"/>
  </r>
  <r>
    <x v="0"/>
    <s v="Cá basa kho nghệCá basa"/>
    <s v="Món mặn"/>
    <s v="Món chính"/>
    <x v="23"/>
    <x v="51"/>
    <n v="37"/>
    <n v="35000"/>
    <n v="300"/>
    <n v="0.12333333333333334"/>
    <n v="4316.666666666667"/>
  </r>
  <r>
    <x v="0"/>
    <s v="Gỏi tai heoTai mui heo"/>
    <s v="Món mặn"/>
    <s v="Món Phụ"/>
    <x v="24"/>
    <x v="52"/>
    <n v="9"/>
    <n v="70000"/>
    <n v="300"/>
    <n v="0.03"/>
    <n v="2100"/>
  </r>
  <r>
    <x v="1"/>
    <s v="Gỏi tai heoSu tím "/>
    <s v="Món mặn"/>
    <s v="Món Phụ"/>
    <x v="24"/>
    <x v="53"/>
    <n v="6"/>
    <n v="14000"/>
    <n v="300"/>
    <n v="0.02"/>
    <n v="280"/>
  </r>
  <r>
    <x v="1"/>
    <s v="Gỏi tai heoSu trắng"/>
    <s v="Món mặn"/>
    <s v="Món Phụ"/>
    <x v="24"/>
    <x v="17"/>
    <n v="8"/>
    <n v="10000"/>
    <n v="300"/>
    <n v="2.6666666666666668E-2"/>
    <n v="266.66666666666669"/>
  </r>
  <r>
    <x v="1"/>
    <s v="Gỏi tai heoCà rốt"/>
    <s v="Món mặn"/>
    <s v="Món Phụ"/>
    <x v="24"/>
    <x v="26"/>
    <n v="5"/>
    <n v="15000"/>
    <n v="300"/>
    <n v="1.6666666666666666E-2"/>
    <n v="250"/>
  </r>
  <r>
    <x v="1"/>
    <s v="Gỏi tai heoRau quế"/>
    <s v="Món mặn"/>
    <s v="Món Phụ"/>
    <x v="24"/>
    <x v="6"/>
    <n v="1.5"/>
    <n v="20000"/>
    <n v="300"/>
    <n v="5.0000000000000001E-3"/>
    <n v="100"/>
  </r>
  <r>
    <x v="1"/>
    <s v="Bầu xào giáGiá"/>
    <s v="Món mặn"/>
    <s v="Món rau"/>
    <x v="25"/>
    <x v="7"/>
    <n v="13"/>
    <n v="8000"/>
    <n v="323"/>
    <n v="4.0247678018575851E-2"/>
    <n v="321.98142414860683"/>
  </r>
  <r>
    <x v="1"/>
    <s v="Bầu xào giáBầu"/>
    <s v="Món mặn"/>
    <s v="Món rau"/>
    <x v="25"/>
    <x v="54"/>
    <n v="15"/>
    <n v="11000"/>
    <n v="323"/>
    <n v="4.6439628482972138E-2"/>
    <n v="510.83591331269349"/>
  </r>
  <r>
    <x v="1"/>
    <s v="Bồ ngốt nấu tômBồ ngót"/>
    <s v="Món mặn"/>
    <s v="Món Canh"/>
    <x v="26"/>
    <x v="55"/>
    <n v="10"/>
    <n v="12000"/>
    <n v="323"/>
    <n v="3.0959752321981424E-2"/>
    <n v="371.51702786377712"/>
  </r>
  <r>
    <x v="0"/>
    <s v="Bồ ngốt nấu tômTôm"/>
    <s v="Món mặn"/>
    <s v="Món Canh"/>
    <x v="26"/>
    <x v="14"/>
    <n v="1.5"/>
    <n v="115000"/>
    <n v="500"/>
    <n v="3.0000000000000001E-3"/>
    <n v="345"/>
  </r>
  <r>
    <x v="1"/>
    <s v="Trái câyThanh long"/>
    <s v="Món mặn"/>
    <s v="Tráng miệng"/>
    <x v="1"/>
    <x v="56"/>
    <n v="35"/>
    <n v="20000"/>
    <n v="323"/>
    <n v="0.10835913312693499"/>
    <n v="2167.1826625386998"/>
  </r>
  <r>
    <x v="1"/>
    <s v="Sữa chuaSữa chua"/>
    <s v="Món mặn"/>
    <s v="Sữa chua"/>
    <x v="7"/>
    <x v="28"/>
    <n v="91"/>
    <n v="4125"/>
    <n v="91"/>
    <n v="1"/>
    <n v="4125"/>
  </r>
  <r>
    <x v="0"/>
    <s v="Phở gàGà"/>
    <s v="Món mặn"/>
    <s v="Món nước"/>
    <x v="27"/>
    <x v="36"/>
    <n v="12"/>
    <n v="50000"/>
    <n v="100"/>
    <n v="0.12"/>
    <n v="6000"/>
  </r>
  <r>
    <x v="1"/>
    <s v="Phở gàPhở"/>
    <s v="Món mặn"/>
    <s v="Món nước"/>
    <x v="27"/>
    <x v="57"/>
    <n v="75"/>
    <n v="11500"/>
    <n v="249"/>
    <n v="0.30120481927710846"/>
    <n v="3463.8554216867469"/>
  </r>
  <r>
    <x v="1"/>
    <s v="Phở gàHành tây"/>
    <s v="Món mặn"/>
    <s v="Món nước"/>
    <x v="27"/>
    <x v="58"/>
    <n v="3"/>
    <n v="11000"/>
    <n v="249"/>
    <n v="1.2048192771084338E-2"/>
    <n v="132.53012048192772"/>
  </r>
  <r>
    <x v="1"/>
    <s v="Phở gàHành lá"/>
    <s v="Món mặn"/>
    <s v="Món nước"/>
    <x v="27"/>
    <x v="8"/>
    <n v="3"/>
    <n v="18000"/>
    <n v="249"/>
    <n v="1.2048192771084338E-2"/>
    <n v="216.86746987951807"/>
  </r>
  <r>
    <x v="1"/>
    <s v="Phở gàChanh"/>
    <s v="Món mặn"/>
    <s v="Món nước"/>
    <x v="27"/>
    <x v="20"/>
    <n v="2"/>
    <n v="26000"/>
    <n v="230"/>
    <n v="8.6956521739130436E-3"/>
    <n v="226.08695652173913"/>
  </r>
  <r>
    <x v="1"/>
    <s v="Phở gàỚt"/>
    <s v="Món mặn"/>
    <s v="Món nước"/>
    <x v="27"/>
    <x v="10"/>
    <n v="1"/>
    <n v="30000"/>
    <n v="230"/>
    <n v="4.3478260869565218E-3"/>
    <n v="130.43478260869566"/>
  </r>
  <r>
    <x v="1"/>
    <s v="Phở gàNgò gai"/>
    <s v="Món mặn"/>
    <s v="Món nước"/>
    <x v="27"/>
    <x v="18"/>
    <n v="1"/>
    <n v="36000"/>
    <n v="249"/>
    <n v="4.0160642570281121E-3"/>
    <n v="144.57831325301206"/>
  </r>
  <r>
    <x v="1"/>
    <s v="Phở gàRau quế"/>
    <s v="Món mặn"/>
    <s v="Món nước"/>
    <x v="27"/>
    <x v="6"/>
    <n v="1.5"/>
    <n v="20000"/>
    <n v="249"/>
    <n v="6.024096385542169E-3"/>
    <n v="120.48192771084338"/>
  </r>
  <r>
    <x v="1"/>
    <s v="Phở gàGiá"/>
    <s v="Món mặn"/>
    <s v="Món nước"/>
    <x v="27"/>
    <x v="7"/>
    <n v="4"/>
    <n v="8000"/>
    <n v="249"/>
    <n v="1.6064257028112448E-2"/>
    <n v="128.5140562248996"/>
  </r>
  <r>
    <x v="0"/>
    <s v="Cá đù khoCá đù"/>
    <s v="Món mặn"/>
    <s v="Món chính"/>
    <x v="28"/>
    <x v="59"/>
    <n v="12"/>
    <n v="45000"/>
    <n v="100"/>
    <n v="0.12"/>
    <n v="5400"/>
  </r>
  <r>
    <x v="0"/>
    <s v="Heo xíu xào giáHeo đùi mông"/>
    <s v="Món mặn"/>
    <s v="Món Phụ"/>
    <x v="29"/>
    <x v="0"/>
    <n v="3.5"/>
    <n v="100000"/>
    <n v="100"/>
    <n v="3.5000000000000003E-2"/>
    <n v="3500"/>
  </r>
  <r>
    <x v="1"/>
    <s v="Heo xíu xào giáGiá"/>
    <s v="Món mặn"/>
    <s v="Món Phụ"/>
    <x v="29"/>
    <x v="7"/>
    <n v="6"/>
    <n v="8000"/>
    <n v="100"/>
    <n v="0.06"/>
    <n v="480"/>
  </r>
  <r>
    <x v="1"/>
    <s v="Củ quả luộcCà rốt"/>
    <s v="Món mặn"/>
    <s v="Món rau"/>
    <x v="30"/>
    <x v="26"/>
    <n v="3"/>
    <n v="15000"/>
    <n v="119"/>
    <n v="2.5210084033613446E-2"/>
    <n v="378.15126050420167"/>
  </r>
  <r>
    <x v="1"/>
    <s v="Củ quả luộcKhoai tây"/>
    <s v="Món mặn"/>
    <s v="Món rau"/>
    <x v="30"/>
    <x v="42"/>
    <n v="3"/>
    <n v="17000"/>
    <n v="119"/>
    <n v="2.5210084033613446E-2"/>
    <n v="428.57142857142856"/>
  </r>
  <r>
    <x v="1"/>
    <s v="Củ quả luộcĐậu bắp"/>
    <s v="Món mặn"/>
    <s v="Món rau"/>
    <x v="30"/>
    <x v="60"/>
    <n v="3.5"/>
    <n v="12000"/>
    <n v="119"/>
    <n v="2.9411764705882353E-2"/>
    <n v="352.94117647058823"/>
  </r>
  <r>
    <x v="1"/>
    <s v="Bí đao nấu tômBí đao"/>
    <s v="Món mặn"/>
    <s v="Món Canh"/>
    <x v="11"/>
    <x v="34"/>
    <n v="4.5"/>
    <n v="10000"/>
    <n v="119"/>
    <n v="3.7815126050420166E-2"/>
    <n v="378.15126050420167"/>
  </r>
  <r>
    <x v="0"/>
    <s v="Bí đao nấu tômTôm"/>
    <s v="Món mặn"/>
    <s v="Món Canh"/>
    <x v="11"/>
    <x v="14"/>
    <n v="0.5"/>
    <n v="110000"/>
    <n v="119"/>
    <n v="4.2016806722689074E-3"/>
    <n v="462.18487394957981"/>
  </r>
  <r>
    <x v="1"/>
    <s v="Trái câyDưa hấu"/>
    <s v="Món mặn"/>
    <s v="Tráng miệng"/>
    <x v="1"/>
    <x v="61"/>
    <n v="12"/>
    <n v="12000"/>
    <n v="119"/>
    <n v="0.10084033613445378"/>
    <n v="1210.0840336134454"/>
  </r>
  <r>
    <x v="1"/>
    <s v="Sữa chuaSữa chua"/>
    <s v="Món mặn"/>
    <s v="Sữa chua"/>
    <x v="7"/>
    <x v="28"/>
    <n v="119"/>
    <n v="4375"/>
    <n v="119"/>
    <n v="1"/>
    <n v="4375"/>
  </r>
  <r>
    <x v="0"/>
    <s v="Cá hố khoCá hố"/>
    <s v="Món mặn"/>
    <s v="Món chính"/>
    <x v="31"/>
    <x v="62"/>
    <n v="40"/>
    <n v="60000"/>
    <n v="325"/>
    <n v="0.12307692307692308"/>
    <n v="7384.6153846153848"/>
  </r>
  <r>
    <x v="1"/>
    <s v="Mướp xào giáMướp"/>
    <s v="Món mặn"/>
    <s v="Món rau"/>
    <x v="14"/>
    <x v="39"/>
    <n v="20"/>
    <n v="10000"/>
    <n v="325"/>
    <n v="6.1538461538461542E-2"/>
    <n v="615.38461538461536"/>
  </r>
  <r>
    <x v="1"/>
    <s v="Mướp xào giáGiá"/>
    <s v="Món mặn"/>
    <s v="Món rau"/>
    <x v="14"/>
    <x v="7"/>
    <n v="20"/>
    <n v="8000"/>
    <n v="325"/>
    <n v="6.1538461538461542E-2"/>
    <n v="492.30769230769232"/>
  </r>
  <r>
    <x v="1"/>
    <s v="Trái câyỔi"/>
    <s v="Món mặn"/>
    <s v="Tráng miệng"/>
    <x v="1"/>
    <x v="21"/>
    <n v="30"/>
    <n v="17000"/>
    <n v="415"/>
    <n v="7.2289156626506021E-2"/>
    <n v="1228.9156626506024"/>
  </r>
  <r>
    <x v="1"/>
    <s v="Sữa chuaSữa chua"/>
    <s v="Món mặn"/>
    <s v="Sữa chua"/>
    <x v="7"/>
    <x v="28"/>
    <m/>
    <n v="4375"/>
    <m/>
    <e v="#DIV/0!"/>
    <n v="4375"/>
  </r>
  <r>
    <x v="0"/>
    <s v="Cơm sườn queSườn"/>
    <s v="Món mặn"/>
    <s v="Món chính"/>
    <x v="32"/>
    <x v="63"/>
    <n v="9"/>
    <n v="95000"/>
    <n v="100"/>
    <n v="0.09"/>
    <n v="8550"/>
  </r>
  <r>
    <x v="1"/>
    <s v="Cơm sườn queSả"/>
    <s v="Món mặn"/>
    <s v="Món chính"/>
    <x v="32"/>
    <x v="47"/>
    <n v="0.6"/>
    <n v="10000"/>
    <n v="100"/>
    <n v="6.0000000000000001E-3"/>
    <n v="60"/>
  </r>
  <r>
    <x v="1"/>
    <s v="Cơm sườn queCải thảo "/>
    <s v="Món mặn"/>
    <s v="Món chính"/>
    <x v="32"/>
    <x v="64"/>
    <n v="3"/>
    <n v="14000"/>
    <n v="100"/>
    <n v="0.03"/>
    <n v="420"/>
  </r>
  <r>
    <x v="1"/>
    <s v="Cơm sườn queCà rốt"/>
    <s v="Món mặn"/>
    <s v="Món chính"/>
    <x v="32"/>
    <x v="26"/>
    <n v="2"/>
    <n v="15000"/>
    <n v="100"/>
    <n v="0.02"/>
    <n v="300"/>
  </r>
  <r>
    <x v="1"/>
    <s v="Cơm sườn quecủ cải"/>
    <s v="Món mặn"/>
    <s v="Món chính"/>
    <x v="32"/>
    <x v="65"/>
    <n v="3"/>
    <n v="8000"/>
    <n v="100"/>
    <n v="0.03"/>
    <n v="240"/>
  </r>
  <r>
    <x v="1"/>
    <s v="Cơm sườn queỚt sừng"/>
    <s v="Món mặn"/>
    <s v="Món chính"/>
    <x v="32"/>
    <x v="66"/>
    <n v="0.5"/>
    <n v="40000"/>
    <n v="100"/>
    <n v="5.0000000000000001E-3"/>
    <n v="200"/>
  </r>
  <r>
    <x v="0"/>
    <s v="Trứng xào cà chuaTrứng gà"/>
    <s v="Món mặn"/>
    <s v="Món Phụ"/>
    <x v="33"/>
    <x v="13"/>
    <n v="230"/>
    <n v="2400"/>
    <n v="262"/>
    <n v="0.87786259541984735"/>
    <n v="2106.8702290076335"/>
  </r>
  <r>
    <x v="1"/>
    <s v="Trứng xào cà chuaCà chua"/>
    <s v="Món mặn"/>
    <s v="Món Phụ"/>
    <x v="33"/>
    <x v="31"/>
    <n v="5"/>
    <n v="20000"/>
    <n v="262"/>
    <n v="1.9083969465648856E-2"/>
    <n v="381.67938931297709"/>
  </r>
  <r>
    <x v="1"/>
    <s v="Trái câyChuối"/>
    <s v="Món mặn"/>
    <s v="Tráng miệng"/>
    <x v="1"/>
    <x v="43"/>
    <n v="262"/>
    <n v="1500"/>
    <n v="262"/>
    <n v="1"/>
    <n v="1500"/>
  </r>
  <r>
    <x v="0"/>
    <s v="Cá lóc khoCá lóc"/>
    <s v="Món mặn"/>
    <s v="Món chính"/>
    <x v="34"/>
    <x v="67"/>
    <n v="15"/>
    <n v="58000"/>
    <n v="125"/>
    <n v="0.12"/>
    <n v="6960"/>
  </r>
  <r>
    <x v="1"/>
    <s v="Đậu khuôn thịt bằmĐậu khuôn"/>
    <s v="Món mặn"/>
    <s v="Món Phụ"/>
    <x v="35"/>
    <x v="68"/>
    <n v="118"/>
    <n v="1600"/>
    <n v="118"/>
    <n v="1"/>
    <n v="1600"/>
  </r>
  <r>
    <x v="0"/>
    <s v="Đậu khuôn thịt bằmThịt bằm"/>
    <s v="Món mặn"/>
    <s v="Món Phụ"/>
    <x v="35"/>
    <x v="69"/>
    <n v="1"/>
    <n v="80000"/>
    <n v="100"/>
    <n v="0.01"/>
    <n v="800"/>
  </r>
  <r>
    <x v="1"/>
    <s v="Đậu khuôn thịt bằmNấm mèo"/>
    <s v="Món mặn"/>
    <s v="Món Phụ"/>
    <x v="35"/>
    <x v="11"/>
    <n v="0.2"/>
    <n v="110000"/>
    <n v="118"/>
    <n v="1.6949152542372883E-3"/>
    <n v="186.4406779661017"/>
  </r>
  <r>
    <x v="1"/>
    <s v="Đậu khuôn thịt bằmCà rốt"/>
    <s v="Món mặn"/>
    <s v="Món Phụ"/>
    <x v="35"/>
    <x v="26"/>
    <n v="2"/>
    <n v="15000"/>
    <n v="118"/>
    <n v="1.6949152542372881E-2"/>
    <n v="254.23728813559322"/>
  </r>
  <r>
    <x v="1"/>
    <s v="Dưa cải xàoDưa cải"/>
    <s v="Món mặn"/>
    <s v="Món rau"/>
    <x v="36"/>
    <x v="70"/>
    <n v="9"/>
    <n v="15000"/>
    <n v="118"/>
    <n v="7.6271186440677971E-2"/>
    <n v="1144.0677966101696"/>
  </r>
  <r>
    <x v="1"/>
    <s v="Bí đỏ thịt bằmBí đỏ"/>
    <s v="Món mặn"/>
    <s v="Món Canh"/>
    <x v="37"/>
    <x v="71"/>
    <n v="4"/>
    <n v="11000"/>
    <n v="118"/>
    <n v="3.3898305084745763E-2"/>
    <n v="372.88135593220341"/>
  </r>
  <r>
    <x v="0"/>
    <s v="Bí đỏ thịt bằmThịt bằm"/>
    <s v="Món mặn"/>
    <s v="Món Canh"/>
    <x v="37"/>
    <x v="69"/>
    <n v="0.3"/>
    <n v="80000"/>
    <n v="118"/>
    <n v="2.542372881355932E-3"/>
    <n v="203.38983050847457"/>
  </r>
  <r>
    <x v="1"/>
    <s v="Sữa chuaSữa chua"/>
    <s v="Sữa chua"/>
    <s v="Sữa chua"/>
    <x v="7"/>
    <x v="28"/>
    <n v="118"/>
    <n v="4375"/>
    <n v="118"/>
    <n v="1"/>
    <n v="4375"/>
  </r>
  <r>
    <x v="0"/>
    <s v="Gỏi bòBò "/>
    <s v="Món mặn"/>
    <s v="Món Phụ"/>
    <x v="38"/>
    <x v="72"/>
    <n v="8"/>
    <n v="80000"/>
    <n v="247"/>
    <n v="3.2388663967611336E-2"/>
    <n v="2591.0931174089069"/>
  </r>
  <r>
    <x v="1"/>
    <s v="Gỏi bòSu trắng"/>
    <s v="Món mặn"/>
    <s v="Món Phụ"/>
    <x v="38"/>
    <x v="17"/>
    <n v="6"/>
    <n v="10000"/>
    <n v="247"/>
    <n v="2.4291497975708502E-2"/>
    <n v="242.91497975708501"/>
  </r>
  <r>
    <x v="1"/>
    <s v="Gỏi bòSu tím"/>
    <s v="Món mặn"/>
    <s v="Món Phụ"/>
    <x v="38"/>
    <x v="37"/>
    <n v="6"/>
    <n v="14000"/>
    <n v="247"/>
    <n v="2.4291497975708502E-2"/>
    <n v="340.08097165991904"/>
  </r>
  <r>
    <x v="1"/>
    <s v="Gỏi bòCà rốt"/>
    <s v="Món mặn"/>
    <s v="Món Phụ"/>
    <x v="38"/>
    <x v="26"/>
    <n v="4"/>
    <n v="18000"/>
    <n v="247"/>
    <n v="1.6194331983805668E-2"/>
    <n v="291.497975708502"/>
  </r>
  <r>
    <x v="1"/>
    <s v="Gỏi bòQuế"/>
    <s v="Món mặn"/>
    <s v="Món Phụ"/>
    <x v="38"/>
    <x v="19"/>
    <n v="1.2"/>
    <n v="20000"/>
    <n v="247"/>
    <n v="4.8582995951417006E-3"/>
    <n v="97.165991902834008"/>
  </r>
  <r>
    <x v="1"/>
    <s v="Đậu bắp hấpĐậu bắp"/>
    <s v="Món mặn"/>
    <s v="Món rau"/>
    <x v="39"/>
    <x v="60"/>
    <n v="16"/>
    <n v="12000"/>
    <n v="247"/>
    <n v="6.4777327935222673E-2"/>
    <n v="777.32793522267207"/>
  </r>
  <r>
    <x v="1"/>
    <s v="Su thịt bằmSu trắng"/>
    <s v="Món mặn"/>
    <s v="Món Canh"/>
    <x v="40"/>
    <x v="17"/>
    <n v="8"/>
    <n v="10000"/>
    <n v="247"/>
    <n v="3.2388663967611336E-2"/>
    <n v="323.88663967611336"/>
  </r>
  <r>
    <x v="0"/>
    <s v="Su thịt bằmThịt bằm"/>
    <s v="Món mặn"/>
    <s v="Món Canh"/>
    <x v="40"/>
    <x v="69"/>
    <n v="0.7"/>
    <n v="80000"/>
    <n v="247"/>
    <n v="2.8340080971659917E-3"/>
    <n v="226.72064777327935"/>
  </r>
  <r>
    <x v="1"/>
    <s v="Sữa chuaSữa chua"/>
    <s v="Món mặn"/>
    <s v="Sữa chua"/>
    <x v="7"/>
    <x v="28"/>
    <n v="247"/>
    <n v="4375"/>
    <n v="247"/>
    <n v="1"/>
    <n v="4375"/>
  </r>
  <r>
    <x v="0"/>
    <s v="Cá hố khoCá hố"/>
    <s v="Món mặn"/>
    <s v="Món chính"/>
    <x v="31"/>
    <x v="62"/>
    <n v="12"/>
    <n v="60000"/>
    <n v="116"/>
    <n v="0.10344827586206896"/>
    <n v="6206.8965517241377"/>
  </r>
  <r>
    <x v="0"/>
    <s v="Heo xào măngHeo nạc vai"/>
    <s v="Món mặn"/>
    <s v="Món Phụ"/>
    <x v="41"/>
    <x v="73"/>
    <n v="2"/>
    <n v="85000"/>
    <n v="100"/>
    <n v="0.02"/>
    <n v="1700"/>
  </r>
  <r>
    <x v="0"/>
    <s v="Heo xào măngHeo nọng"/>
    <s v="Món mặn"/>
    <s v="Món Phụ"/>
    <x v="41"/>
    <x v="74"/>
    <n v="2"/>
    <n v="65000"/>
    <n v="100"/>
    <n v="0.02"/>
    <n v="1300"/>
  </r>
  <r>
    <x v="1"/>
    <s v="Heo xào măngMăng vàng"/>
    <s v="Món mặn"/>
    <s v="Món Phụ"/>
    <x v="41"/>
    <x v="75"/>
    <n v="4"/>
    <n v="25000"/>
    <n v="100"/>
    <n v="0.04"/>
    <n v="1000"/>
  </r>
  <r>
    <x v="1"/>
    <s v="Mướp xào giáMướp"/>
    <s v="Món mặn"/>
    <s v="Món rau"/>
    <x v="14"/>
    <x v="39"/>
    <n v="7"/>
    <n v="10000"/>
    <n v="116"/>
    <n v="6.0344827586206899E-2"/>
    <n v="603.44827586206895"/>
  </r>
  <r>
    <x v="1"/>
    <s v="Mướp xào giáGiá"/>
    <s v="Món mặn"/>
    <s v="Món rau"/>
    <x v="14"/>
    <x v="7"/>
    <n v="6"/>
    <n v="8000"/>
    <n v="116"/>
    <n v="5.1724137931034482E-2"/>
    <n v="413.79310344827587"/>
  </r>
  <r>
    <x v="1"/>
    <s v="Rau má thịt bằmRau má"/>
    <s v="Món mặn"/>
    <s v="Món Canh"/>
    <x v="42"/>
    <x v="76"/>
    <n v="4"/>
    <n v="18000"/>
    <n v="116"/>
    <n v="3.4482758620689655E-2"/>
    <n v="620.68965517241384"/>
  </r>
  <r>
    <x v="0"/>
    <s v="Rau má thịt bằmThịt bằm"/>
    <s v="Món mặn"/>
    <s v="Món Canh"/>
    <x v="42"/>
    <x v="69"/>
    <n v="0.3"/>
    <n v="80000"/>
    <n v="116"/>
    <n v="2.5862068965517241E-3"/>
    <n v="206.89655172413794"/>
  </r>
  <r>
    <x v="1"/>
    <s v="Trái câyChôm chôm"/>
    <s v="Món mặn"/>
    <s v="Tráng miệng"/>
    <x v="1"/>
    <x v="77"/>
    <n v="9"/>
    <n v="25000"/>
    <n v="116"/>
    <n v="7.7586206896551727E-2"/>
    <n v="1939.655172413793"/>
  </r>
  <r>
    <x v="1"/>
    <s v="Sữa chuaSữa chua"/>
    <s v="Món mặn"/>
    <s v="Sữa chua"/>
    <x v="7"/>
    <x v="28"/>
    <n v="40"/>
    <n v="4375"/>
    <n v="40"/>
    <n v="1"/>
    <n v="4375"/>
  </r>
  <r>
    <x v="0"/>
    <s v="Bún bò huếNạm bò"/>
    <s v="Món mặn"/>
    <s v="Món nước"/>
    <x v="43"/>
    <x v="78"/>
    <n v="17"/>
    <n v="80000"/>
    <n v="234"/>
    <n v="7.2649572649572655E-2"/>
    <n v="5811.9658119658116"/>
  </r>
  <r>
    <x v="0"/>
    <s v="Bún bò huếChả quết"/>
    <s v="Món mặn"/>
    <s v="Món nước"/>
    <x v="43"/>
    <x v="79"/>
    <n v="1.3"/>
    <n v="120000"/>
    <n v="113"/>
    <n v="1.1504424778761062E-2"/>
    <n v="1380.5309734513273"/>
  </r>
  <r>
    <x v="0"/>
    <s v="Bún bò huếHuyết bò"/>
    <s v="Món mặn"/>
    <s v="Món nước"/>
    <x v="43"/>
    <x v="80"/>
    <n v="2.5"/>
    <n v="25000"/>
    <n v="113"/>
    <n v="2.2123893805309734E-2"/>
    <n v="553.09734513274338"/>
  </r>
  <r>
    <x v="1"/>
    <s v="Bún bò huếBún"/>
    <s v="Món mặn"/>
    <s v="Món nước"/>
    <x v="43"/>
    <x v="5"/>
    <n v="70.2"/>
    <n v="9500"/>
    <n v="234"/>
    <n v="0.3"/>
    <n v="2850"/>
  </r>
  <r>
    <x v="1"/>
    <s v="Bún bò huếHành lá"/>
    <s v="Món mặn"/>
    <s v="Món nước"/>
    <x v="43"/>
    <x v="8"/>
    <n v="1.5"/>
    <n v="18000"/>
    <n v="234"/>
    <n v="6.41025641025641E-3"/>
    <n v="115.38461538461539"/>
  </r>
  <r>
    <x v="1"/>
    <s v="Bún bò huếRau quế"/>
    <s v="Món mặn"/>
    <s v="Món nước"/>
    <x v="43"/>
    <x v="6"/>
    <n v="0.7"/>
    <n v="20000"/>
    <n v="234"/>
    <n v="2.9914529914529912E-3"/>
    <n v="59.82905982905983"/>
  </r>
  <r>
    <x v="1"/>
    <s v="Bún bò huếGiá "/>
    <s v="Món mặn"/>
    <s v="Món nước"/>
    <x v="43"/>
    <x v="81"/>
    <n v="4"/>
    <n v="8000"/>
    <n v="234"/>
    <n v="1.7094017094017096E-2"/>
    <n v="136.75213675213675"/>
  </r>
  <r>
    <x v="1"/>
    <s v="Bún bò huếHành tây"/>
    <s v="Món mặn"/>
    <s v="Món nước"/>
    <x v="43"/>
    <x v="58"/>
    <n v="2.5"/>
    <n v="11000"/>
    <n v="234"/>
    <n v="1.0683760683760684E-2"/>
    <n v="117.52136752136752"/>
  </r>
  <r>
    <x v="1"/>
    <s v="Bún bò huếChanh "/>
    <s v="Món mặn"/>
    <s v="Món nước"/>
    <x v="43"/>
    <x v="9"/>
    <n v="1.55"/>
    <n v="26000"/>
    <n v="234"/>
    <n v="6.6239316239316238E-3"/>
    <n v="172.22222222222223"/>
  </r>
  <r>
    <x v="1"/>
    <s v="Bún bò huếỚt"/>
    <s v="Món mặn"/>
    <s v="Món nước"/>
    <x v="43"/>
    <x v="10"/>
    <n v="0.8"/>
    <n v="30000"/>
    <n v="234"/>
    <n v="3.4188034188034188E-3"/>
    <n v="102.56410256410257"/>
  </r>
  <r>
    <x v="1"/>
    <s v="Trái câyTáo"/>
    <s v="Món mặn"/>
    <s v="Tráng miệng"/>
    <x v="1"/>
    <x v="82"/>
    <n v="9"/>
    <n v="25000"/>
    <n v="234"/>
    <n v="3.8461538461538464E-2"/>
    <n v="961.53846153846155"/>
  </r>
  <r>
    <x v="0"/>
    <s v="Mỳ cá lócCá lóc"/>
    <s v="Món mặn"/>
    <s v="Món nước"/>
    <x v="44"/>
    <x v="67"/>
    <n v="13"/>
    <n v="60000"/>
    <n v="100"/>
    <n v="0.13"/>
    <n v="7800"/>
  </r>
  <r>
    <x v="1"/>
    <s v="Mỳ cá lócMỳ "/>
    <s v="Món mặn"/>
    <s v="Món nước"/>
    <x v="44"/>
    <x v="83"/>
    <n v="10"/>
    <n v="9400"/>
    <n v="33"/>
    <n v="0.30303030303030304"/>
    <n v="2848.4848484848485"/>
  </r>
  <r>
    <x v="1"/>
    <s v="Mỳ cá lócChanh"/>
    <s v="Món mặn"/>
    <s v="Món nước"/>
    <x v="44"/>
    <x v="20"/>
    <n v="0.45"/>
    <n v="26000"/>
    <n v="69"/>
    <n v="6.5217391304347831E-3"/>
    <n v="169.56521739130434"/>
  </r>
  <r>
    <x v="1"/>
    <s v="Mỳ cá lócỚt"/>
    <s v="Món mặn"/>
    <s v="Món nước"/>
    <x v="44"/>
    <x v="10"/>
    <n v="0.2"/>
    <n v="30000"/>
    <n v="69"/>
    <n v="2.8985507246376812E-3"/>
    <n v="86.956521739130437"/>
  </r>
  <r>
    <x v="1"/>
    <s v="Mỳ cá lócRau sống"/>
    <s v="Món mặn"/>
    <s v="Món nước"/>
    <x v="44"/>
    <x v="84"/>
    <n v="4"/>
    <n v="8000"/>
    <n v="69"/>
    <n v="5.7971014492753624E-2"/>
    <n v="463.768115942029"/>
  </r>
  <r>
    <x v="0"/>
    <s v="Cá nhói kho nghệCá nhói"/>
    <s v="Món mặn"/>
    <s v="Món chính"/>
    <x v="45"/>
    <x v="85"/>
    <n v="12"/>
    <n v="48000"/>
    <n v="120"/>
    <n v="0.1"/>
    <n v="4800"/>
  </r>
  <r>
    <x v="1"/>
    <s v="Cá nhói kho nghệNén "/>
    <s v="Món mặn"/>
    <s v="Món chính"/>
    <x v="45"/>
    <x v="86"/>
    <n v="1"/>
    <n v="60000"/>
    <n v="120"/>
    <n v="8.3333333333333332E-3"/>
    <n v="500"/>
  </r>
  <r>
    <x v="1"/>
    <s v="Cá nhói kho nghệNghệ"/>
    <s v="Món mặn"/>
    <s v="Món chính"/>
    <x v="45"/>
    <x v="87"/>
    <n v="1"/>
    <n v="22000"/>
    <n v="120"/>
    <n v="8.3333333333333332E-3"/>
    <n v="183.33333333333334"/>
  </r>
  <r>
    <x v="1"/>
    <s v="Cà tím mỡ hànhCà tím"/>
    <s v="Món mặn"/>
    <s v="Món rau"/>
    <x v="46"/>
    <x v="88"/>
    <n v="9.5"/>
    <n v="11000"/>
    <n v="100"/>
    <n v="9.5000000000000001E-2"/>
    <n v="1045"/>
  </r>
  <r>
    <x v="1"/>
    <s v="Sườn honSườn"/>
    <s v="Món mặn"/>
    <s v="Món chính"/>
    <x v="47"/>
    <x v="63"/>
    <n v="3"/>
    <n v="95000"/>
    <n v="40"/>
    <n v="7.4999999999999997E-2"/>
    <n v="7125"/>
  </r>
  <r>
    <x v="1"/>
    <s v="Su trắng xàoSu trắng"/>
    <s v="Món mặn"/>
    <s v="Món rau"/>
    <x v="48"/>
    <x v="17"/>
    <n v="9"/>
    <n v="12000"/>
    <n v="100"/>
    <n v="0.09"/>
    <n v="1080"/>
  </r>
  <r>
    <x v="0"/>
    <s v="Cá diêu hồng kho tiêuCá diêu hồng"/>
    <s v="Món mặn"/>
    <s v="Món chính"/>
    <x v="49"/>
    <x v="89"/>
    <n v="50"/>
    <n v="65000"/>
    <n v="378"/>
    <n v="0.13227513227513227"/>
    <n v="8597.8835978835978"/>
  </r>
  <r>
    <x v="0"/>
    <s v="Vịt kho măngVịt"/>
    <s v="Món mặn"/>
    <s v="Món chính"/>
    <x v="50"/>
    <x v="90"/>
    <n v="8.5"/>
    <n v="65000"/>
    <n v="103"/>
    <n v="8.2524271844660199E-2"/>
    <n v="5364.0776699029129"/>
  </r>
  <r>
    <x v="1"/>
    <s v="Vịt kho măngMăng"/>
    <s v="Món mặn"/>
    <s v="Món chính"/>
    <x v="50"/>
    <x v="91"/>
    <n v="2"/>
    <n v="25000"/>
    <n v="103"/>
    <n v="1.9417475728155338E-2"/>
    <n v="485.43689320388347"/>
  </r>
  <r>
    <x v="0"/>
    <s v="Chả lá lốtChả quết"/>
    <s v="Món mặn"/>
    <s v="Món Phụ"/>
    <x v="51"/>
    <x v="79"/>
    <n v="1.5"/>
    <n v="120000"/>
    <n v="100"/>
    <n v="1.4999999999999999E-2"/>
    <n v="1800"/>
  </r>
  <r>
    <x v="1"/>
    <s v="Chả lá lốtLá lốt"/>
    <s v="Món mặn"/>
    <s v="Món Phụ"/>
    <x v="51"/>
    <x v="92"/>
    <n v="4"/>
    <n v="12000"/>
    <n v="774"/>
    <n v="5.1679586563307496E-3"/>
    <n v="62.015503875968989"/>
  </r>
  <r>
    <x v="0"/>
    <s v="Chả lá lốtBột nở"/>
    <s v="Món mặn"/>
    <s v="Món Phụ"/>
    <x v="51"/>
    <x v="93"/>
    <n v="2.5"/>
    <n v="25000"/>
    <n v="774"/>
    <n v="3.2299741602067182E-3"/>
    <n v="80.749354005167959"/>
  </r>
  <r>
    <x v="0"/>
    <s v="Chả lá lốtThịt xay"/>
    <s v="Món mặn"/>
    <s v="Món Phụ"/>
    <x v="51"/>
    <x v="2"/>
    <n v="2"/>
    <n v="80000"/>
    <n v="100"/>
    <n v="0.02"/>
    <n v="1600"/>
  </r>
  <r>
    <x v="0"/>
    <s v="Tôm rim trứng cútTôm"/>
    <s v="Món mặn"/>
    <s v="Món chính"/>
    <x v="52"/>
    <x v="14"/>
    <n v="6.5"/>
    <n v="115000"/>
    <n v="250"/>
    <n v="2.5999999999999999E-2"/>
    <n v="2990"/>
  </r>
  <r>
    <x v="0"/>
    <s v="Tôm rim trứng cútTrứng cút"/>
    <s v="Món mặn"/>
    <s v="Món chính"/>
    <x v="52"/>
    <x v="94"/>
    <n v="770"/>
    <n v="550"/>
    <n v="250"/>
    <n v="3.08"/>
    <n v="1694"/>
  </r>
  <r>
    <x v="1"/>
    <s v="Rau lang luộc Rau lang"/>
    <s v="Món mặn"/>
    <s v="Món rau"/>
    <x v="53"/>
    <x v="95"/>
    <n v="8.5"/>
    <n v="19000"/>
    <n v="100"/>
    <n v="8.5000000000000006E-2"/>
    <n v="1615"/>
  </r>
  <r>
    <x v="0"/>
    <s v="Cá bạc má khoCá bạc má"/>
    <s v="Món mặn"/>
    <s v="Món chính"/>
    <x v="54"/>
    <x v="96"/>
    <n v="10"/>
    <n v="42000"/>
    <n v="109"/>
    <n v="9.1743119266055051E-2"/>
    <n v="3853.211009174312"/>
  </r>
  <r>
    <x v="1"/>
    <s v="Củ cải xàocủ cải"/>
    <s v="Món mặn"/>
    <s v="Món rau"/>
    <x v="55"/>
    <x v="65"/>
    <n v="10.5"/>
    <n v="8000"/>
    <n v="110"/>
    <n v="9.5454545454545459E-2"/>
    <n v="763.63636363636363"/>
  </r>
  <r>
    <x v="1"/>
    <s v="Khổ qua thịt bằmKhổ qua"/>
    <s v="Món mặn"/>
    <s v="Món Canh"/>
    <x v="56"/>
    <x v="97"/>
    <n v="4"/>
    <n v="16000"/>
    <n v="109"/>
    <n v="3.669724770642202E-2"/>
    <n v="587.1559633027523"/>
  </r>
  <r>
    <x v="0"/>
    <s v="Khổ qua thịt bằmThịt bằm"/>
    <s v="Món mặn"/>
    <s v="Món Canh"/>
    <x v="56"/>
    <x v="69"/>
    <n v="0.3"/>
    <n v="80000"/>
    <n v="109"/>
    <n v="2.7522935779816511E-3"/>
    <n v="220.18348623853211"/>
  </r>
  <r>
    <x v="1"/>
    <s v="Khổ qua nấu tômKhổ qua"/>
    <s v="Món mặn"/>
    <s v="Món Canh"/>
    <x v="57"/>
    <x v="97"/>
    <n v="4"/>
    <n v="16000"/>
    <n v="109"/>
    <n v="3.669724770642202E-2"/>
    <n v="587.1559633027523"/>
  </r>
  <r>
    <x v="0"/>
    <s v="Khổ qua nấu tômTôm"/>
    <s v="Món mặn"/>
    <s v="Món Canh"/>
    <x v="57"/>
    <x v="14"/>
    <n v="0.4"/>
    <n v="130000"/>
    <n v="120"/>
    <n v="3.3333333333333335E-3"/>
    <n v="433.33333333333331"/>
  </r>
  <r>
    <x v="0"/>
    <s v="Bầu nấu tômTôm "/>
    <s v="Món mặn"/>
    <s v="Món Canh"/>
    <x v="58"/>
    <x v="98"/>
    <n v="0.4"/>
    <n v="115000"/>
    <n v="120"/>
    <n v="3.3333333333333335E-3"/>
    <n v="383.33333333333331"/>
  </r>
  <r>
    <x v="1"/>
    <s v="Bầu nấu tômBầu"/>
    <s v="Món mặn"/>
    <s v="Món Canh"/>
    <x v="58"/>
    <x v="54"/>
    <n v="4"/>
    <n v="12000"/>
    <n v="120"/>
    <n v="3.3333333333333333E-2"/>
    <n v="400"/>
  </r>
  <r>
    <x v="0"/>
    <s v="Cơm gà chiên mắmGà"/>
    <s v="Món mặn"/>
    <s v="Món chính"/>
    <x v="59"/>
    <x v="36"/>
    <n v="30"/>
    <n v="47000"/>
    <n v="238"/>
    <n v="0.12605042016806722"/>
    <n v="5924.3697478991598"/>
  </r>
  <r>
    <x v="0"/>
    <s v="Trứng luộcTrứng gà"/>
    <s v="Món mặn"/>
    <s v="Món Phụ"/>
    <x v="60"/>
    <x v="13"/>
    <n v="238"/>
    <n v="2200"/>
    <n v="238"/>
    <n v="1"/>
    <n v="2200"/>
  </r>
  <r>
    <x v="0"/>
    <s v="Cơm sườn kim chiCốt lết"/>
    <s v="Món mặn"/>
    <s v="Món chính"/>
    <x v="61"/>
    <x v="50"/>
    <n v="9"/>
    <n v="100000"/>
    <n v="100"/>
    <n v="0.09"/>
    <n v="9000"/>
  </r>
  <r>
    <x v="1"/>
    <s v="Cơm sườn kim chiSả"/>
    <s v="Món mặn"/>
    <s v="Món chính"/>
    <x v="61"/>
    <x v="47"/>
    <n v="0.6"/>
    <n v="10000"/>
    <n v="100"/>
    <n v="6.0000000000000001E-3"/>
    <n v="60"/>
  </r>
  <r>
    <x v="1"/>
    <s v="Cơm sườn kim chiCải thảo "/>
    <s v="Món mặn"/>
    <s v="Món chính"/>
    <x v="61"/>
    <x v="64"/>
    <n v="3"/>
    <n v="14000"/>
    <n v="100"/>
    <n v="0.03"/>
    <n v="420"/>
  </r>
  <r>
    <x v="1"/>
    <s v="Cơm sườn kim chiCà rốt"/>
    <s v="Món mặn"/>
    <s v="Món chính"/>
    <x v="61"/>
    <x v="26"/>
    <n v="3"/>
    <n v="15000"/>
    <n v="100"/>
    <n v="0.03"/>
    <n v="450"/>
  </r>
  <r>
    <x v="1"/>
    <s v="Cơm sườn kim chicủ cải"/>
    <s v="Món mặn"/>
    <s v="Món chính"/>
    <x v="61"/>
    <x v="65"/>
    <n v="3"/>
    <n v="8000"/>
    <n v="100"/>
    <n v="0.03"/>
    <n v="240"/>
  </r>
  <r>
    <x v="1"/>
    <s v="Cơm sườn kim chiỚt sừng"/>
    <s v="Món mặn"/>
    <s v="Món chính"/>
    <x v="61"/>
    <x v="66"/>
    <n v="0.5"/>
    <n v="40000"/>
    <n v="100"/>
    <n v="5.0000000000000001E-3"/>
    <n v="200"/>
  </r>
  <r>
    <x v="0"/>
    <s v="Trứng ốp laTrứng gà (cái)"/>
    <s v="Món mặn"/>
    <s v="Món Phụ"/>
    <x v="62"/>
    <x v="99"/>
    <n v="74"/>
    <n v="2200"/>
    <n v="74"/>
    <n v="1"/>
    <n v="2200"/>
  </r>
  <r>
    <x v="1"/>
    <s v="Canh chua trứngTrứng"/>
    <s v="Món mặn"/>
    <s v="Món Canh"/>
    <x v="63"/>
    <x v="100"/>
    <n v="10"/>
    <n v="2200"/>
    <n v="74"/>
    <n v="0.13513513513513514"/>
    <n v="297.29729729729729"/>
  </r>
  <r>
    <x v="1"/>
    <s v="Canh chua trứngMăng chua"/>
    <s v="Món mặn"/>
    <s v="Món Canh"/>
    <x v="63"/>
    <x v="101"/>
    <n v="1"/>
    <n v="25000"/>
    <n v="74"/>
    <n v="1.3513513513513514E-2"/>
    <n v="337.83783783783781"/>
  </r>
  <r>
    <x v="0"/>
    <s v="Bò lúc lắcBò "/>
    <s v="Món mặn"/>
    <s v="Món chính"/>
    <x v="64"/>
    <x v="72"/>
    <n v="14"/>
    <n v="120000"/>
    <n v="115"/>
    <n v="0.12173913043478261"/>
    <n v="14608.695652173914"/>
  </r>
  <r>
    <x v="1"/>
    <s v="Bò lúc lắcỚt chuông"/>
    <s v="Món mặn"/>
    <s v="Món chính"/>
    <x v="64"/>
    <x v="102"/>
    <n v="10"/>
    <n v="40000"/>
    <n v="120"/>
    <n v="8.3333333333333329E-2"/>
    <n v="3333.3333333333335"/>
  </r>
  <r>
    <x v="1"/>
    <s v="Bò lúc lắcThơm"/>
    <s v="Món mặn"/>
    <s v="Món chính"/>
    <x v="64"/>
    <x v="24"/>
    <n v="5"/>
    <n v="17000"/>
    <n v="120"/>
    <n v="4.1666666666666664E-2"/>
    <n v="708.33333333333337"/>
  </r>
  <r>
    <x v="1"/>
    <s v="Bò lúc lắcXà lách"/>
    <s v="Món mặn"/>
    <s v="Món chính"/>
    <x v="64"/>
    <x v="103"/>
    <n v="3"/>
    <n v="30000"/>
    <n v="120"/>
    <n v="2.5000000000000001E-2"/>
    <n v="750"/>
  </r>
  <r>
    <x v="1"/>
    <s v="Bò lúc lắcCà chua"/>
    <s v="Món mặn"/>
    <s v="Món chính"/>
    <x v="64"/>
    <x v="31"/>
    <n v="3"/>
    <n v="20000"/>
    <n v="120"/>
    <n v="2.5000000000000001E-2"/>
    <n v="500"/>
  </r>
  <r>
    <x v="1"/>
    <s v="Khoai tây chiênKhoai tây "/>
    <s v="Món mặn"/>
    <s v="Món Phụ"/>
    <x v="65"/>
    <x v="104"/>
    <n v="13"/>
    <n v="50000"/>
    <n v="120"/>
    <n v="0.10833333333333334"/>
    <n v="5416.666666666667"/>
  </r>
  <r>
    <x v="1"/>
    <s v="Canh củ quả đặc biệtBắp"/>
    <s v="Món mặn"/>
    <s v="Món Canh"/>
    <x v="66"/>
    <x v="105"/>
    <n v="11"/>
    <n v="7000"/>
    <n v="120"/>
    <n v="9.166666666666666E-2"/>
    <n v="641.66666666666663"/>
  </r>
  <r>
    <x v="1"/>
    <s v="Canh củ quả đặc biệtKhoai môn"/>
    <s v="Món mặn"/>
    <s v="Món Canh"/>
    <x v="66"/>
    <x v="106"/>
    <n v="3"/>
    <n v="35000"/>
    <n v="120"/>
    <n v="2.5000000000000001E-2"/>
    <n v="875"/>
  </r>
  <r>
    <x v="1"/>
    <s v="Canh củ quả đặc biệtCà rốt"/>
    <s v="Món mặn"/>
    <s v="Món Canh"/>
    <x v="66"/>
    <x v="26"/>
    <n v="1.5"/>
    <n v="12000"/>
    <n v="120"/>
    <n v="1.2500000000000001E-2"/>
    <n v="150"/>
  </r>
  <r>
    <x v="0"/>
    <s v="Canh củ quả đặc biệtThịt bằm"/>
    <s v="Món mặn"/>
    <s v="Món Canh"/>
    <x v="66"/>
    <x v="69"/>
    <n v="0.5"/>
    <n v="80000"/>
    <n v="120"/>
    <n v="4.1666666666666666E-3"/>
    <n v="333.33333333333331"/>
  </r>
  <r>
    <x v="1"/>
    <s v="Kim chiCải thảo"/>
    <s v="Món mặn"/>
    <s v="Món rau"/>
    <x v="67"/>
    <x v="107"/>
    <n v="4"/>
    <n v="15000"/>
    <n v="120"/>
    <n v="3.3333333333333333E-2"/>
    <n v="500"/>
  </r>
  <r>
    <x v="1"/>
    <s v="Kim chiCà rốt"/>
    <s v="Món mặn"/>
    <s v="Món rau"/>
    <x v="67"/>
    <x v="26"/>
    <n v="3"/>
    <n v="16000"/>
    <n v="120"/>
    <n v="2.5000000000000001E-2"/>
    <n v="400"/>
  </r>
  <r>
    <x v="1"/>
    <s v="Kim chiCủ cải"/>
    <s v="Món mặn"/>
    <s v="Món rau"/>
    <x v="67"/>
    <x v="65"/>
    <n v="2"/>
    <n v="10000"/>
    <n v="120"/>
    <n v="1.6666666666666666E-2"/>
    <n v="166.66666666666666"/>
  </r>
  <r>
    <x v="1"/>
    <s v="Kim chiỚt sừng"/>
    <s v="Món mặn"/>
    <s v="Món rau"/>
    <x v="67"/>
    <x v="66"/>
    <n v="0.5"/>
    <n v="40000"/>
    <n v="120"/>
    <n v="4.1666666666666666E-3"/>
    <n v="166.66666666666666"/>
  </r>
  <r>
    <x v="0"/>
    <s v="Cá mối kho nghệCá mối"/>
    <s v="Món mặn"/>
    <s v="Món chính"/>
    <x v="68"/>
    <x v="108"/>
    <n v="10.5"/>
    <n v="55000"/>
    <n v="117"/>
    <n v="8.9743589743589744E-2"/>
    <n v="4935.8974358974356"/>
  </r>
  <r>
    <x v="1"/>
    <s v="Sườn hon sảSườn"/>
    <s v="Món mặn"/>
    <s v="Món chính"/>
    <x v="69"/>
    <x v="63"/>
    <n v="7.5"/>
    <n v="95000"/>
    <n v="100"/>
    <n v="7.4999999999999997E-2"/>
    <n v="7125"/>
  </r>
  <r>
    <x v="1"/>
    <s v="Sườn hon sảSả"/>
    <s v="Món mặn"/>
    <s v="Món chính"/>
    <x v="69"/>
    <x v="47"/>
    <n v="4"/>
    <n v="8000"/>
    <n v="466"/>
    <n v="8.5836909871244635E-3"/>
    <n v="68.669527896995703"/>
  </r>
  <r>
    <x v="0"/>
    <s v="Trứng kho nước dừaTrứng gà"/>
    <s v="Món mặn"/>
    <s v="Món Phụ"/>
    <x v="70"/>
    <x v="13"/>
    <n v="1"/>
    <n v="2300"/>
    <n v="1"/>
    <n v="1"/>
    <n v="2300"/>
  </r>
  <r>
    <x v="1"/>
    <s v="Trứng kho nước dừaBột cốt dừa"/>
    <s v="Món mặn"/>
    <s v="Món Phụ"/>
    <x v="70"/>
    <x v="109"/>
    <n v="10"/>
    <n v="4000"/>
    <n v="466"/>
    <n v="2.1459227467811159E-2"/>
    <n v="85.836909871244629"/>
  </r>
  <r>
    <x v="1"/>
    <s v="Mồng tơi thịt bằmMồng tơi"/>
    <s v="Món mặn"/>
    <s v="Món Canh"/>
    <x v="71"/>
    <x v="110"/>
    <n v="12"/>
    <n v="10000"/>
    <n v="250"/>
    <n v="4.8000000000000001E-2"/>
    <n v="480"/>
  </r>
  <r>
    <x v="0"/>
    <s v="Mồng tơi thịt bằmThịt bằm"/>
    <s v="Món mặn"/>
    <s v="Món Canh"/>
    <x v="71"/>
    <x v="69"/>
    <n v="0.5"/>
    <n v="80000"/>
    <n v="150"/>
    <n v="3.3333333333333335E-3"/>
    <n v="266.66666666666669"/>
  </r>
  <r>
    <x v="0"/>
    <s v="Cá bạc má kho thơmCá bạc má"/>
    <s v="Món mặn"/>
    <s v="Món chính"/>
    <x v="72"/>
    <x v="96"/>
    <n v="4.4000000000000004"/>
    <n v="42000"/>
    <n v="45"/>
    <n v="9.7777777777777783E-2"/>
    <n v="4106.666666666667"/>
  </r>
  <r>
    <x v="1"/>
    <s v="Cá bạc má kho thơmThơm"/>
    <s v="Món mặn"/>
    <s v="Món chính"/>
    <x v="72"/>
    <x v="24"/>
    <n v="1"/>
    <n v="17000"/>
    <n v="45"/>
    <n v="2.2222222222222223E-2"/>
    <n v="377.77777777777777"/>
  </r>
  <r>
    <x v="0"/>
    <s v="Trứng hấp thập cẩmTrứng gà"/>
    <s v="Món mặn"/>
    <s v="Món Phụ"/>
    <x v="73"/>
    <x v="13"/>
    <n v="280"/>
    <n v="2300"/>
    <n v="300"/>
    <n v="0.93333333333333335"/>
    <n v="2146.6666666666665"/>
  </r>
  <r>
    <x v="1"/>
    <s v="Trứng hấp thập cẩmHành lá"/>
    <s v="Món mặn"/>
    <s v="Món Phụ"/>
    <x v="73"/>
    <x v="8"/>
    <n v="0.5"/>
    <n v="18000"/>
    <n v="300"/>
    <n v="1.6666666666666668E-3"/>
    <n v="30"/>
  </r>
  <r>
    <x v="1"/>
    <s v="Trứng hấp thập cẩmNấm mèo"/>
    <s v="Món mặn"/>
    <s v="Món Phụ"/>
    <x v="73"/>
    <x v="11"/>
    <n v="0.4"/>
    <n v="55000"/>
    <n v="300"/>
    <n v="1.3333333333333335E-3"/>
    <n v="73.333333333333329"/>
  </r>
  <r>
    <x v="1"/>
    <s v="Trứng hấp thập cẩmCà rốt"/>
    <s v="Món mặn"/>
    <s v="Món Phụ"/>
    <x v="73"/>
    <x v="26"/>
    <n v="3"/>
    <n v="16000"/>
    <n v="300"/>
    <n v="0.01"/>
    <n v="160"/>
  </r>
  <r>
    <x v="0"/>
    <s v="Vịt kho gừngVịt"/>
    <s v="Món mặn"/>
    <s v="Món chính"/>
    <x v="74"/>
    <x v="90"/>
    <n v="34"/>
    <n v="65000"/>
    <n v="368"/>
    <n v="9.2391304347826081E-2"/>
    <n v="6005.434782608696"/>
  </r>
  <r>
    <x v="1"/>
    <s v="Vịt kho gừngGừng"/>
    <s v="Món mặn"/>
    <s v="Món chính"/>
    <x v="74"/>
    <x v="111"/>
    <n v="0.5"/>
    <n v="30000"/>
    <n v="368"/>
    <n v="1.358695652173913E-3"/>
    <n v="40.760869565217391"/>
  </r>
  <r>
    <x v="0"/>
    <s v="Bún giò heoGiò heo"/>
    <s v="Món mặn"/>
    <s v="Món nước"/>
    <x v="75"/>
    <x v="112"/>
    <n v="18"/>
    <n v="60000"/>
    <n v="90"/>
    <n v="0.2"/>
    <n v="12000"/>
  </r>
  <r>
    <x v="0"/>
    <s v="Bún giò heoHuyết heo"/>
    <s v="Món mặn"/>
    <s v="Món nước"/>
    <x v="75"/>
    <x v="113"/>
    <n v="2"/>
    <n v="25000"/>
    <n v="85"/>
    <n v="2.3529411764705882E-2"/>
    <n v="588.23529411764707"/>
  </r>
  <r>
    <x v="1"/>
    <s v="Bún giò heoRau quế"/>
    <s v="Món mặn"/>
    <s v="Món nước"/>
    <x v="75"/>
    <x v="6"/>
    <n v="1"/>
    <n v="20000"/>
    <n v="85"/>
    <n v="1.1764705882352941E-2"/>
    <n v="235.29411764705881"/>
  </r>
  <r>
    <x v="1"/>
    <s v="Bún giò heoGiá "/>
    <s v="Món mặn"/>
    <s v="Món nước"/>
    <x v="75"/>
    <x v="81"/>
    <n v="3"/>
    <n v="8000"/>
    <n v="85"/>
    <n v="3.5294117647058823E-2"/>
    <n v="282.35294117647061"/>
  </r>
  <r>
    <x v="1"/>
    <s v="Bún giò heoHành tây"/>
    <s v="Món mặn"/>
    <s v="Món nước"/>
    <x v="75"/>
    <x v="58"/>
    <n v="2"/>
    <n v="11000"/>
    <n v="85"/>
    <n v="2.3529411764705882E-2"/>
    <n v="258.8235294117647"/>
  </r>
  <r>
    <x v="1"/>
    <s v="Bún giò heoHành lá"/>
    <s v="Món mặn"/>
    <s v="Món nước"/>
    <x v="75"/>
    <x v="8"/>
    <n v="1"/>
    <n v="18000"/>
    <n v="85"/>
    <n v="1.1764705882352941E-2"/>
    <n v="211.76470588235293"/>
  </r>
  <r>
    <x v="1"/>
    <s v="Bún giò heoChanh "/>
    <s v="Món mặn"/>
    <s v="Món nước"/>
    <x v="75"/>
    <x v="9"/>
    <n v="1"/>
    <n v="26000"/>
    <n v="85"/>
    <n v="1.1764705882352941E-2"/>
    <n v="305.88235294117646"/>
  </r>
  <r>
    <x v="1"/>
    <s v="Bún giò heoỚt"/>
    <s v="Món mặn"/>
    <s v="Món nước"/>
    <x v="75"/>
    <x v="10"/>
    <n v="0.5"/>
    <n v="30000"/>
    <n v="85"/>
    <n v="5.8823529411764705E-3"/>
    <n v="176.47058823529412"/>
  </r>
  <r>
    <x v="1"/>
    <s v="Rau muống nấu hếnRau muống"/>
    <s v="Món mặn"/>
    <s v="Món Canh"/>
    <x v="76"/>
    <x v="35"/>
    <n v="4"/>
    <n v="9000"/>
    <n v="125"/>
    <n v="3.2000000000000001E-2"/>
    <n v="288"/>
  </r>
  <r>
    <x v="1"/>
    <s v="Rau muống nấu hếnHến"/>
    <s v="Món mặn"/>
    <s v="Món Canh"/>
    <x v="76"/>
    <x v="114"/>
    <n v="0.3"/>
    <n v="110000"/>
    <n v="125"/>
    <n v="2.3999999999999998E-3"/>
    <n v="264"/>
  </r>
  <r>
    <x v="0"/>
    <s v="Đùi gà rô tyĐùi gà"/>
    <s v="Món mặn"/>
    <s v="Món chính"/>
    <x v="77"/>
    <x v="115"/>
    <n v="12"/>
    <n v="55000"/>
    <n v="68"/>
    <n v="0.17647058823529413"/>
    <n v="9705.8823529411766"/>
  </r>
  <r>
    <x v="0"/>
    <s v="Gà xé hành rau rămGà"/>
    <s v="Món mặn"/>
    <s v="Món chính"/>
    <x v="78"/>
    <x v="36"/>
    <n v="3"/>
    <n v="75000"/>
    <n v="40"/>
    <n v="7.4999999999999997E-2"/>
    <n v="5625"/>
  </r>
  <r>
    <x v="1"/>
    <s v="Gà xé hành rau rămRau răm"/>
    <s v="Món mặn"/>
    <s v="Món chính"/>
    <x v="78"/>
    <x v="38"/>
    <n v="0.3"/>
    <n v="20000"/>
    <n v="40"/>
    <n v="7.4999999999999997E-3"/>
    <n v="150"/>
  </r>
  <r>
    <x v="1"/>
    <s v="Gà xé hành rau rămHành tây"/>
    <s v="Món mặn"/>
    <s v="Món chính"/>
    <x v="78"/>
    <x v="58"/>
    <n v="2"/>
    <n v="10000"/>
    <n v="40"/>
    <n v="0.05"/>
    <n v="500"/>
  </r>
  <r>
    <x v="1"/>
    <s v="Củ cải xàoCủ cải"/>
    <s v="Món mặn"/>
    <s v="Món rau"/>
    <x v="55"/>
    <x v="65"/>
    <n v="22"/>
    <n v="8000"/>
    <n v="231"/>
    <n v="9.5238095238095233E-2"/>
    <n v="761.90476190476193"/>
  </r>
  <r>
    <x v="1"/>
    <s v="Đậu đũa xàoĐậu đũa"/>
    <s v="Món mặn"/>
    <s v="Món rau"/>
    <x v="79"/>
    <x v="116"/>
    <n v="10"/>
    <n v="8000"/>
    <n v="115"/>
    <n v="8.6956521739130432E-2"/>
    <n v="695.6521739130435"/>
  </r>
  <r>
    <x v="1"/>
    <s v="Sắn dây xàoSắn dây"/>
    <s v="Món mặn"/>
    <s v="Món rau"/>
    <x v="80"/>
    <x v="117"/>
    <n v="3.5"/>
    <n v="13000"/>
    <n v="43"/>
    <n v="8.1395348837209308E-2"/>
    <n v="1058.1395348837209"/>
  </r>
  <r>
    <x v="1"/>
    <s v="Tim xào giá hẹTim "/>
    <s v="Món mặn"/>
    <s v="Món Phụ"/>
    <x v="81"/>
    <x v="118"/>
    <n v="15.5"/>
    <n v="50000"/>
    <n v="257"/>
    <n v="6.0311284046692608E-2"/>
    <n v="3015.5642023346304"/>
  </r>
  <r>
    <x v="1"/>
    <s v="Tim xào giá hẹlá he"/>
    <s v="Món mặn"/>
    <s v="Món Phụ"/>
    <x v="81"/>
    <x v="119"/>
    <n v="1"/>
    <n v="50000"/>
    <n v="257"/>
    <n v="3.8910505836575876E-3"/>
    <n v="194.55252918287937"/>
  </r>
  <r>
    <x v="1"/>
    <s v="Tim xào giá hẹGiá"/>
    <s v="Món mặn"/>
    <s v="Món Phụ"/>
    <x v="81"/>
    <x v="7"/>
    <n v="18"/>
    <n v="8000"/>
    <n v="257"/>
    <n v="7.0038910505836577E-2"/>
    <n v="560.31128404669266"/>
  </r>
  <r>
    <x v="0"/>
    <s v="Bún chả cáChả cá lát đồng tiền"/>
    <s v="Món mặn"/>
    <s v="Món nước"/>
    <x v="82"/>
    <x v="120"/>
    <n v="10"/>
    <n v="90000"/>
    <n v="411"/>
    <n v="2.4330900243309004E-2"/>
    <n v="2189.7810218978102"/>
  </r>
  <r>
    <x v="0"/>
    <s v="Bún chả cáChả cá tấm chiên"/>
    <s v="Món mặn"/>
    <s v="Món nước"/>
    <x v="82"/>
    <x v="121"/>
    <n v="9"/>
    <n v="90000"/>
    <n v="411"/>
    <n v="2.1897810218978103E-2"/>
    <n v="1970.8029197080291"/>
  </r>
  <r>
    <x v="0"/>
    <s v="Bún chả cáChả cá hấp"/>
    <s v="Món mặn"/>
    <s v="Món nước"/>
    <x v="82"/>
    <x v="122"/>
    <n v="8.5"/>
    <n v="90000"/>
    <n v="411"/>
    <n v="2.0681265206812651E-2"/>
    <n v="1861.3138686131388"/>
  </r>
  <r>
    <x v="1"/>
    <s v="Bún chả cáSu trắng"/>
    <s v="Món mặn"/>
    <s v="Món nước"/>
    <x v="82"/>
    <x v="17"/>
    <n v="2"/>
    <n v="8000"/>
    <n v="86"/>
    <n v="2.3255813953488372E-2"/>
    <n v="186.04651162790697"/>
  </r>
  <r>
    <x v="1"/>
    <s v="Bún chả cáRau quế"/>
    <s v="Món mặn"/>
    <s v="Món nước"/>
    <x v="82"/>
    <x v="6"/>
    <n v="0.5"/>
    <n v="15000"/>
    <n v="86"/>
    <n v="5.8139534883720929E-3"/>
    <n v="87.20930232558139"/>
  </r>
  <r>
    <x v="1"/>
    <s v="Bún chả cáHành lá"/>
    <s v="Món mặn"/>
    <s v="Món nước"/>
    <x v="82"/>
    <x v="8"/>
    <n v="0.8"/>
    <n v="18000"/>
    <n v="86"/>
    <n v="9.3023255813953487E-3"/>
    <n v="167.44186046511629"/>
  </r>
  <r>
    <x v="1"/>
    <s v="Bún chả cáHành tây"/>
    <s v="Món mặn"/>
    <s v="Món nước"/>
    <x v="82"/>
    <x v="58"/>
    <n v="0.8"/>
    <n v="11000"/>
    <n v="86"/>
    <n v="9.3023255813953487E-3"/>
    <n v="102.32558139534883"/>
  </r>
  <r>
    <x v="1"/>
    <s v="Bún chả cáBí đỏ"/>
    <s v="Món mặn"/>
    <s v="Món nước"/>
    <x v="82"/>
    <x v="71"/>
    <n v="2.5"/>
    <n v="11000"/>
    <n v="86"/>
    <n v="2.9069767441860465E-2"/>
    <n v="319.76744186046511"/>
  </r>
  <r>
    <x v="1"/>
    <s v="Bún chả cáỚt xanh huế"/>
    <s v="Món mặn"/>
    <s v="Món nước"/>
    <x v="82"/>
    <x v="123"/>
    <n v="0.5"/>
    <n v="30000"/>
    <n v="86"/>
    <n v="5.8139534883720929E-3"/>
    <n v="174.41860465116278"/>
  </r>
  <r>
    <x v="1"/>
    <s v="Bún chả cáGiá"/>
    <s v="Món mặn"/>
    <s v="Món nước"/>
    <x v="82"/>
    <x v="7"/>
    <n v="1.7"/>
    <n v="8000"/>
    <n v="86"/>
    <n v="1.9767441860465116E-2"/>
    <n v="158.13953488372093"/>
  </r>
  <r>
    <x v="1"/>
    <s v="Bún chả cáChanh"/>
    <s v="Món mặn"/>
    <s v="Món nước"/>
    <x v="82"/>
    <x v="20"/>
    <n v="0.5"/>
    <n v="26000"/>
    <n v="86"/>
    <n v="5.8139534883720929E-3"/>
    <n v="151.16279069767441"/>
  </r>
  <r>
    <x v="0"/>
    <s v="Cá phèn mắm tỏiCá phèn"/>
    <s v="Món mặn"/>
    <s v="Món chính"/>
    <x v="83"/>
    <x v="45"/>
    <n v="0.12"/>
    <n v="37000"/>
    <n v="1"/>
    <n v="0.12"/>
    <n v="4440"/>
  </r>
  <r>
    <x v="0"/>
    <s v="Gà kho măngGà DL"/>
    <s v="Món mặn"/>
    <s v="Món chính"/>
    <x v="84"/>
    <x v="124"/>
    <n v="42"/>
    <n v="45000"/>
    <n v="461"/>
    <n v="9.1106290672451198E-2"/>
    <n v="4099.7830802603039"/>
  </r>
  <r>
    <x v="1"/>
    <s v="Gà kho măngSả"/>
    <s v="Món mặn"/>
    <s v="Món chính"/>
    <x v="84"/>
    <x v="47"/>
    <n v="3"/>
    <n v="8000"/>
    <n v="461"/>
    <n v="6.5075921908893707E-3"/>
    <n v="52.060737527114966"/>
  </r>
  <r>
    <x v="1"/>
    <s v="Gà kho măngMăng"/>
    <s v="Món mặn"/>
    <s v="Món chính"/>
    <x v="84"/>
    <x v="91"/>
    <n v="14"/>
    <n v="25000"/>
    <n v="461"/>
    <n v="3.0368763557483729E-2"/>
    <n v="759.21908893709326"/>
  </r>
  <r>
    <x v="0"/>
    <s v="Chả rim trứng cútChả cá tấm"/>
    <s v="Món mặn"/>
    <s v="Món Phụ"/>
    <x v="85"/>
    <x v="125"/>
    <n v="0.02"/>
    <n v="90000"/>
    <n v="1"/>
    <n v="0.02"/>
    <n v="1800"/>
  </r>
  <r>
    <x v="0"/>
    <s v="Chả rim trứng cútTrứng cút"/>
    <s v="Món mặn"/>
    <s v="Món Phụ"/>
    <x v="85"/>
    <x v="94"/>
    <n v="3"/>
    <n v="600"/>
    <n v="1"/>
    <n v="3"/>
    <n v="1800"/>
  </r>
  <r>
    <x v="0"/>
    <s v="Gà kho sảGà DL"/>
    <s v="Món mặn"/>
    <s v="Món chính"/>
    <x v="86"/>
    <x v="124"/>
    <n v="11"/>
    <n v="50000"/>
    <n v="100"/>
    <n v="0.11"/>
    <n v="5500"/>
  </r>
  <r>
    <x v="1"/>
    <s v="Gà kho sảSả"/>
    <s v="Món mặn"/>
    <s v="Món chính"/>
    <x v="86"/>
    <x v="47"/>
    <n v="4"/>
    <n v="8000"/>
    <n v="390"/>
    <n v="1.0256410256410256E-2"/>
    <n v="82.051282051282058"/>
  </r>
  <r>
    <x v="0"/>
    <s v="Thịt heo kho trứngThịt nạc vai"/>
    <s v="Món mặn"/>
    <s v="Món chính"/>
    <x v="87"/>
    <x v="126"/>
    <n v="10"/>
    <n v="100000"/>
    <n v="420"/>
    <n v="2.3809523809523808E-2"/>
    <n v="2380.9523809523807"/>
  </r>
  <r>
    <x v="0"/>
    <s v="Thịt heo kho trứngThịt nọng"/>
    <s v="Món mặn"/>
    <s v="Món chính"/>
    <x v="87"/>
    <x v="32"/>
    <n v="6.8"/>
    <n v="70000"/>
    <n v="420"/>
    <n v="1.6190476190476189E-2"/>
    <n v="1133.3333333333333"/>
  </r>
  <r>
    <x v="0"/>
    <s v="Thịt heo kho trứngTrứng cút"/>
    <s v="Món mặn"/>
    <s v="Món chính"/>
    <x v="87"/>
    <x v="94"/>
    <n v="2"/>
    <n v="600"/>
    <n v="2"/>
    <n v="1"/>
    <n v="600"/>
  </r>
  <r>
    <x v="0"/>
    <s v="Thịt kho đậu khuônThịt nạc vai"/>
    <s v="Món mặn"/>
    <s v="Món chính"/>
    <x v="88"/>
    <x v="126"/>
    <n v="2"/>
    <n v="85000"/>
    <n v="100"/>
    <n v="0.02"/>
    <n v="1700"/>
  </r>
  <r>
    <x v="0"/>
    <s v="Thịt kho đậu khuônThịt nọng"/>
    <s v="Món mặn"/>
    <s v="Món chính"/>
    <x v="88"/>
    <x v="32"/>
    <n v="1.5"/>
    <n v="65000"/>
    <n v="100"/>
    <n v="1.4999999999999999E-2"/>
    <n v="975"/>
  </r>
  <r>
    <x v="0"/>
    <s v="Thịt kho đậu khuônĐậu khuôn"/>
    <s v="Món mặn"/>
    <s v="Món chính"/>
    <x v="88"/>
    <x v="68"/>
    <n v="2"/>
    <n v="1600"/>
    <n v="3"/>
    <n v="0.66666666666666663"/>
    <n v="1066.6666666666667"/>
  </r>
  <r>
    <x v="0"/>
    <s v="Cá chim mắm tỏiCá chim"/>
    <s v="Món mặn"/>
    <s v="Món chính"/>
    <x v="89"/>
    <x v="30"/>
    <n v="0.15"/>
    <n v="37000"/>
    <n v="1"/>
    <n v="0.15"/>
    <n v="5550"/>
  </r>
  <r>
    <x v="0"/>
    <s v="Giò heo kho măngGiò heo"/>
    <s v="Món mặn"/>
    <s v="Món chính"/>
    <x v="90"/>
    <x v="112"/>
    <n v="11"/>
    <n v="30000"/>
    <n v="91"/>
    <n v="0.12087912087912088"/>
    <n v="3626.3736263736264"/>
  </r>
  <r>
    <x v="1"/>
    <s v="Giò heo kho măngMăng vàng"/>
    <s v="Món mặn"/>
    <s v="Món chính"/>
    <x v="90"/>
    <x v="75"/>
    <n v="3.6"/>
    <n v="25000"/>
    <n v="91"/>
    <n v="3.9560439560439559E-2"/>
    <n v="989.01098901098896"/>
  </r>
  <r>
    <x v="0"/>
    <s v="Chả viên sốt càChả quết"/>
    <s v="Món mặn"/>
    <s v="Món Phụ"/>
    <x v="91"/>
    <x v="79"/>
    <n v="1.5"/>
    <n v="120000"/>
    <n v="100"/>
    <n v="1.4999999999999999E-2"/>
    <n v="1800"/>
  </r>
  <r>
    <x v="0"/>
    <s v="Chả viên sốt càThịt xay"/>
    <s v="Món mặn"/>
    <s v="Món Phụ"/>
    <x v="91"/>
    <x v="2"/>
    <n v="2"/>
    <n v="80000"/>
    <n v="100"/>
    <n v="0.02"/>
    <n v="1600"/>
  </r>
  <r>
    <x v="1"/>
    <s v="Chả viên sốt càCà chua"/>
    <s v="Món mặn"/>
    <s v="Món Phụ"/>
    <x v="91"/>
    <x v="31"/>
    <n v="1"/>
    <n v="20000"/>
    <n v="100"/>
    <n v="0.01"/>
    <n v="200"/>
  </r>
  <r>
    <x v="1"/>
    <s v="Rau lang xàoRau lang xào"/>
    <s v="Món mặn"/>
    <s v="Món rau"/>
    <x v="92"/>
    <x v="127"/>
    <n v="8.5"/>
    <n v="18000"/>
    <n v="100"/>
    <n v="8.5000000000000006E-2"/>
    <n v="1530"/>
  </r>
  <r>
    <x v="0"/>
    <s v="Bồ ngốt thịt bằmBồ ngót"/>
    <s v="Món mặn"/>
    <s v="Món Canh"/>
    <x v="93"/>
    <x v="55"/>
    <n v="3"/>
    <n v="12000"/>
    <n v="125"/>
    <n v="2.4E-2"/>
    <n v="288"/>
  </r>
  <r>
    <x v="1"/>
    <s v="Bồ ngốt thịt bằmThịt bằm"/>
    <s v="Món mặn"/>
    <s v="Món Canh"/>
    <x v="93"/>
    <x v="69"/>
    <n v="0.4"/>
    <n v="80000"/>
    <n v="125"/>
    <n v="3.2000000000000002E-3"/>
    <n v="256"/>
  </r>
  <r>
    <x v="0"/>
    <s v="Cơm gà xé trộnGà tươi"/>
    <s v="Món mặn"/>
    <s v="Món chính"/>
    <x v="94"/>
    <x v="128"/>
    <n v="9.5"/>
    <n v="75000"/>
    <n v="95"/>
    <n v="0.1"/>
    <n v="7500"/>
  </r>
  <r>
    <x v="1"/>
    <s v="Cơm gà xé trộnHành tây"/>
    <s v="Món mặn"/>
    <s v="Món chính"/>
    <x v="94"/>
    <x v="58"/>
    <n v="3.5"/>
    <n v="11000"/>
    <n v="85"/>
    <n v="4.1176470588235294E-2"/>
    <n v="452.94117647058823"/>
  </r>
  <r>
    <x v="1"/>
    <s v="Cơm gà xé trộnRau răm"/>
    <s v="Món mặn"/>
    <s v="Món chính"/>
    <x v="94"/>
    <x v="38"/>
    <n v="1"/>
    <n v="20000"/>
    <n v="85"/>
    <n v="1.1764705882352941E-2"/>
    <n v="235.29411764705881"/>
  </r>
  <r>
    <x v="1"/>
    <s v="Cơm gà xé trộnCà rốt"/>
    <s v="Món mặn"/>
    <s v="Món chính"/>
    <x v="94"/>
    <x v="26"/>
    <n v="4"/>
    <n v="15000"/>
    <n v="85"/>
    <n v="4.7058823529411764E-2"/>
    <n v="705.88235294117646"/>
  </r>
  <r>
    <x v="1"/>
    <s v="Cơm gà xé trộnKhoai tây"/>
    <s v="Món mặn"/>
    <s v="Món chính"/>
    <x v="94"/>
    <x v="42"/>
    <n v="3"/>
    <n v="17000"/>
    <n v="85"/>
    <n v="3.5294117647058823E-2"/>
    <n v="600"/>
  </r>
  <r>
    <x v="0"/>
    <s v="Cơm gà xé trộnLòng gà"/>
    <s v="Món mặn"/>
    <s v="Món chính"/>
    <x v="94"/>
    <x v="129"/>
    <n v="5"/>
    <n v="8000"/>
    <n v="95"/>
    <n v="5.2631578947368418E-2"/>
    <n v="421.05263157894734"/>
  </r>
  <r>
    <x v="0"/>
    <s v="Tôm rimTôm"/>
    <s v="Món mặn"/>
    <s v="Món chính"/>
    <x v="95"/>
    <x v="14"/>
    <n v="1"/>
    <n v="115000"/>
    <n v="24"/>
    <n v="4.1666666666666664E-2"/>
    <n v="4791.666666666667"/>
  </r>
  <r>
    <x v="0"/>
    <s v="Cá cơm khoCá cơm"/>
    <s v="Món mặn"/>
    <s v="Món chính"/>
    <x v="96"/>
    <x v="130"/>
    <n v="9"/>
    <n v="40000"/>
    <n v="100"/>
    <n v="0.09"/>
    <n v="3600"/>
  </r>
  <r>
    <x v="1"/>
    <s v="Heo xào cải chuaCải chua"/>
    <s v="Món mặn"/>
    <s v="Món Phụ"/>
    <x v="97"/>
    <x v="131"/>
    <n v="5"/>
    <n v="24000"/>
    <n v="100"/>
    <n v="0.05"/>
    <n v="1200"/>
  </r>
  <r>
    <x v="0"/>
    <s v="Heo xào cải chuaHeo nọng"/>
    <s v="Món mặn"/>
    <s v="Món Phụ"/>
    <x v="97"/>
    <x v="74"/>
    <n v="2"/>
    <n v="65000"/>
    <n v="100"/>
    <n v="0.02"/>
    <n v="1300"/>
  </r>
  <r>
    <x v="0"/>
    <s v="Heo xào cải chuaNạc vai"/>
    <s v="Món mặn"/>
    <s v="Món Phụ"/>
    <x v="97"/>
    <x v="33"/>
    <n v="1.5"/>
    <n v="100000"/>
    <n v="100"/>
    <n v="1.4999999999999999E-2"/>
    <n v="1500"/>
  </r>
  <r>
    <x v="0"/>
    <s v="Mỳ Quảng GàGà"/>
    <s v="Món mặn"/>
    <s v="Món nước"/>
    <x v="98"/>
    <x v="36"/>
    <n v="12"/>
    <n v="50000"/>
    <n v="100"/>
    <n v="0.12"/>
    <n v="6000"/>
  </r>
  <r>
    <x v="0"/>
    <s v="Mỳ Quảng GàTrứng gà"/>
    <s v="Món mặn"/>
    <s v="Món nước"/>
    <x v="98"/>
    <x v="13"/>
    <n v="64"/>
    <n v="2167"/>
    <n v="123"/>
    <n v="0.52032520325203258"/>
    <n v="1127.5447154471544"/>
  </r>
  <r>
    <x v="1"/>
    <s v="Mỳ Quảng GàBánh tráng"/>
    <s v="Món mặn"/>
    <s v="Món nước"/>
    <x v="98"/>
    <x v="15"/>
    <n v="1"/>
    <n v="3000"/>
    <n v="6"/>
    <n v="0.16666666666666666"/>
    <n v="500"/>
  </r>
  <r>
    <x v="1"/>
    <s v="Mỳ Quảng GàXà lách "/>
    <s v="Món mặn"/>
    <s v="Món nước"/>
    <x v="98"/>
    <x v="16"/>
    <n v="2.5"/>
    <n v="25000"/>
    <n v="123"/>
    <n v="2.032520325203252E-2"/>
    <n v="508.130081300813"/>
  </r>
  <r>
    <x v="1"/>
    <s v="Mỳ Quảng GàSu trắng"/>
    <s v="Món mặn"/>
    <s v="Món nước"/>
    <x v="98"/>
    <x v="17"/>
    <n v="2"/>
    <n v="10000"/>
    <n v="123"/>
    <n v="1.6260162601626018E-2"/>
    <n v="162.60162601626016"/>
  </r>
  <r>
    <x v="1"/>
    <s v="Mỳ Quảng GàGiá"/>
    <s v="Món mặn"/>
    <s v="Món nước"/>
    <x v="98"/>
    <x v="7"/>
    <n v="2"/>
    <n v="8000"/>
    <n v="123"/>
    <n v="1.6260162601626018E-2"/>
    <n v="130.08130081300814"/>
  </r>
  <r>
    <x v="1"/>
    <s v="Mỳ Quảng GàHành lá"/>
    <s v="Món mặn"/>
    <s v="Món nước"/>
    <x v="98"/>
    <x v="8"/>
    <n v="0.9"/>
    <n v="18000"/>
    <n v="123"/>
    <n v="7.3170731707317077E-3"/>
    <n v="131.70731707317074"/>
  </r>
  <r>
    <x v="1"/>
    <s v="Mỳ Quảng GàNgò gai"/>
    <s v="Món mặn"/>
    <s v="Món nước"/>
    <x v="98"/>
    <x v="18"/>
    <n v="1"/>
    <n v="36000"/>
    <n v="307"/>
    <n v="3.2573289902280132E-3"/>
    <n v="117.26384364820846"/>
  </r>
  <r>
    <x v="1"/>
    <s v="Mỳ Quảng GàQuế"/>
    <s v="Món mặn"/>
    <s v="Món nước"/>
    <x v="98"/>
    <x v="19"/>
    <n v="1"/>
    <n v="25000"/>
    <n v="123"/>
    <n v="8.130081300813009E-3"/>
    <n v="203.2520325203252"/>
  </r>
  <r>
    <x v="1"/>
    <s v="Mỳ Quảng GàChanh"/>
    <s v="Món mặn"/>
    <s v="Món nước"/>
    <x v="98"/>
    <x v="20"/>
    <n v="0.8"/>
    <n v="26000"/>
    <n v="123"/>
    <n v="6.5040650406504065E-3"/>
    <n v="169.10569105691056"/>
  </r>
  <r>
    <x v="1"/>
    <s v="Mỳ Quảng GàĐậu phộng rang"/>
    <s v="Món mặn"/>
    <s v="Món nước"/>
    <x v="98"/>
    <x v="132"/>
    <n v="0.5"/>
    <n v="50000"/>
    <n v="123"/>
    <n v="4.0650406504065045E-3"/>
    <n v="203.2520325203252"/>
  </r>
  <r>
    <x v="1"/>
    <s v="Mỳ Quảng GàỚt"/>
    <s v="Món mặn"/>
    <s v="Món nước"/>
    <x v="98"/>
    <x v="10"/>
    <n v="0.5"/>
    <n v="30000"/>
    <n v="123"/>
    <n v="4.0650406504065045E-3"/>
    <n v="121.95121951219512"/>
  </r>
  <r>
    <x v="0"/>
    <s v="Bún thịt nướngNạc vai"/>
    <s v="Món mặn"/>
    <s v="Món nước"/>
    <x v="99"/>
    <x v="33"/>
    <n v="8"/>
    <n v="100000"/>
    <n v="100"/>
    <n v="0.08"/>
    <n v="8000"/>
  </r>
  <r>
    <x v="1"/>
    <s v="Bún thịt nướngSả"/>
    <s v="Món mặn"/>
    <s v="Món nước"/>
    <x v="99"/>
    <x v="47"/>
    <n v="1"/>
    <n v="10000"/>
    <n v="100"/>
    <n v="0.01"/>
    <n v="100"/>
  </r>
  <r>
    <x v="1"/>
    <s v="Bún thịt nướngDưa leo"/>
    <s v="Món mặn"/>
    <s v="Món nước"/>
    <x v="99"/>
    <x v="133"/>
    <n v="2"/>
    <n v="10000"/>
    <n v="100"/>
    <n v="0.02"/>
    <n v="200"/>
  </r>
  <r>
    <x v="1"/>
    <s v="Bún thịt nướngĐu đủ xanh"/>
    <s v="Món mặn"/>
    <s v="Món nước"/>
    <x v="99"/>
    <x v="134"/>
    <n v="2"/>
    <n v="5000"/>
    <n v="100"/>
    <n v="0.02"/>
    <n v="100"/>
  </r>
  <r>
    <x v="1"/>
    <s v="Bún thịt nướngHành lá"/>
    <s v="Món mặn"/>
    <s v="Món nước"/>
    <x v="99"/>
    <x v="8"/>
    <n v="0.5"/>
    <n v="18000"/>
    <n v="100"/>
    <n v="5.0000000000000001E-3"/>
    <n v="90"/>
  </r>
  <r>
    <x v="1"/>
    <s v="Bún thịt nướngĐậu phộng rang"/>
    <s v="Món mặn"/>
    <s v="Món nước"/>
    <x v="99"/>
    <x v="132"/>
    <n v="0.7"/>
    <n v="50000"/>
    <n v="100"/>
    <n v="6.9999999999999993E-3"/>
    <n v="350"/>
  </r>
  <r>
    <x v="1"/>
    <s v="Bún thịt nướngXà lách"/>
    <s v="Món mặn"/>
    <s v="Món nước"/>
    <x v="99"/>
    <x v="103"/>
    <n v="2"/>
    <n v="25000"/>
    <n v="100"/>
    <n v="0.02"/>
    <n v="500"/>
  </r>
  <r>
    <x v="1"/>
    <s v="Bún thịt nướngQuế"/>
    <s v="Món mặn"/>
    <s v="Món nước"/>
    <x v="99"/>
    <x v="19"/>
    <n v="0.5"/>
    <n v="25000"/>
    <n v="100"/>
    <n v="5.0000000000000001E-3"/>
    <n v="125"/>
  </r>
  <r>
    <x v="1"/>
    <s v="Bún thịt nướngCà chua"/>
    <s v="Món mặn"/>
    <s v="Món nước"/>
    <x v="99"/>
    <x v="31"/>
    <n v="1.5"/>
    <n v="20000"/>
    <n v="100"/>
    <n v="1.4999999999999999E-2"/>
    <n v="300"/>
  </r>
  <r>
    <x v="0"/>
    <s v="Cá ngừ sốt càCá ngừ"/>
    <s v="Món mặn"/>
    <s v="Món chính"/>
    <x v="100"/>
    <x v="135"/>
    <n v="13"/>
    <n v="32000"/>
    <n v="100"/>
    <n v="0.13"/>
    <n v="4160"/>
  </r>
  <r>
    <x v="1"/>
    <s v="Cá ngừ sốt càCà chua"/>
    <s v="Món mặn"/>
    <s v="Món chính"/>
    <x v="100"/>
    <x v="31"/>
    <n v="2"/>
    <n v="20000"/>
    <n v="100"/>
    <n v="0.02"/>
    <n v="400"/>
  </r>
  <r>
    <x v="0"/>
    <s v="Cá ngừ kho dưaCá ngừ"/>
    <s v="Món mặn"/>
    <s v="Món chính"/>
    <x v="101"/>
    <x v="135"/>
    <n v="14"/>
    <n v="32000"/>
    <n v="100"/>
    <n v="0.14000000000000001"/>
    <n v="4480"/>
  </r>
  <r>
    <x v="1"/>
    <s v="Cá ngừ kho dưaDưa trái muối"/>
    <s v="Món mặn"/>
    <s v="Món chính"/>
    <x v="101"/>
    <x v="136"/>
    <n v="3.5"/>
    <n v="15000"/>
    <n v="100"/>
    <n v="3.5000000000000003E-2"/>
    <n v="525"/>
  </r>
  <r>
    <x v="0"/>
    <s v="Heo rang cháy cạnhHeo nọng"/>
    <s v="Món mặn"/>
    <s v="Món Phụ"/>
    <x v="102"/>
    <x v="74"/>
    <n v="6"/>
    <n v="60000"/>
    <n v="100"/>
    <n v="0.06"/>
    <n v="3600"/>
  </r>
  <r>
    <x v="0"/>
    <s v="Giò heo kho sảGiò heo"/>
    <s v="Món mặn"/>
    <s v="Món chính"/>
    <x v="103"/>
    <x v="112"/>
    <n v="12"/>
    <n v="30000"/>
    <n v="100"/>
    <n v="0.12"/>
    <n v="3600"/>
  </r>
  <r>
    <x v="1"/>
    <s v="Giò heo kho sảSả"/>
    <s v="Món mặn"/>
    <s v="Món chính"/>
    <x v="103"/>
    <x v="47"/>
    <n v="2"/>
    <n v="10000"/>
    <n v="100"/>
    <n v="0.02"/>
    <n v="200"/>
  </r>
  <r>
    <x v="1"/>
    <s v="Cải ngọt xàoCải ngọt"/>
    <s v="Món mặn"/>
    <s v="Món rau"/>
    <x v="104"/>
    <x v="49"/>
    <n v="9"/>
    <n v="12000"/>
    <n v="100"/>
    <n v="0.09"/>
    <n v="1080"/>
  </r>
  <r>
    <x v="1"/>
    <s v="Su su xàoSu su"/>
    <s v="Món mặn"/>
    <s v="Món rau"/>
    <x v="105"/>
    <x v="137"/>
    <n v="9.5"/>
    <n v="12000"/>
    <n v="100"/>
    <n v="9.5000000000000001E-2"/>
    <n v="1140"/>
  </r>
  <r>
    <x v="1"/>
    <s v="Mồng tơi nấu tômMồng tơi"/>
    <s v="Món mặn"/>
    <s v="Món Canh"/>
    <x v="106"/>
    <x v="110"/>
    <n v="5"/>
    <n v="10000"/>
    <n v="100"/>
    <n v="0.05"/>
    <n v="500"/>
  </r>
  <r>
    <x v="0"/>
    <s v="Mồng tơi nấu tômTôm"/>
    <s v="Món mặn"/>
    <s v="Món Canh"/>
    <x v="106"/>
    <x v="14"/>
    <n v="0.4"/>
    <n v="120000"/>
    <n v="100"/>
    <n v="4.0000000000000001E-3"/>
    <n v="480"/>
  </r>
  <r>
    <x v="0"/>
    <s v="Cơm đùi gà rôtyĐùi gà tỏi"/>
    <s v="Món mặn"/>
    <s v="Món chính"/>
    <x v="107"/>
    <x v="138"/>
    <n v="1"/>
    <n v="55000"/>
    <n v="6"/>
    <n v="0.16666666666666666"/>
    <n v="9166.6666666666661"/>
  </r>
  <r>
    <x v="0"/>
    <s v="Cơm đùi gà rôtyTrứng gà"/>
    <s v="Món mặn"/>
    <s v="Món chính"/>
    <x v="107"/>
    <x v="13"/>
    <n v="80"/>
    <n v="230"/>
    <n v="100"/>
    <n v="0.8"/>
    <n v="184"/>
  </r>
  <r>
    <x v="1"/>
    <s v="Cơm đùi gà rôtyCà chua"/>
    <s v="Món mặn"/>
    <s v="Món chính"/>
    <x v="107"/>
    <x v="31"/>
    <n v="2"/>
    <n v="20000"/>
    <n v="100"/>
    <n v="0.02"/>
    <n v="400"/>
  </r>
  <r>
    <x v="1"/>
    <s v="Cơm đùi gà rôtyBí đỏ "/>
    <s v="Món mặn"/>
    <s v="Món chính"/>
    <x v="107"/>
    <x v="139"/>
    <n v="4"/>
    <n v="11000"/>
    <n v="100"/>
    <n v="0.04"/>
    <n v="440"/>
  </r>
  <r>
    <x v="0"/>
    <s v="Cơm đùi gà rôtyThịt xay"/>
    <s v="Món mặn"/>
    <s v="Món chính"/>
    <x v="107"/>
    <x v="2"/>
    <n v="0.4"/>
    <n v="80000"/>
    <n v="100"/>
    <n v="4.0000000000000001E-3"/>
    <n v="320"/>
  </r>
  <r>
    <x v="0"/>
    <s v="Thịt xay xào củ quảThịt xay"/>
    <s v="Món mặn"/>
    <s v="Món Phụ"/>
    <x v="108"/>
    <x v="2"/>
    <n v="1"/>
    <n v="80000"/>
    <n v="40"/>
    <n v="2.5000000000000001E-2"/>
    <n v="2000"/>
  </r>
  <r>
    <x v="1"/>
    <s v="Thịt xay xào củ quảCà rốt"/>
    <s v="Món mặn"/>
    <s v="Món Phụ"/>
    <x v="108"/>
    <x v="26"/>
    <n v="1"/>
    <n v="16000"/>
    <n v="30"/>
    <n v="3.3333333333333333E-2"/>
    <n v="533.33333333333337"/>
  </r>
  <r>
    <x v="1"/>
    <s v="Thịt xay xào củ quảKhoai tây"/>
    <s v="Món mặn"/>
    <s v="Món Phụ"/>
    <x v="108"/>
    <x v="42"/>
    <n v="1"/>
    <n v="13000"/>
    <n v="30"/>
    <n v="3.3333333333333333E-2"/>
    <n v="433.33333333333331"/>
  </r>
  <r>
    <x v="1"/>
    <s v="Thịt xay xào củ quảNấm mèo"/>
    <s v="Món mặn"/>
    <s v="Món Phụ"/>
    <x v="108"/>
    <x v="11"/>
    <n v="0.1"/>
    <n v="110000"/>
    <n v="40"/>
    <n v="2.5000000000000001E-3"/>
    <n v="275"/>
  </r>
  <r>
    <x v="0"/>
    <s v="Chả kho đậu khuônChả cá tấm chiên"/>
    <s v="Món mặn"/>
    <s v="Món Phụ"/>
    <x v="109"/>
    <x v="121"/>
    <n v="3"/>
    <n v="90000"/>
    <n v="100"/>
    <n v="0.03"/>
    <n v="2700"/>
  </r>
  <r>
    <x v="0"/>
    <s v="Chả kho đậu khuônĐậu khuôn chiên"/>
    <s v="Món mặn"/>
    <s v="Món Phụ"/>
    <x v="109"/>
    <x v="140"/>
    <n v="2"/>
    <n v="1600"/>
    <n v="3"/>
    <n v="0.66666666666666663"/>
    <n v="1066.6666666666667"/>
  </r>
  <r>
    <x v="0"/>
    <s v="Bún gà nấu nấmGà DL"/>
    <s v="Món mặn"/>
    <s v="Món chính"/>
    <x v="110"/>
    <x v="124"/>
    <n v="11"/>
    <n v="50000"/>
    <n v="100"/>
    <n v="0.11"/>
    <n v="5500"/>
  </r>
  <r>
    <x v="1"/>
    <s v="Bún gà nấu nấmNấm dai"/>
    <s v="Món mặn"/>
    <s v="Món chính"/>
    <x v="110"/>
    <x v="141"/>
    <n v="0.02"/>
    <n v="16000"/>
    <n v="1"/>
    <n v="0.02"/>
    <n v="320"/>
  </r>
  <r>
    <x v="1"/>
    <s v="Bún gà nấu nấmNấm đùi gà"/>
    <s v="Món mặn"/>
    <s v="Món chính"/>
    <x v="110"/>
    <x v="142"/>
    <n v="1.4999999999999999E-2"/>
    <n v="40000"/>
    <n v="1"/>
    <n v="1.4999999999999999E-2"/>
    <n v="600"/>
  </r>
  <r>
    <x v="1"/>
    <s v="Bún gà nấu nấmỚt xiêm"/>
    <s v="Món mặn"/>
    <s v="Món chính"/>
    <x v="110"/>
    <x v="143"/>
    <n v="1"/>
    <n v="40000"/>
    <n v="100"/>
    <n v="0.01"/>
    <n v="400"/>
  </r>
  <r>
    <x v="1"/>
    <s v="Bún gà nấu nấmHành lá"/>
    <s v="Món mặn"/>
    <s v="Món chính"/>
    <x v="110"/>
    <x v="8"/>
    <n v="1"/>
    <n v="18000"/>
    <n v="100"/>
    <n v="0.01"/>
    <n v="180"/>
  </r>
  <r>
    <x v="1"/>
    <s v="Bún gà nấu nấmNgò gai"/>
    <s v="Món mặn"/>
    <s v="Món chính"/>
    <x v="110"/>
    <x v="18"/>
    <n v="0.5"/>
    <n v="36000"/>
    <n v="100"/>
    <n v="5.0000000000000001E-3"/>
    <n v="180"/>
  </r>
  <r>
    <x v="1"/>
    <s v="Bún gà nấu nấmHành tây"/>
    <s v="Món mặn"/>
    <s v="Món chính"/>
    <x v="110"/>
    <x v="58"/>
    <n v="1"/>
    <n v="11000"/>
    <n v="100"/>
    <n v="0.01"/>
    <n v="110"/>
  </r>
  <r>
    <x v="1"/>
    <s v="Bún gà nấu nấmCủ cải"/>
    <s v="Món mặn"/>
    <s v="Món chính"/>
    <x v="110"/>
    <x v="65"/>
    <n v="2"/>
    <n v="10000"/>
    <n v="100"/>
    <n v="0.02"/>
    <n v="200"/>
  </r>
  <r>
    <x v="1"/>
    <s v="Bún gà nấu nấmCà rốt"/>
    <s v="Món mặn"/>
    <s v="Món chính"/>
    <x v="110"/>
    <x v="26"/>
    <n v="2"/>
    <n v="16000"/>
    <n v="100"/>
    <n v="0.02"/>
    <n v="320"/>
  </r>
  <r>
    <x v="1"/>
    <s v="Bún gà nấu nấmChanh"/>
    <s v="Món mặn"/>
    <s v="Món chính"/>
    <x v="110"/>
    <x v="20"/>
    <n v="1"/>
    <n v="20000"/>
    <n v="100"/>
    <n v="0.01"/>
    <n v="200"/>
  </r>
  <r>
    <x v="0"/>
    <s v="Thịt heo kho chảThịt  heo nọng"/>
    <s v="Món mặn"/>
    <s v="Món chính"/>
    <x v="111"/>
    <x v="144"/>
    <n v="3.5"/>
    <n v="65000"/>
    <n v="100"/>
    <n v="3.5000000000000003E-2"/>
    <n v="2275"/>
  </r>
  <r>
    <x v="0"/>
    <s v="Thịt heo kho chảChả cá tấm chiên"/>
    <s v="Món mặn"/>
    <s v="Món chính"/>
    <x v="111"/>
    <x v="121"/>
    <n v="2.5"/>
    <n v="85000"/>
    <n v="100"/>
    <n v="2.5000000000000001E-2"/>
    <n v="2125"/>
  </r>
  <r>
    <x v="0"/>
    <s v="Mỳ Thịt xíu trứngHeo đùi mông"/>
    <s v="Món mặn"/>
    <s v="Món nước"/>
    <x v="112"/>
    <x v="0"/>
    <n v="5"/>
    <n v="100000"/>
    <n v="100"/>
    <n v="0.05"/>
    <n v="5000"/>
  </r>
  <r>
    <x v="0"/>
    <s v="Mỳ Thịt xíu trứngTrứng cút"/>
    <s v="Món mặn"/>
    <s v="Món nước"/>
    <x v="112"/>
    <x v="94"/>
    <n v="3"/>
    <n v="500"/>
    <n v="1"/>
    <n v="3"/>
    <n v="1500"/>
  </r>
  <r>
    <x v="1"/>
    <s v="Mỳ Thịt xíu trứngBánh tráng"/>
    <s v="Món mặn"/>
    <s v="Món nước"/>
    <x v="112"/>
    <x v="15"/>
    <n v="1"/>
    <n v="3000"/>
    <n v="6"/>
    <n v="0.16666666666666666"/>
    <n v="500"/>
  </r>
  <r>
    <x v="1"/>
    <s v="Mỳ Thịt xíu trứngXà lách "/>
    <s v="Món mặn"/>
    <s v="Món nước"/>
    <x v="112"/>
    <x v="16"/>
    <n v="2.5"/>
    <n v="25000"/>
    <n v="123"/>
    <n v="2.032520325203252E-2"/>
    <n v="508.130081300813"/>
  </r>
  <r>
    <x v="1"/>
    <s v="Mỳ Thịt xíu trứngSu trắng"/>
    <s v="Món mặn"/>
    <s v="Món nước"/>
    <x v="112"/>
    <x v="17"/>
    <n v="2"/>
    <n v="10000"/>
    <n v="123"/>
    <n v="1.6260162601626018E-2"/>
    <n v="162.60162601626016"/>
  </r>
  <r>
    <x v="1"/>
    <s v="Mỳ Thịt xíu trứngGiá"/>
    <s v="Món mặn"/>
    <s v="Món nước"/>
    <x v="112"/>
    <x v="7"/>
    <n v="2"/>
    <n v="8000"/>
    <n v="123"/>
    <n v="1.6260162601626018E-2"/>
    <n v="130.08130081300814"/>
  </r>
  <r>
    <x v="1"/>
    <s v="Mỳ Thịt xíu trứngHành lá"/>
    <s v="Món mặn"/>
    <s v="Món nước"/>
    <x v="112"/>
    <x v="8"/>
    <n v="0.9"/>
    <n v="18000"/>
    <n v="123"/>
    <n v="7.3170731707317077E-3"/>
    <n v="131.70731707317074"/>
  </r>
  <r>
    <x v="1"/>
    <s v="Mỳ Thịt xíu trứngNgò gai"/>
    <s v="Món mặn"/>
    <s v="Món nước"/>
    <x v="112"/>
    <x v="18"/>
    <n v="1"/>
    <n v="36000"/>
    <n v="307"/>
    <n v="3.2573289902280132E-3"/>
    <n v="117.26384364820846"/>
  </r>
  <r>
    <x v="1"/>
    <s v="Mỳ Thịt xíu trứngQuế"/>
    <s v="Món mặn"/>
    <s v="Món nước"/>
    <x v="112"/>
    <x v="19"/>
    <n v="1"/>
    <n v="15000"/>
    <n v="123"/>
    <n v="8.130081300813009E-3"/>
    <n v="121.95121951219512"/>
  </r>
  <r>
    <x v="1"/>
    <s v="Mỳ Thịt xíu trứngChanh"/>
    <s v="Món mặn"/>
    <s v="Món nước"/>
    <x v="112"/>
    <x v="20"/>
    <n v="0.5"/>
    <n v="26000"/>
    <n v="123"/>
    <n v="4.0650406504065045E-3"/>
    <n v="105.6910569105691"/>
  </r>
  <r>
    <x v="1"/>
    <s v="Mỳ Thịt xíu trứngỚt"/>
    <s v="Món mặn"/>
    <s v="Món nước"/>
    <x v="112"/>
    <x v="10"/>
    <n v="0.5"/>
    <n v="30000"/>
    <n v="123"/>
    <n v="4.0650406504065045E-3"/>
    <n v="121.95121951219512"/>
  </r>
  <r>
    <x v="1"/>
    <s v="Heo xào đậu veĐậu ve"/>
    <s v="Món mặn"/>
    <s v="Món Phụ"/>
    <x v="113"/>
    <x v="145"/>
    <n v="6"/>
    <n v="18000"/>
    <n v="100"/>
    <n v="0.06"/>
    <n v="1080"/>
  </r>
  <r>
    <x v="0"/>
    <s v="Heo xào đậu ve Nạc vai"/>
    <s v="Món mặn"/>
    <s v="Món Phụ"/>
    <x v="113"/>
    <x v="146"/>
    <n v="1.5"/>
    <n v="100000"/>
    <n v="100"/>
    <n v="1.4999999999999999E-2"/>
    <n v="1500"/>
  </r>
  <r>
    <x v="0"/>
    <s v="Heo xào đậu veHeo nọng"/>
    <s v="Món mặn"/>
    <s v="Món Phụ"/>
    <x v="113"/>
    <x v="74"/>
    <n v="1.5"/>
    <n v="65000"/>
    <n v="100"/>
    <n v="1.4999999999999999E-2"/>
    <n v="975"/>
  </r>
  <r>
    <x v="1"/>
    <s v="Rau má nấu tômRau má"/>
    <s v="Món mặn"/>
    <s v="Món Canh"/>
    <x v="114"/>
    <x v="76"/>
    <n v="18"/>
    <n v="18000"/>
    <n v="520"/>
    <n v="3.4615384615384617E-2"/>
    <n v="623.07692307692309"/>
  </r>
  <r>
    <x v="0"/>
    <s v="Rau má nấu tômTôm"/>
    <s v="Món mặn"/>
    <s v="Món Canh"/>
    <x v="114"/>
    <x v="14"/>
    <n v="1.5"/>
    <n v="130000"/>
    <n v="500"/>
    <n v="3.0000000000000001E-3"/>
    <n v="390"/>
  </r>
  <r>
    <x v="0"/>
    <s v="Cơm thịt xá xíuHeo đùi mông"/>
    <s v="Món mặn"/>
    <s v="Món chính"/>
    <x v="115"/>
    <x v="0"/>
    <n v="6"/>
    <n v="100000"/>
    <n v="100"/>
    <n v="0.06"/>
    <n v="6000"/>
  </r>
  <r>
    <x v="1"/>
    <s v="Cơm thịt xá xíuCà chua"/>
    <s v="Món mặn"/>
    <s v="Món chính"/>
    <x v="115"/>
    <x v="31"/>
    <n v="2"/>
    <n v="20000"/>
    <n v="100"/>
    <n v="0.02"/>
    <n v="400"/>
  </r>
  <r>
    <x v="1"/>
    <s v="Cơm thịt xá xíuDưa leo"/>
    <s v="Món mặn"/>
    <s v="Món chính"/>
    <x v="115"/>
    <x v="133"/>
    <n v="3"/>
    <n v="10000"/>
    <n v="100"/>
    <n v="0.03"/>
    <n v="300"/>
  </r>
  <r>
    <x v="0"/>
    <s v="Cơm thịt xá xíuTrứng gà"/>
    <s v="Món mặn"/>
    <s v="Món chính"/>
    <x v="115"/>
    <x v="13"/>
    <n v="100"/>
    <n v="2200"/>
    <n v="100"/>
    <n v="1"/>
    <n v="2200"/>
  </r>
  <r>
    <x v="1"/>
    <s v="Cơm thịt xá xíuRong biển khô"/>
    <s v="Món mặn"/>
    <s v="Món chính"/>
    <x v="115"/>
    <x v="147"/>
    <n v="0.5"/>
    <n v="200000"/>
    <n v="150"/>
    <n v="3.3333333333333335E-3"/>
    <n v="666.66666666666663"/>
  </r>
  <r>
    <x v="0"/>
    <s v="Cơm thịt xá xíuTôm"/>
    <s v="Món mặn"/>
    <s v="Món chính"/>
    <x v="115"/>
    <x v="14"/>
    <n v="0.5"/>
    <n v="130000"/>
    <n v="150"/>
    <n v="3.3333333333333335E-3"/>
    <n v="433.33333333333331"/>
  </r>
  <r>
    <x v="0"/>
    <s v="Tim heo xào măngTim heo"/>
    <s v="Món mặn"/>
    <s v="Món Phụ"/>
    <x v="116"/>
    <x v="148"/>
    <n v="0.05"/>
    <n v="50000"/>
    <n v="1"/>
    <n v="0.05"/>
    <n v="2500"/>
  </r>
  <r>
    <x v="1"/>
    <s v="Tim heo xào măngMăng vàng"/>
    <s v="Món mặn"/>
    <s v="Món Phụ"/>
    <x v="116"/>
    <x v="75"/>
    <n v="0.05"/>
    <n v="25000"/>
    <n v="1"/>
    <n v="0.05"/>
    <n v="1250"/>
  </r>
  <r>
    <x v="0"/>
    <s v="Thịt heo ngâm mắmHeo đùi mông"/>
    <s v="Món mặn"/>
    <s v="Món chính"/>
    <x v="117"/>
    <x v="0"/>
    <n v="4.5"/>
    <n v="100000"/>
    <n v="100"/>
    <n v="4.4999999999999998E-2"/>
    <n v="4500"/>
  </r>
  <r>
    <x v="0"/>
    <s v="Chả cá chiên sả ớtChả cá tấm"/>
    <s v="Món mặn"/>
    <s v="Món Phụ"/>
    <x v="118"/>
    <x v="125"/>
    <n v="3.5"/>
    <n v="90000"/>
    <n v="100"/>
    <n v="3.5000000000000003E-2"/>
    <n v="3150"/>
  </r>
  <r>
    <x v="1"/>
    <s v="Chả cá chiên sả ớtSả"/>
    <s v="Món mặn"/>
    <s v="Món Phụ"/>
    <x v="118"/>
    <x v="47"/>
    <n v="0.5"/>
    <n v="10000"/>
    <n v="100"/>
    <n v="5.0000000000000001E-3"/>
    <n v="50"/>
  </r>
  <r>
    <x v="1"/>
    <s v="Canh chuaMăng chua"/>
    <s v="Món mặn"/>
    <s v="Món Canh"/>
    <x v="119"/>
    <x v="101"/>
    <n v="2"/>
    <n v="25000"/>
    <n v="130"/>
    <n v="1.5384615384615385E-2"/>
    <n v="384.61538461538464"/>
  </r>
  <r>
    <x v="1"/>
    <s v="Canh chuaThơm"/>
    <s v="Món mặn"/>
    <s v="Món Canh"/>
    <x v="119"/>
    <x v="24"/>
    <n v="1.5"/>
    <n v="18000"/>
    <n v="130"/>
    <n v="1.1538461538461539E-2"/>
    <n v="207.69230769230768"/>
  </r>
  <r>
    <x v="1"/>
    <s v="Canh chuaCà chua"/>
    <s v="Món mặn"/>
    <s v="Món Canh"/>
    <x v="119"/>
    <x v="31"/>
    <n v="1"/>
    <n v="25000"/>
    <n v="130"/>
    <n v="7.6923076923076927E-3"/>
    <n v="192.30769230769232"/>
  </r>
  <r>
    <x v="1"/>
    <s v="Canh chuaRau ngũ điếc"/>
    <s v="Món mặn"/>
    <s v="Món Canh"/>
    <x v="119"/>
    <x v="149"/>
    <n v="0.5"/>
    <n v="30000"/>
    <n v="130"/>
    <n v="3.8461538461538464E-3"/>
    <n v="115.38461538461539"/>
  </r>
  <r>
    <x v="1"/>
    <s v="Canh chuaHành lá"/>
    <s v="Món mặn"/>
    <s v="Món Canh"/>
    <x v="119"/>
    <x v="8"/>
    <n v="0.5"/>
    <n v="25000"/>
    <n v="130"/>
    <n v="3.8461538461538464E-3"/>
    <n v="96.15384615384616"/>
  </r>
  <r>
    <x v="1"/>
    <s v="Mít non nấu tômMít non"/>
    <s v="Món mặn"/>
    <s v="Món Canh"/>
    <x v="120"/>
    <x v="150"/>
    <n v="22"/>
    <n v="15000"/>
    <n v="630"/>
    <n v="3.4920634920634921E-2"/>
    <n v="523.80952380952385"/>
  </r>
  <r>
    <x v="0"/>
    <s v="Mít non nấu tômTôm"/>
    <s v="Món mặn"/>
    <s v="Món Canh"/>
    <x v="120"/>
    <x v="14"/>
    <n v="1.5"/>
    <n v="130000"/>
    <n v="630"/>
    <n v="2.3809523809523812E-3"/>
    <n v="309.52380952380952"/>
  </r>
  <r>
    <x v="1"/>
    <s v="Mít non nấu tômLá lót"/>
    <s v="Món mặn"/>
    <s v="Món Canh"/>
    <x v="120"/>
    <x v="151"/>
    <n v="1"/>
    <m/>
    <n v="630"/>
    <n v="1.5873015873015873E-3"/>
    <n v="0"/>
  </r>
  <r>
    <x v="1"/>
    <s v="Cà ri bò + bánh mỳNạm bò"/>
    <s v="Món mặn"/>
    <s v="Món chính"/>
    <x v="121"/>
    <x v="78"/>
    <n v="26"/>
    <m/>
    <n v="175"/>
    <n v="0.14857142857142858"/>
    <n v="0"/>
  </r>
  <r>
    <x v="0"/>
    <s v="Thịt kho dưa muốiThịt heo nọng"/>
    <s v="Món mặn"/>
    <s v="Món chính"/>
    <x v="122"/>
    <x v="152"/>
    <n v="0.02"/>
    <n v="65000"/>
    <n v="1"/>
    <n v="0.02"/>
    <n v="1300"/>
  </r>
  <r>
    <x v="0"/>
    <s v="Thịt kho dưa muốiThịt đùi mông"/>
    <s v="Món mặn"/>
    <s v="Món chính"/>
    <x v="122"/>
    <x v="25"/>
    <n v="0.02"/>
    <n v="100000"/>
    <n v="1"/>
    <n v="0.02"/>
    <n v="2000"/>
  </r>
  <r>
    <x v="1"/>
    <s v="Thịt kho dưa muốiDưa trái muối"/>
    <s v="Món mặn"/>
    <s v="Món chính"/>
    <x v="122"/>
    <x v="136"/>
    <n v="0.05"/>
    <n v="15000"/>
    <n v="1"/>
    <n v="0.05"/>
    <n v="750"/>
  </r>
  <r>
    <x v="1"/>
    <s v="Tôm thịt rim củ cảiBa chỉ ĐL"/>
    <s v="Món mặn"/>
    <s v="Món chính"/>
    <x v="123"/>
    <x v="153"/>
    <n v="0.03"/>
    <n v="80000"/>
    <n v="1"/>
    <n v="0.03"/>
    <n v="2400"/>
  </r>
  <r>
    <x v="1"/>
    <s v="Tôm thịt rim củ cảiTôm"/>
    <s v="Món mặn"/>
    <s v="Món chính"/>
    <x v="123"/>
    <x v="14"/>
    <n v="1"/>
    <n v="145000"/>
    <n v="60"/>
    <n v="1.6666666666666666E-2"/>
    <n v="2416.6666666666665"/>
  </r>
  <r>
    <x v="1"/>
    <s v="Tôm thịt rim củ cảiCủ cải"/>
    <s v="Món mặn"/>
    <s v="Món chính"/>
    <x v="123"/>
    <x v="65"/>
    <n v="0.03"/>
    <n v="12000"/>
    <n v="1"/>
    <n v="0.03"/>
    <n v="360"/>
  </r>
  <r>
    <x v="1"/>
    <s v="Cải thìa xàoCải thìa"/>
    <s v="Món mặn"/>
    <s v="Món rau"/>
    <x v="124"/>
    <x v="154"/>
    <n v="9.5"/>
    <n v="10000"/>
    <n v="100"/>
    <n v="9.5000000000000001E-2"/>
    <n v="950"/>
  </r>
  <r>
    <x v="1"/>
    <s v="Đậu ve xàoĐậu ve"/>
    <s v="Món mặn"/>
    <s v="Món rau"/>
    <x v="125"/>
    <x v="145"/>
    <n v="8.5"/>
    <n v="15000"/>
    <n v="100"/>
    <n v="8.5000000000000006E-2"/>
    <n v="1275"/>
  </r>
  <r>
    <x v="0"/>
    <s v="Tôm thịt rim mặnTôm ~150c/kg"/>
    <s v="Món mặn"/>
    <s v="Món chính"/>
    <x v="126"/>
    <x v="155"/>
    <n v="1"/>
    <n v="90000"/>
    <n v="37"/>
    <n v="2.7027027027027029E-2"/>
    <n v="2432.4324324324325"/>
  </r>
  <r>
    <x v="0"/>
    <s v="Tôm thịt rim mặnNạc đùi ĐL"/>
    <s v="Món mặn"/>
    <s v="Món chính"/>
    <x v="126"/>
    <x v="156"/>
    <n v="0.04"/>
    <n v="98000"/>
    <n v="1"/>
    <n v="0.04"/>
    <n v="3920"/>
  </r>
  <r>
    <x v="0"/>
    <s v="Lưỡi heo xào thơm càLưỡi heo"/>
    <s v="Món mặn"/>
    <s v="Món chính"/>
    <x v="127"/>
    <x v="157"/>
    <n v="5.5E-2"/>
    <n v="65000"/>
    <n v="1"/>
    <n v="5.5E-2"/>
    <n v="3575"/>
  </r>
  <r>
    <x v="1"/>
    <s v="Lưỡi heo xào thơm càThơm"/>
    <s v="Món mặn"/>
    <s v="Món chính"/>
    <x v="127"/>
    <x v="24"/>
    <n v="2.5000000000000001E-2"/>
    <n v="18000"/>
    <n v="1"/>
    <n v="2.5000000000000001E-2"/>
    <n v="450"/>
  </r>
  <r>
    <x v="1"/>
    <s v="Lưỡi heo xào thơm càCà chua"/>
    <s v="Món mặn"/>
    <s v="Món chính"/>
    <x v="127"/>
    <x v="31"/>
    <n v="0.02"/>
    <n v="15000"/>
    <n v="1"/>
    <n v="0.02"/>
    <n v="300"/>
  </r>
  <r>
    <x v="1"/>
    <s v="Lưỡi heo xào thơm càNgò rí"/>
    <s v="Món mặn"/>
    <s v="Món chính"/>
    <x v="127"/>
    <x v="158"/>
    <n v="0.1"/>
    <n v="40000"/>
    <n v="20"/>
    <n v="5.0000000000000001E-3"/>
    <n v="200"/>
  </r>
  <r>
    <x v="1"/>
    <s v="Bún chayCà rốt"/>
    <s v="Món chay"/>
    <s v="Món chính"/>
    <x v="128"/>
    <x v="26"/>
    <n v="0.5"/>
    <n v="15000"/>
    <n v="14"/>
    <n v="3.5714285714285712E-2"/>
    <n v="535.71428571428567"/>
  </r>
  <r>
    <x v="1"/>
    <s v="Bún chayCủ cải"/>
    <s v="Món chay"/>
    <s v="Món chính"/>
    <x v="128"/>
    <x v="65"/>
    <n v="0.5"/>
    <n v="10000"/>
    <n v="14"/>
    <n v="3.5714285714285712E-2"/>
    <n v="357.14285714285717"/>
  </r>
  <r>
    <x v="1"/>
    <s v="Bún chayBí đỏ"/>
    <s v="Món chay"/>
    <s v="Món chính"/>
    <x v="128"/>
    <x v="71"/>
    <n v="0.5"/>
    <n v="12000"/>
    <n v="14"/>
    <n v="3.5714285714285712E-2"/>
    <n v="428.57142857142856"/>
  </r>
  <r>
    <x v="1"/>
    <s v="Bún chayPhù chúc khô"/>
    <s v="Món chay"/>
    <s v="Món chính"/>
    <x v="128"/>
    <x v="159"/>
    <n v="0.15"/>
    <n v="80000"/>
    <n v="14"/>
    <n v="1.0714285714285714E-2"/>
    <n v="857.14285714285711"/>
  </r>
  <r>
    <x v="1"/>
    <s v="Bún chayChả chay"/>
    <s v="Món chay"/>
    <s v="Món chính"/>
    <x v="128"/>
    <x v="160"/>
    <n v="0.5"/>
    <n v="80000"/>
    <n v="14"/>
    <n v="3.5714285714285712E-2"/>
    <n v="2857.1428571428573"/>
  </r>
  <r>
    <x v="1"/>
    <s v="Bún chayNấm dai"/>
    <s v="Món chay"/>
    <s v="Món chính"/>
    <x v="128"/>
    <x v="141"/>
    <n v="0.5"/>
    <n v="45000"/>
    <n v="14"/>
    <n v="3.5714285714285712E-2"/>
    <n v="1607.1428571428571"/>
  </r>
  <r>
    <x v="1"/>
    <s v="Bún xào căn cuộnCăn cuộn"/>
    <s v="Món chay"/>
    <s v="Món chính"/>
    <x v="129"/>
    <x v="161"/>
    <n v="12"/>
    <m/>
    <n v="10"/>
    <n v="1.2"/>
    <n v="0"/>
  </r>
  <r>
    <x v="1"/>
    <s v="Bún xào căn cuộnBún khô"/>
    <s v="Món chay"/>
    <s v="Món chính"/>
    <x v="129"/>
    <x v="162"/>
    <n v="0.03"/>
    <m/>
    <n v="10"/>
    <n v="3.0000000000000001E-3"/>
    <n v="0"/>
  </r>
  <r>
    <x v="1"/>
    <s v="Bún xào căn cuộnNgò rí"/>
    <s v="Món chay"/>
    <s v="Món chính"/>
    <x v="129"/>
    <x v="158"/>
    <n v="0.1"/>
    <m/>
    <n v="10"/>
    <n v="0.01"/>
    <n v="0"/>
  </r>
  <r>
    <x v="0"/>
    <s v="Xíu  mại trứng cútChả quết"/>
    <s v="Món mặn"/>
    <s v="Món chính"/>
    <x v="130"/>
    <x v="79"/>
    <n v="0.6"/>
    <n v="120000"/>
    <n v="75"/>
    <n v="8.0000000000000002E-3"/>
    <n v="960"/>
  </r>
  <r>
    <x v="0"/>
    <s v="Xíu  mại trứng cútThịt nọng xay mịn"/>
    <s v="Món mặn"/>
    <s v="Món chính"/>
    <x v="130"/>
    <x v="163"/>
    <n v="1.7"/>
    <n v="70000"/>
    <n v="75"/>
    <n v="2.2666666666666665E-2"/>
    <n v="1586.6666666666667"/>
  </r>
  <r>
    <x v="0"/>
    <s v="Xíu  mại trứng cúttrứng cút lọt sẵn"/>
    <s v="Món mặn"/>
    <s v="Món chính"/>
    <x v="130"/>
    <x v="164"/>
    <n v="150"/>
    <n v="600"/>
    <n v="75"/>
    <n v="2"/>
    <n v="1200"/>
  </r>
  <r>
    <x v="1"/>
    <s v="Xíu  mại trứng cútBún tàu"/>
    <s v="Món mặn"/>
    <s v="Món chính"/>
    <x v="130"/>
    <x v="165"/>
    <n v="0.1"/>
    <n v="30000"/>
    <n v="75"/>
    <n v="1.3333333333333335E-3"/>
    <n v="40"/>
  </r>
  <r>
    <x v="1"/>
    <s v="Xíu  mại trứng cútNấm mèo khô"/>
    <s v="Món mặn"/>
    <s v="Món chính"/>
    <x v="130"/>
    <x v="166"/>
    <n v="0.05"/>
    <n v="120000"/>
    <n v="75"/>
    <n v="6.6666666666666675E-4"/>
    <n v="80"/>
  </r>
  <r>
    <x v="1"/>
    <s v="Xíu  mại trứng cútHành lá"/>
    <s v="Món mặn"/>
    <s v="Món chính"/>
    <x v="130"/>
    <x v="8"/>
    <n v="0.4"/>
    <n v="20000"/>
    <n v="75"/>
    <n v="5.333333333333334E-3"/>
    <n v="106.66666666666667"/>
  </r>
  <r>
    <x v="1"/>
    <s v="Xíu  mại trứng cútCà chua"/>
    <s v="Món mặn"/>
    <s v="Món chính"/>
    <x v="130"/>
    <x v="31"/>
    <n v="0.3"/>
    <n v="15000"/>
    <n v="75"/>
    <n v="4.0000000000000001E-3"/>
    <n v="60"/>
  </r>
  <r>
    <x v="0"/>
    <s v="Mực xào thơm càMực tép"/>
    <s v="Món mặn"/>
    <s v="Món chính"/>
    <x v="131"/>
    <x v="167"/>
    <n v="2.7"/>
    <n v="120000"/>
    <n v="78"/>
    <n v="3.4615384615384617E-2"/>
    <n v="4153.8461538461543"/>
  </r>
  <r>
    <x v="1"/>
    <s v="Mực xào thơm càThơm"/>
    <s v="Món mặn"/>
    <s v="Món chính"/>
    <x v="131"/>
    <x v="24"/>
    <n v="1.5"/>
    <n v="22000"/>
    <n v="78"/>
    <n v="1.9230769230769232E-2"/>
    <n v="423.07692307692309"/>
  </r>
  <r>
    <x v="1"/>
    <s v="Mực xào thơm càCà chua"/>
    <s v="Món mặn"/>
    <s v="Món chính"/>
    <x v="131"/>
    <x v="31"/>
    <n v="0.5"/>
    <n v="15000"/>
    <n v="78"/>
    <n v="6.41025641025641E-3"/>
    <n v="96.15384615384616"/>
  </r>
  <r>
    <x v="1"/>
    <s v="Mực xào thơm càHành tây"/>
    <s v="Món mặn"/>
    <s v="Món chính"/>
    <x v="131"/>
    <x v="58"/>
    <n v="1.5"/>
    <n v="12000"/>
    <n v="78"/>
    <n v="1.9230769230769232E-2"/>
    <n v="230.76923076923077"/>
  </r>
  <r>
    <x v="1"/>
    <s v="Mực xào thơm càNgò gai"/>
    <s v="Món mặn"/>
    <s v="Món chính"/>
    <x v="131"/>
    <x v="18"/>
    <n v="0.1"/>
    <n v="25000"/>
    <n v="78"/>
    <n v="1.2820512820512821E-3"/>
    <n v="32.051282051282051"/>
  </r>
  <r>
    <x v="1"/>
    <s v="Giò heo kho măngBắp giò heo"/>
    <s v="Món mặn"/>
    <s v="Món chính"/>
    <x v="90"/>
    <x v="168"/>
    <n v="8.5"/>
    <n v="59000"/>
    <n v="78"/>
    <n v="0.10897435897435898"/>
    <n v="6429.4871794871797"/>
  </r>
  <r>
    <x v="1"/>
    <s v="Giò heo kho măngSả"/>
    <s v="Món mặn"/>
    <s v="Món chính"/>
    <x v="90"/>
    <x v="47"/>
    <n v="0.3"/>
    <n v="22000"/>
    <n v="78"/>
    <n v="3.8461538461538459E-3"/>
    <n v="84.615384615384613"/>
  </r>
  <r>
    <x v="1"/>
    <s v="Giò heo kho măngMăng vàng cục"/>
    <s v="Món mặn"/>
    <s v="Món chính"/>
    <x v="90"/>
    <x v="169"/>
    <n v="2"/>
    <n v="25000"/>
    <n v="78"/>
    <n v="2.564102564102564E-2"/>
    <n v="641.02564102564099"/>
  </r>
  <r>
    <x v="1"/>
    <s v="Chả cá viên sốt càChả cá viên"/>
    <s v="Món mặn"/>
    <s v="Món Phụ"/>
    <x v="132"/>
    <x v="170"/>
    <n v="1"/>
    <n v="70000"/>
    <n v="25"/>
    <n v="0.04"/>
    <n v="2800"/>
  </r>
  <r>
    <x v="1"/>
    <s v="Chả cá viên sốt càCà chua"/>
    <s v="Món mặn"/>
    <s v="Món Phụ"/>
    <x v="132"/>
    <x v="31"/>
    <n v="0.2"/>
    <n v="22000"/>
    <n v="25"/>
    <n v="8.0000000000000002E-3"/>
    <n v="176"/>
  </r>
  <r>
    <x v="1"/>
    <s v="Heo kho đậu khuônHeo nọng nạc"/>
    <s v="Món mặn"/>
    <s v="Mặn chính"/>
    <x v="133"/>
    <x v="171"/>
    <n v="1"/>
    <n v="70000"/>
    <n v="78"/>
    <n v="1.282051282051282E-2"/>
    <n v="897.43589743589746"/>
  </r>
  <r>
    <x v="1"/>
    <s v="Heo kho đậu khuônHeo nạc vai"/>
    <s v="Món mặn"/>
    <s v="Mặn chính"/>
    <x v="133"/>
    <x v="73"/>
    <n v="1.8"/>
    <n v="110000"/>
    <n v="78"/>
    <n v="2.3076923076923078E-2"/>
    <n v="2538.4615384615386"/>
  </r>
  <r>
    <x v="1"/>
    <s v="Heo kho đậu khuônĐậu khuôn chiên lát nhỏ"/>
    <s v="Món mặn"/>
    <s v="Mặn chính"/>
    <x v="133"/>
    <x v="172"/>
    <n v="48"/>
    <n v="1600"/>
    <n v="78"/>
    <n v="0.61538461538461542"/>
    <n v="984.61538461538464"/>
  </r>
  <r>
    <x v="0"/>
    <s v="Tôm xào mướpTôm ~150c"/>
    <s v="Món mặn"/>
    <s v="Món Phụ"/>
    <x v="134"/>
    <x v="173"/>
    <n v="2"/>
    <n v="90000"/>
    <n v="78"/>
    <n v="2.564102564102564E-2"/>
    <n v="2307.6923076923076"/>
  </r>
  <r>
    <x v="1"/>
    <s v="Tôm xào mướpMướp"/>
    <s v="Món mặn"/>
    <s v="Món Phụ"/>
    <x v="134"/>
    <x v="39"/>
    <n v="5.5"/>
    <n v="12000"/>
    <n v="78"/>
    <n v="7.0512820512820512E-2"/>
    <n v="846.15384615384619"/>
  </r>
  <r>
    <x v="1"/>
    <s v="Tôm xào mướpHành lá"/>
    <s v="Món mặn"/>
    <s v="Món Phụ"/>
    <x v="134"/>
    <x v="8"/>
    <n v="0.3"/>
    <n v="20000"/>
    <n v="78"/>
    <n v="3.8461538461538459E-3"/>
    <n v="76.92307692307692"/>
  </r>
  <r>
    <x v="0"/>
    <s v="Gà kho sả nghệGà enfood"/>
    <s v="Món mặn"/>
    <s v="Món chính"/>
    <x v="135"/>
    <x v="174"/>
    <n v="9.4"/>
    <n v="50000"/>
    <n v="78"/>
    <n v="0.12051282051282051"/>
    <n v="6025.6410256410254"/>
  </r>
  <r>
    <x v="1"/>
    <s v="Gà kho sả nghệSả"/>
    <s v="Món mặn"/>
    <s v="Món chính"/>
    <x v="135"/>
    <x v="47"/>
    <n v="0.5"/>
    <n v="25000"/>
    <n v="78"/>
    <n v="6.41025641025641E-3"/>
    <n v="160.25641025641025"/>
  </r>
  <r>
    <x v="1"/>
    <s v="Gà kho sả nghệNghệ"/>
    <s v="Món mặn"/>
    <s v="Món chính"/>
    <x v="135"/>
    <x v="87"/>
    <n v="0.3"/>
    <n v="25000"/>
    <n v="78"/>
    <n v="3.8461538461538459E-3"/>
    <n v="96.15384615384616"/>
  </r>
  <r>
    <x v="0"/>
    <s v="Gà xé trộn hànhGà enfood"/>
    <s v="Món mặn"/>
    <s v="Món chính"/>
    <x v="136"/>
    <x v="174"/>
    <n v="8"/>
    <n v="50000"/>
    <n v="100"/>
    <n v="0.08"/>
    <n v="4000"/>
  </r>
  <r>
    <x v="1"/>
    <s v="Gà xé trộn hànhHành tây"/>
    <s v="Món mặn"/>
    <s v="Món chính"/>
    <x v="136"/>
    <x v="58"/>
    <n v="3"/>
    <n v="15000"/>
    <n v="100"/>
    <n v="0.03"/>
    <n v="450"/>
  </r>
  <r>
    <x v="1"/>
    <s v="Gà xé trộn hànhRau răm"/>
    <s v="Món mặn"/>
    <s v="Món chính"/>
    <x v="136"/>
    <x v="38"/>
    <n v="0.5"/>
    <n v="30000"/>
    <n v="100"/>
    <n v="5.0000000000000001E-3"/>
    <n v="150"/>
  </r>
  <r>
    <x v="0"/>
    <s v="Thịt kho sả ruốcHeo nọng nạc"/>
    <s v="Món mặn"/>
    <s v="Món chính"/>
    <x v="137"/>
    <x v="171"/>
    <n v="1.2"/>
    <n v="70000"/>
    <n v="78"/>
    <n v="1.5384615384615384E-2"/>
    <n v="1076.9230769230769"/>
  </r>
  <r>
    <x v="0"/>
    <s v="Thịt kho sả ruốcThịt nạc vai"/>
    <s v="Món mặn"/>
    <s v="Món chính"/>
    <x v="137"/>
    <x v="126"/>
    <n v="2.2999999999999998"/>
    <n v="110000"/>
    <n v="78"/>
    <n v="2.9487179487179487E-2"/>
    <n v="3243.5897435897432"/>
  </r>
  <r>
    <x v="1"/>
    <s v="Thịt kho sả ruốcSả"/>
    <s v="Món mặn"/>
    <s v="Món chính"/>
    <x v="137"/>
    <x v="47"/>
    <n v="0.5"/>
    <n v="25000"/>
    <n v="78"/>
    <n v="6.41025641025641E-3"/>
    <n v="160.25641025641025"/>
  </r>
  <r>
    <x v="0"/>
    <s v="Thịt kho sả ruốcMắm ruốc"/>
    <s v="Món mặn"/>
    <s v="Món chính"/>
    <x v="137"/>
    <x v="48"/>
    <n v="0.5"/>
    <n v="35000"/>
    <n v="78"/>
    <n v="6.41025641025641E-3"/>
    <n v="224.35897435897436"/>
  </r>
  <r>
    <x v="0"/>
    <s v="Thịt rim chả cáHeo nọng nạc"/>
    <s v="Món mặn"/>
    <s v="Món chính"/>
    <x v="138"/>
    <x v="171"/>
    <n v="1"/>
    <n v="80000"/>
    <n v="100"/>
    <n v="0.01"/>
    <n v="800"/>
  </r>
  <r>
    <x v="0"/>
    <s v="Thịt rim chả cáNạc vai"/>
    <s v="Món mặn"/>
    <s v="Món chính"/>
    <x v="138"/>
    <x v="33"/>
    <n v="2.5"/>
    <n v="85000"/>
    <n v="100"/>
    <n v="2.5000000000000001E-2"/>
    <n v="2125"/>
  </r>
  <r>
    <x v="0"/>
    <s v="Thịt rim chả cáChả cá tâm"/>
    <s v="Món mặn"/>
    <s v="Món chính"/>
    <x v="138"/>
    <x v="175"/>
    <n v="2.5"/>
    <n v="60000"/>
    <n v="100"/>
    <n v="2.5000000000000001E-2"/>
    <n v="15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  <r>
    <x v="0"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18423A-87FF-4EEA-9C38-C7523AF20CCE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3:V16" firstHeaderRow="1" firstDataRow="2" firstDataCol="1"/>
  <pivotFields count="5">
    <pivotField axis="axisCol" showAll="0">
      <items count="4">
        <item m="1" x="1"/>
        <item m="1" x="2"/>
        <item x="0"/>
        <item t="default"/>
      </items>
    </pivotField>
    <pivotField axis="axisRow" showAll="0">
      <items count="15">
        <item m="1" x="1"/>
        <item sd="0" x="0"/>
        <item m="1" x="3"/>
        <item m="1" x="4"/>
        <item m="1" x="2"/>
        <item m="1" x="6"/>
        <item m="1" x="5"/>
        <item m="1" x="11"/>
        <item m="1" x="7"/>
        <item m="1" x="8"/>
        <item m="1" x="9"/>
        <item m="1" x="10"/>
        <item m="1" x="13"/>
        <item m="1" x="12"/>
        <item t="default"/>
      </items>
    </pivotField>
    <pivotField axis="axisRow" showAll="0">
      <items count="79">
        <item m="1" x="1"/>
        <item m="1" x="10"/>
        <item m="1" x="41"/>
        <item m="1" x="55"/>
        <item m="1" x="74"/>
        <item m="1" x="26"/>
        <item m="1" x="3"/>
        <item m="1" x="33"/>
        <item m="1" x="12"/>
        <item m="1" x="34"/>
        <item m="1" x="13"/>
        <item m="1" x="8"/>
        <item m="1" x="39"/>
        <item m="1" x="9"/>
        <item m="1" x="17"/>
        <item m="1" x="31"/>
        <item m="1" x="20"/>
        <item m="1" x="7"/>
        <item m="1" x="24"/>
        <item m="1" x="27"/>
        <item m="1" x="19"/>
        <item m="1" x="65"/>
        <item m="1" x="42"/>
        <item m="1" x="11"/>
        <item m="1" x="28"/>
        <item m="1" x="36"/>
        <item m="1" x="25"/>
        <item m="1" x="23"/>
        <item m="1" x="50"/>
        <item m="1" x="52"/>
        <item m="1" x="53"/>
        <item m="1" x="51"/>
        <item m="1" x="44"/>
        <item m="1" x="2"/>
        <item m="1" x="4"/>
        <item m="1" x="5"/>
        <item m="1" x="6"/>
        <item m="1" x="14"/>
        <item m="1" x="15"/>
        <item m="1" x="16"/>
        <item m="1" x="18"/>
        <item m="1" x="21"/>
        <item m="1" x="22"/>
        <item m="1" x="29"/>
        <item m="1" x="30"/>
        <item m="1" x="32"/>
        <item m="1" x="35"/>
        <item m="1" x="37"/>
        <item m="1" x="38"/>
        <item m="1" x="40"/>
        <item m="1" x="43"/>
        <item m="1" x="45"/>
        <item m="1" x="46"/>
        <item m="1" x="47"/>
        <item m="1" x="48"/>
        <item m="1" x="49"/>
        <item x="0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6"/>
        <item m="1" x="67"/>
        <item m="1" x="68"/>
        <item m="1" x="69"/>
        <item m="1" x="70"/>
        <item m="1" x="71"/>
        <item m="1" x="77"/>
        <item m="1" x="72"/>
        <item m="1" x="73"/>
        <item m="1" x="75"/>
        <item m="1" x="76"/>
        <item t="default"/>
      </items>
    </pivotField>
    <pivotField dataField="1" numFmtId="165" showAll="0"/>
    <pivotField showAll="0"/>
  </pivotFields>
  <rowFields count="2">
    <field x="1"/>
    <field x="2"/>
  </rowFields>
  <rowItems count="2">
    <i>
      <x v="1"/>
    </i>
    <i t="grand">
      <x/>
    </i>
  </rowItems>
  <colFields count="1">
    <field x="0"/>
  </colFields>
  <colItems count="2">
    <i>
      <x v="2"/>
    </i>
    <i t="grand">
      <x/>
    </i>
  </colItems>
  <dataFields count="1">
    <dataField name="Sum of Số lượng Order" fld="3" baseField="0" baseItem="0" numFmtId="165"/>
  </dataFields>
  <formats count="12">
    <format dxfId="88">
      <pivotArea outline="0" collapsedLevelsAreSubtotals="1" fieldPosition="0"/>
    </format>
    <format dxfId="87">
      <pivotArea field="0" type="button" dataOnly="0" labelOnly="1" outline="0" axis="axisCol" fieldPosition="0"/>
    </format>
    <format dxfId="86">
      <pivotArea type="topRight" dataOnly="0" labelOnly="1" outline="0" fieldPosition="0"/>
    </format>
    <format dxfId="85">
      <pivotArea dataOnly="0" labelOnly="1" fieldPosition="0">
        <references count="1">
          <reference field="0" count="0"/>
        </references>
      </pivotArea>
    </format>
    <format dxfId="84">
      <pivotArea dataOnly="0" labelOnly="1" grandCol="1" outline="0" fieldPosition="0"/>
    </format>
    <format dxfId="83">
      <pivotArea field="1" type="button" dataOnly="0" labelOnly="1" outline="0" axis="axisRow" fieldPosition="0"/>
    </format>
    <format dxfId="82">
      <pivotArea dataOnly="0" labelOnly="1" fieldPosition="0">
        <references count="1">
          <reference field="0" count="0"/>
        </references>
      </pivotArea>
    </format>
    <format dxfId="81">
      <pivotArea dataOnly="0" labelOnly="1" grandCol="1" outline="0" fieldPosition="0"/>
    </format>
    <format dxfId="80">
      <pivotArea dataOnly="0" labelOnly="1" fieldPosition="0">
        <references count="1">
          <reference field="1" count="0"/>
        </references>
      </pivotArea>
    </format>
    <format dxfId="79">
      <pivotArea grandCol="1" outline="0" collapsedLevelsAreSubtotals="1" fieldPosition="0"/>
    </format>
    <format dxfId="78">
      <pivotArea grandCol="1" outline="0" collapsedLevelsAreSubtotals="1" fieldPosition="0"/>
    </format>
    <format dxfId="77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6AD29C-EE92-485C-91EA-7801F5AF3564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H14:H20" firstHeaderRow="1" firstDataRow="1" firstDataCol="1" rowPageCount="1" colPageCount="1"/>
  <pivotFields count="11">
    <pivotField axis="axisRow" subtotalTop="0" showAll="0" defaultSubtotal="0">
      <items count="2">
        <item x="1"/>
        <item x="0"/>
      </items>
    </pivotField>
    <pivotField subtotalTop="0" showAll="0" defaultSubtotal="0"/>
    <pivotField multipleItemSelectionAllowed="1" showAll="0" defaultSubtotal="0"/>
    <pivotField multipleItemSelectionAllowed="1" showAll="0" defaultSubtotal="0"/>
    <pivotField axis="axisPage" multipleItemSelectionAllowed="1" showAll="0" defaultSubtotal="0">
      <items count="139">
        <item h="1" x="25"/>
        <item h="1" x="11"/>
        <item h="1" x="37"/>
        <item h="1" x="26"/>
        <item h="1" x="0"/>
        <item h="1" x="23"/>
        <item h="1" x="9"/>
        <item h="1" x="28"/>
        <item h="1" x="31"/>
        <item h="1" x="4"/>
        <item h="1" x="34"/>
        <item h="1" x="8"/>
        <item h="1" x="19"/>
        <item h="1" x="21"/>
        <item h="1" x="17"/>
        <item h="1" x="15"/>
        <item h="1" x="18"/>
        <item h="1" x="22"/>
        <item h="1" x="32"/>
        <item h="1" x="30"/>
        <item h="1" x="39"/>
        <item x="35"/>
        <item h="1" x="36"/>
        <item h="1" x="16"/>
        <item h="1" x="38"/>
        <item h="1" x="13"/>
        <item h="1" x="24"/>
        <item h="1" x="41"/>
        <item h="1" x="29"/>
        <item h="1" x="67"/>
        <item h="1" x="14"/>
        <item h="1" x="3"/>
        <item h="1" x="27"/>
        <item h="1" x="42"/>
        <item h="1" x="12"/>
        <item h="1" x="6"/>
        <item h="1" x="40"/>
        <item h="1" x="7"/>
        <item h="1" x="20"/>
        <item h="1" x="10"/>
        <item h="1" x="1"/>
        <item h="1" x="33"/>
        <item h="1" x="5"/>
        <item h="1" x="43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8"/>
        <item h="1" x="59"/>
        <item h="1" x="60"/>
        <item h="1" x="61"/>
        <item h="1" x="62"/>
        <item h="1" x="63"/>
        <item h="1" x="64"/>
        <item h="1" x="65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44"/>
        <item h="1" x="66"/>
        <item h="1" x="94"/>
        <item h="1" x="95"/>
        <item h="1" x="96"/>
        <item h="1" x="97"/>
        <item h="1" x="2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57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</items>
    </pivotField>
    <pivotField axis="axisRow" showAll="0" defaultSubtotal="0">
      <items count="176">
        <item x="15"/>
        <item x="54"/>
        <item x="34"/>
        <item x="71"/>
        <item x="72"/>
        <item x="55"/>
        <item x="5"/>
        <item x="51"/>
        <item x="30"/>
        <item x="31"/>
        <item x="59"/>
        <item x="62"/>
        <item x="23"/>
        <item x="67"/>
        <item x="29"/>
        <item x="45"/>
        <item x="26"/>
        <item x="49"/>
        <item x="107"/>
        <item x="12"/>
        <item x="40"/>
        <item x="3"/>
        <item x="1"/>
        <item x="20"/>
        <item x="9"/>
        <item x="77"/>
        <item x="43"/>
        <item x="50"/>
        <item x="4"/>
        <item x="60"/>
        <item x="68"/>
        <item x="70"/>
        <item x="61"/>
        <item x="41"/>
        <item x="36"/>
        <item x="44"/>
        <item x="7"/>
        <item x="8"/>
        <item x="58"/>
        <item x="16"/>
        <item x="65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4"/>
        <item x="95"/>
        <item x="96"/>
        <item x="97"/>
        <item x="98"/>
        <item x="99"/>
        <item x="64"/>
        <item x="100"/>
        <item x="101"/>
        <item x="102"/>
        <item x="103"/>
        <item x="104"/>
        <item x="105"/>
        <item x="106"/>
        <item x="66"/>
        <item x="108"/>
        <item x="47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7"/>
        <item x="46"/>
        <item x="73"/>
        <item x="48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4"/>
        <item x="141"/>
        <item x="142"/>
        <item x="143"/>
        <item x="145"/>
        <item x="146"/>
        <item x="147"/>
        <item x="148"/>
        <item x="125"/>
        <item x="149"/>
        <item x="150"/>
        <item x="151"/>
        <item x="152"/>
        <item x="93"/>
        <item x="153"/>
        <item x="154"/>
        <item x="0"/>
        <item x="74"/>
        <item x="42"/>
        <item x="91"/>
        <item x="75"/>
        <item x="39"/>
        <item x="22"/>
        <item x="33"/>
        <item x="11"/>
        <item x="18"/>
        <item x="21"/>
        <item x="10"/>
        <item x="57"/>
        <item x="19"/>
        <item x="76"/>
        <item x="35"/>
        <item x="6"/>
        <item x="38"/>
        <item x="27"/>
        <item x="37"/>
        <item x="53"/>
        <item x="17"/>
        <item x="28"/>
        <item x="63"/>
        <item x="52"/>
        <item x="56"/>
        <item x="69"/>
        <item x="25"/>
        <item x="126"/>
        <item x="32"/>
        <item x="2"/>
        <item x="24"/>
        <item x="14"/>
        <item x="13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8"/>
        <item x="169"/>
        <item x="170"/>
        <item x="171"/>
        <item x="172"/>
        <item x="173"/>
        <item x="174"/>
        <item x="167"/>
        <item x="175"/>
      </items>
    </pivotField>
    <pivotField showAll="0" defaultSubtotal="0"/>
    <pivotField numFmtId="164" showAll="0" defaultSubtotal="0"/>
    <pivotField showAll="0" defaultSubtotal="0"/>
    <pivotField showAll="0" defaultSubtotal="0"/>
    <pivotField numFmtId="164" showAll="0" defaultSubtotal="0"/>
  </pivotFields>
  <rowFields count="2">
    <field x="0"/>
    <field x="5"/>
  </rowFields>
  <rowItems count="6">
    <i>
      <x/>
    </i>
    <i r="1">
      <x v="16"/>
    </i>
    <i r="1">
      <x v="30"/>
    </i>
    <i r="1">
      <x v="129"/>
    </i>
    <i>
      <x v="1"/>
    </i>
    <i r="1">
      <x v="147"/>
    </i>
  </rowItems>
  <colItems count="1">
    <i/>
  </colItems>
  <pageFields count="1">
    <pageField fld="4" hier="-1"/>
  </pageFields>
  <formats count="26">
    <format dxfId="114">
      <pivotArea type="all" dataOnly="0" outline="0" fieldPosition="0"/>
    </format>
    <format dxfId="113">
      <pivotArea field="4" type="button" dataOnly="0" labelOnly="1" outline="0" axis="axisPage" fieldPosition="0"/>
    </format>
    <format dxfId="112">
      <pivotArea field="5" type="button" dataOnly="0" labelOnly="1" outline="0" axis="axisRow" fieldPosition="1"/>
    </format>
    <format dxfId="111">
      <pivotArea dataOnly="0" labelOnly="1" fieldPosition="0">
        <references count="1">
          <reference field="5" count="9">
            <x v="23"/>
            <x v="34"/>
            <x v="36"/>
            <x v="37"/>
            <x v="38"/>
            <x v="130"/>
            <x v="132"/>
            <x v="133"/>
            <x v="137"/>
          </reference>
        </references>
      </pivotArea>
    </format>
    <format dxfId="110">
      <pivotArea dataOnly="0" labelOnly="1" grandRow="1" outline="0" fieldPosition="0"/>
    </format>
    <format dxfId="109">
      <pivotArea dataOnly="0" labelOnly="1" outline="0" fieldPosition="0">
        <references count="1">
          <reference field="4" count="0"/>
        </references>
      </pivotArea>
    </format>
    <format dxfId="108">
      <pivotArea field="5" type="button" dataOnly="0" labelOnly="1" outline="0" axis="axisRow" fieldPosition="1"/>
    </format>
    <format dxfId="107">
      <pivotArea field="5" type="button" dataOnly="0" labelOnly="1" outline="0" axis="axisRow" fieldPosition="1"/>
    </format>
    <format dxfId="106">
      <pivotArea field="5" type="button" dataOnly="0" labelOnly="1" outline="0" axis="axisRow" fieldPosition="1"/>
    </format>
    <format dxfId="105">
      <pivotArea field="5" type="button" dataOnly="0" labelOnly="1" outline="0" axis="axisRow" fieldPosition="1"/>
    </format>
    <format dxfId="104">
      <pivotArea type="all" dataOnly="0" outline="0" fieldPosition="0"/>
    </format>
    <format dxfId="103">
      <pivotArea field="0" type="button" dataOnly="0" labelOnly="1" outline="0" axis="axisRow" fieldPosition="0"/>
    </format>
    <format dxfId="102">
      <pivotArea dataOnly="0" labelOnly="1" fieldPosition="0">
        <references count="1">
          <reference field="0" count="0"/>
        </references>
      </pivotArea>
    </format>
    <format dxfId="101">
      <pivotArea dataOnly="0" labelOnly="1" fieldPosition="0">
        <references count="2">
          <reference field="0" count="1" selected="0">
            <x v="0"/>
          </reference>
          <reference field="5" count="8">
            <x v="6"/>
            <x v="24"/>
            <x v="36"/>
            <x v="37"/>
            <x v="38"/>
            <x v="129"/>
            <x v="132"/>
            <x v="137"/>
          </reference>
        </references>
      </pivotArea>
    </format>
    <format dxfId="100">
      <pivotArea dataOnly="0" labelOnly="1" fieldPosition="0">
        <references count="2">
          <reference field="0" count="1" selected="0">
            <x v="1"/>
          </reference>
          <reference field="5" count="5">
            <x v="21"/>
            <x v="22"/>
            <x v="28"/>
            <x v="121"/>
            <x v="151"/>
          </reference>
        </references>
      </pivotArea>
    </format>
    <format dxfId="99">
      <pivotArea type="all" dataOnly="0" outline="0" fieldPosition="0"/>
    </format>
    <format dxfId="98">
      <pivotArea field="4" type="button" dataOnly="0" labelOnly="1" outline="0" axis="axisPage" fieldPosition="0"/>
    </format>
    <format dxfId="97">
      <pivotArea field="0" type="button" dataOnly="0" labelOnly="1" outline="0" axis="axisRow" fieldPosition="0"/>
    </format>
    <format dxfId="96">
      <pivotArea dataOnly="0" labelOnly="1" fieldPosition="0">
        <references count="1">
          <reference field="0" count="0"/>
        </references>
      </pivotArea>
    </format>
    <format dxfId="95">
      <pivotArea dataOnly="0" labelOnly="1" fieldPosition="0">
        <references count="2">
          <reference field="0" count="1" selected="0">
            <x v="0"/>
          </reference>
          <reference field="5" count="8">
            <x v="6"/>
            <x v="24"/>
            <x v="36"/>
            <x v="37"/>
            <x v="38"/>
            <x v="129"/>
            <x v="132"/>
            <x v="137"/>
          </reference>
        </references>
      </pivotArea>
    </format>
    <format dxfId="94">
      <pivotArea dataOnly="0" labelOnly="1" fieldPosition="0">
        <references count="2">
          <reference field="0" count="1" selected="0">
            <x v="1"/>
          </reference>
          <reference field="5" count="5">
            <x v="21"/>
            <x v="22"/>
            <x v="28"/>
            <x v="121"/>
            <x v="151"/>
          </reference>
        </references>
      </pivotArea>
    </format>
    <format dxfId="93">
      <pivotArea type="all" dataOnly="0" outline="0" fieldPosition="0"/>
    </format>
    <format dxfId="92">
      <pivotArea field="0" type="button" dataOnly="0" labelOnly="1" outline="0" axis="axisRow" fieldPosition="0"/>
    </format>
    <format dxfId="91">
      <pivotArea dataOnly="0" labelOnly="1" fieldPosition="0">
        <references count="1">
          <reference field="0" count="0"/>
        </references>
      </pivotArea>
    </format>
    <format dxfId="90">
      <pivotArea dataOnly="0" labelOnly="1" fieldPosition="0">
        <references count="2">
          <reference field="0" count="1" selected="0">
            <x v="0"/>
          </reference>
          <reference field="5" count="8">
            <x v="6"/>
            <x v="24"/>
            <x v="36"/>
            <x v="37"/>
            <x v="38"/>
            <x v="129"/>
            <x v="132"/>
            <x v="137"/>
          </reference>
        </references>
      </pivotArea>
    </format>
    <format dxfId="89">
      <pivotArea dataOnly="0" labelOnly="1" fieldPosition="0">
        <references count="2">
          <reference field="0" count="1" selected="0">
            <x v="1"/>
          </reference>
          <reference field="5" count="5">
            <x v="21"/>
            <x v="22"/>
            <x v="28"/>
            <x v="121"/>
            <x v="15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69FB7A-6A9F-4072-B2C8-B1B8D56F3FCA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showHeaders="0" outline="1" outlineData="1" multipleFieldFilters="0">
  <location ref="B14:B17" firstHeaderRow="0" firstDataRow="0" firstDataCol="1" rowPageCount="1" colPageCount="1"/>
  <pivotFields count="11">
    <pivotField axis="axisRow" subtotalTop="0" showAll="0" defaultSubtotal="0">
      <items count="2">
        <item x="1"/>
        <item x="0"/>
      </items>
    </pivotField>
    <pivotField subtotalTop="0" showAll="0" defaultSubtotal="0"/>
    <pivotField multipleItemSelectionAllowed="1" showAll="0" defaultSubtotal="0"/>
    <pivotField multipleItemSelectionAllowed="1" showAll="0" defaultSubtotal="0"/>
    <pivotField axis="axisPage" multipleItemSelectionAllowed="1" showAll="0" defaultSubtotal="0">
      <items count="113">
        <item h="1" x="25"/>
        <item x="11"/>
        <item h="1" x="37"/>
        <item h="1" x="26"/>
        <item h="1" x="0"/>
        <item h="1" x="23"/>
        <item h="1" x="9"/>
        <item h="1" x="28"/>
        <item h="1" x="31"/>
        <item h="1" x="4"/>
        <item h="1" x="34"/>
        <item h="1" x="8"/>
        <item h="1" x="19"/>
        <item h="1" x="21"/>
        <item h="1" x="17"/>
        <item h="1" x="15"/>
        <item h="1" x="18"/>
        <item h="1" x="22"/>
        <item h="1" x="32"/>
        <item h="1" x="30"/>
        <item h="1" x="39"/>
        <item h="1" x="35"/>
        <item h="1" x="36"/>
        <item h="1" x="16"/>
        <item h="1" x="38"/>
        <item h="1" x="13"/>
        <item h="1" x="24"/>
        <item h="1" x="41"/>
        <item h="1" x="29"/>
        <item h="1" x="67"/>
        <item h="1" x="14"/>
        <item h="1" x="3"/>
        <item h="1" x="27"/>
        <item h="1" x="42"/>
        <item h="1" x="12"/>
        <item h="1" x="6"/>
        <item h="1" x="40"/>
        <item h="1" x="7"/>
        <item h="1" x="20"/>
        <item h="1" x="10"/>
        <item h="1" x="1"/>
        <item h="1" x="33"/>
        <item h="1" x="5"/>
        <item h="1" x="43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8"/>
        <item h="1" x="59"/>
        <item h="1" x="60"/>
        <item h="1" x="61"/>
        <item h="1" x="62"/>
        <item h="1" x="63"/>
        <item h="1" x="64"/>
        <item h="1" x="65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44"/>
        <item h="1" x="66"/>
        <item h="1" x="94"/>
        <item h="1" x="95"/>
        <item h="1" x="96"/>
        <item h="1" x="2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57"/>
      </items>
    </pivotField>
    <pivotField axis="axisRow" showAll="0" defaultSubtotal="0">
      <items count="145">
        <item x="15"/>
        <item x="54"/>
        <item x="34"/>
        <item x="71"/>
        <item x="72"/>
        <item x="55"/>
        <item x="5"/>
        <item x="51"/>
        <item x="30"/>
        <item x="31"/>
        <item x="59"/>
        <item x="62"/>
        <item x="23"/>
        <item x="67"/>
        <item x="29"/>
        <item x="45"/>
        <item x="26"/>
        <item x="49"/>
        <item x="107"/>
        <item x="12"/>
        <item x="40"/>
        <item x="3"/>
        <item x="1"/>
        <item x="20"/>
        <item x="9"/>
        <item x="77"/>
        <item x="43"/>
        <item x="50"/>
        <item x="4"/>
        <item x="60"/>
        <item x="68"/>
        <item x="70"/>
        <item x="61"/>
        <item x="41"/>
        <item x="36"/>
        <item x="44"/>
        <item x="7"/>
        <item x="8"/>
        <item x="58"/>
        <item x="0"/>
        <item x="74"/>
        <item x="42"/>
        <item x="91"/>
        <item x="75"/>
        <item x="39"/>
        <item x="22"/>
        <item x="33"/>
        <item x="11"/>
        <item x="18"/>
        <item x="21"/>
        <item x="10"/>
        <item x="57"/>
        <item x="19"/>
        <item x="76"/>
        <item x="35"/>
        <item x="6"/>
        <item x="38"/>
        <item x="27"/>
        <item x="37"/>
        <item x="53"/>
        <item x="17"/>
        <item x="28"/>
        <item x="63"/>
        <item x="52"/>
        <item x="56"/>
        <item x="69"/>
        <item x="25"/>
        <item x="126"/>
        <item x="32"/>
        <item x="2"/>
        <item x="24"/>
        <item x="14"/>
        <item x="13"/>
        <item x="16"/>
        <item x="65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4"/>
        <item x="95"/>
        <item x="96"/>
        <item x="97"/>
        <item x="98"/>
        <item x="99"/>
        <item x="64"/>
        <item x="100"/>
        <item x="101"/>
        <item x="102"/>
        <item x="103"/>
        <item x="104"/>
        <item x="105"/>
        <item x="106"/>
        <item x="66"/>
        <item x="108"/>
        <item x="47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46"/>
        <item x="127"/>
        <item x="48"/>
        <item x="73"/>
        <item x="128"/>
        <item x="129"/>
        <item x="130"/>
        <item x="131"/>
        <item x="133"/>
        <item x="134"/>
        <item x="132"/>
        <item x="135"/>
        <item x="136"/>
        <item x="137"/>
        <item x="138"/>
        <item x="139"/>
        <item x="140"/>
        <item x="144"/>
        <item x="141"/>
        <item x="142"/>
        <item x="143"/>
        <item x="125"/>
        <item x="93"/>
      </items>
    </pivotField>
    <pivotField showAll="0" defaultSubtotal="0"/>
    <pivotField numFmtId="164" showAll="0" defaultSubtotal="0"/>
    <pivotField showAll="0" defaultSubtotal="0"/>
    <pivotField showAll="0" defaultSubtotal="0"/>
    <pivotField numFmtId="164" showAll="0" defaultSubtotal="0"/>
  </pivotFields>
  <rowFields count="2">
    <field x="0"/>
    <field x="5"/>
  </rowFields>
  <rowItems count="4">
    <i>
      <x/>
    </i>
    <i r="1">
      <x v="2"/>
    </i>
    <i>
      <x v="1"/>
    </i>
    <i r="1">
      <x v="71"/>
    </i>
  </rowItems>
  <colItems count="1">
    <i/>
  </colItems>
  <pageFields count="1">
    <pageField fld="4" hier="-1"/>
  </pageFields>
  <formats count="20">
    <format dxfId="134">
      <pivotArea type="all" dataOnly="0" outline="0" fieldPosition="0"/>
    </format>
    <format dxfId="133">
      <pivotArea field="4" type="button" dataOnly="0" labelOnly="1" outline="0" axis="axisPage" fieldPosition="0"/>
    </format>
    <format dxfId="132">
      <pivotArea field="5" type="button" dataOnly="0" labelOnly="1" outline="0" axis="axisRow" fieldPosition="1"/>
    </format>
    <format dxfId="131">
      <pivotArea dataOnly="0" labelOnly="1" fieldPosition="0">
        <references count="1">
          <reference field="5" count="9">
            <x v="23"/>
            <x v="34"/>
            <x v="36"/>
            <x v="37"/>
            <x v="38"/>
            <x v="48"/>
            <x v="50"/>
            <x v="51"/>
            <x v="55"/>
          </reference>
        </references>
      </pivotArea>
    </format>
    <format dxfId="130">
      <pivotArea dataOnly="0" labelOnly="1" grandRow="1" outline="0" fieldPosition="0"/>
    </format>
    <format dxfId="129">
      <pivotArea dataOnly="0" labelOnly="1" outline="0" fieldPosition="0">
        <references count="1">
          <reference field="4" count="0"/>
        </references>
      </pivotArea>
    </format>
    <format dxfId="128">
      <pivotArea field="5" type="button" dataOnly="0" labelOnly="1" outline="0" axis="axisRow" fieldPosition="1"/>
    </format>
    <format dxfId="127">
      <pivotArea field="5" type="button" dataOnly="0" labelOnly="1" outline="0" axis="axisRow" fieldPosition="1"/>
    </format>
    <format dxfId="126">
      <pivotArea field="5" type="button" dataOnly="0" labelOnly="1" outline="0" axis="axisRow" fieldPosition="1"/>
    </format>
    <format dxfId="125">
      <pivotArea field="5" type="button" dataOnly="0" labelOnly="1" outline="0" axis="axisRow" fieldPosition="1"/>
    </format>
    <format dxfId="124">
      <pivotArea type="all" dataOnly="0" outline="0" fieldPosition="0"/>
    </format>
    <format dxfId="123">
      <pivotArea dataOnly="0" labelOnly="1" fieldPosition="0">
        <references count="1">
          <reference field="0" count="0"/>
        </references>
      </pivotArea>
    </format>
    <format dxfId="122">
      <pivotArea dataOnly="0" labelOnly="1" fieldPosition="0">
        <references count="2">
          <reference field="0" count="1" selected="0">
            <x v="0"/>
          </reference>
          <reference field="5" count="4">
            <x v="23"/>
            <x v="50"/>
            <x v="80"/>
            <x v="81"/>
          </reference>
        </references>
      </pivotArea>
    </format>
    <format dxfId="121">
      <pivotArea dataOnly="0" labelOnly="1" fieldPosition="0">
        <references count="2">
          <reference field="0" count="1" selected="0">
            <x v="1"/>
          </reference>
          <reference field="5" count="1">
            <x v="13"/>
          </reference>
        </references>
      </pivotArea>
    </format>
    <format dxfId="120">
      <pivotArea field="0" type="button" dataOnly="0" labelOnly="1" outline="0" axis="axisRow" fieldPosition="0"/>
    </format>
    <format dxfId="119">
      <pivotArea type="all" dataOnly="0" outline="0" fieldPosition="0"/>
    </format>
    <format dxfId="118">
      <pivotArea field="0" type="button" dataOnly="0" labelOnly="1" outline="0" axis="axisRow" fieldPosition="0"/>
    </format>
    <format dxfId="117">
      <pivotArea dataOnly="0" labelOnly="1" fieldPosition="0">
        <references count="1">
          <reference field="0" count="0"/>
        </references>
      </pivotArea>
    </format>
    <format dxfId="116">
      <pivotArea dataOnly="0" labelOnly="1" fieldPosition="0">
        <references count="2">
          <reference field="0" count="1" selected="0">
            <x v="0"/>
          </reference>
          <reference field="5" count="4">
            <x v="23"/>
            <x v="50"/>
            <x v="80"/>
            <x v="81"/>
          </reference>
        </references>
      </pivotArea>
    </format>
    <format dxfId="115">
      <pivotArea dataOnly="0" labelOnly="1" fieldPosition="0">
        <references count="2">
          <reference field="0" count="1" selected="0">
            <x v="1"/>
          </reference>
          <reference field="5" count="1">
            <x v="1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6B3D8-8638-4E80-BF83-91E0F5ACF0FC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L63:L65" firstHeaderRow="1" firstDataRow="1" firstDataCol="1" rowPageCount="2" colPageCount="1"/>
  <pivotFields count="11">
    <pivotField subtotalTop="0" showAll="0" defaultSubtotal="0"/>
    <pivotField subtotalTop="0" showAll="0" defaultSubtotal="0"/>
    <pivotField multipleItemSelectionAllowed="1" showAll="0" defaultSubtotal="0"/>
    <pivotField axis="axisPage" multipleItemSelectionAllowed="1" showAll="0" defaultSubtotal="0">
      <items count="10">
        <item h="1" x="7"/>
        <item x="5"/>
        <item h="1" x="1"/>
        <item h="1" x="0"/>
        <item h="1" x="2"/>
        <item h="1" x="3"/>
        <item h="1" x="8"/>
        <item h="1" x="4"/>
        <item h="1" x="6"/>
        <item h="1" x="9"/>
      </items>
    </pivotField>
    <pivotField axis="axisPage" multipleItemSelectionAllowed="1" showAll="0" defaultSubtotal="0">
      <items count="138">
        <item h="1" x="25"/>
        <item h="1" x="11"/>
        <item h="1" x="37"/>
        <item h="1" x="26"/>
        <item h="1" x="0"/>
        <item h="1" x="23"/>
        <item h="1" x="9"/>
        <item h="1" x="28"/>
        <item h="1" x="31"/>
        <item h="1" x="4"/>
        <item h="1" x="34"/>
        <item h="1" x="8"/>
        <item h="1" x="19"/>
        <item h="1" x="21"/>
        <item h="1" x="17"/>
        <item h="1" x="15"/>
        <item h="1" x="18"/>
        <item h="1" x="22"/>
        <item h="1" x="32"/>
        <item h="1" x="30"/>
        <item h="1" x="39"/>
        <item h="1" x="35"/>
        <item h="1" x="36"/>
        <item h="1" x="16"/>
        <item h="1" x="38"/>
        <item h="1" x="13"/>
        <item h="1" x="24"/>
        <item h="1" x="41"/>
        <item h="1" x="29"/>
        <item h="1" x="67"/>
        <item h="1" x="14"/>
        <item h="1" x="3"/>
        <item h="1" x="27"/>
        <item h="1" x="42"/>
        <item h="1" x="12"/>
        <item h="1" x="6"/>
        <item h="1" x="40"/>
        <item h="1" x="7"/>
        <item h="1" x="20"/>
        <item h="1" x="10"/>
        <item h="1" x="1"/>
        <item h="1" x="33"/>
        <item h="1" x="5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x="58"/>
        <item h="1" x="59"/>
        <item h="1" x="60"/>
        <item h="1" x="61"/>
        <item h="1" x="62"/>
        <item h="1" x="63"/>
        <item h="1" x="64"/>
        <item h="1" x="65"/>
        <item h="1" x="66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2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57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</items>
    </pivotField>
    <pivotField axis="axisRow" showAll="0" defaultSubtotal="0">
      <items count="175">
        <item x="15"/>
        <item x="54"/>
        <item x="34"/>
        <item x="71"/>
        <item x="72"/>
        <item x="55"/>
        <item x="5"/>
        <item x="51"/>
        <item x="30"/>
        <item x="31"/>
        <item x="59"/>
        <item x="62"/>
        <item x="23"/>
        <item x="67"/>
        <item x="29"/>
        <item x="45"/>
        <item x="26"/>
        <item x="49"/>
        <item x="107"/>
        <item x="12"/>
        <item x="40"/>
        <item x="3"/>
        <item x="1"/>
        <item x="20"/>
        <item x="9"/>
        <item x="77"/>
        <item x="43"/>
        <item x="50"/>
        <item x="4"/>
        <item x="60"/>
        <item x="68"/>
        <item x="70"/>
        <item x="61"/>
        <item x="41"/>
        <item x="36"/>
        <item x="44"/>
        <item x="7"/>
        <item x="8"/>
        <item x="58"/>
        <item x="0"/>
        <item x="74"/>
        <item x="42"/>
        <item x="91"/>
        <item x="75"/>
        <item x="39"/>
        <item x="22"/>
        <item x="33"/>
        <item x="11"/>
        <item x="18"/>
        <item x="21"/>
        <item x="10"/>
        <item x="57"/>
        <item x="19"/>
        <item x="76"/>
        <item x="35"/>
        <item x="6"/>
        <item x="38"/>
        <item x="27"/>
        <item x="37"/>
        <item x="53"/>
        <item x="17"/>
        <item x="28"/>
        <item x="63"/>
        <item x="52"/>
        <item x="56"/>
        <item x="69"/>
        <item x="25"/>
        <item x="126"/>
        <item x="32"/>
        <item x="2"/>
        <item x="24"/>
        <item x="14"/>
        <item x="13"/>
        <item x="16"/>
        <item x="65"/>
        <item x="46"/>
        <item x="47"/>
        <item x="48"/>
        <item x="7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4"/>
        <item x="95"/>
        <item x="96"/>
        <item x="97"/>
        <item x="98"/>
        <item x="64"/>
        <item x="66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93"/>
        <item x="125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</items>
    </pivotField>
    <pivotField showAll="0" defaultSubtotal="0"/>
    <pivotField numFmtId="164" showAll="0" defaultSubtotal="0"/>
    <pivotField showAll="0" defaultSubtotal="0"/>
    <pivotField showAll="0" defaultSubtotal="0"/>
    <pivotField numFmtId="164" showAll="0" defaultSubtotal="0"/>
  </pivotFields>
  <rowFields count="1">
    <field x="5"/>
  </rowFields>
  <rowItems count="2">
    <i>
      <x v="1"/>
    </i>
    <i>
      <x v="97"/>
    </i>
  </rowItems>
  <colItems count="1">
    <i/>
  </colItems>
  <pageFields count="2">
    <pageField fld="3" hier="-1"/>
    <pageField fld="4" hier="-1"/>
  </pageFields>
  <formats count="11">
    <format dxfId="11">
      <pivotArea type="all" dataOnly="0" outline="0" fieldPosition="0"/>
    </format>
    <format dxfId="10">
      <pivotArea field="4" type="button" dataOnly="0" labelOnly="1" outline="0" axis="axisPage" fieldPosition="1"/>
    </format>
    <format dxfId="9">
      <pivotArea field="5" type="button" dataOnly="0" labelOnly="1" outline="0" axis="axisRow" fieldPosition="0"/>
    </format>
    <format dxfId="8">
      <pivotArea dataOnly="0" labelOnly="1" fieldPosition="0">
        <references count="1">
          <reference field="5" count="9">
            <x v="23"/>
            <x v="34"/>
            <x v="36"/>
            <x v="37"/>
            <x v="38"/>
            <x v="48"/>
            <x v="50"/>
            <x v="51"/>
            <x v="55"/>
          </reference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" count="0"/>
        </references>
      </pivotArea>
    </format>
    <format dxfId="5">
      <pivotArea field="5" type="button" dataOnly="0" labelOnly="1" outline="0" axis="axisRow" fieldPosition="0"/>
    </format>
    <format dxfId="4">
      <pivotArea field="5" type="button" dataOnly="0" labelOnly="1" outline="0" axis="axisRow" fieldPosition="0"/>
    </format>
    <format dxfId="3">
      <pivotArea field="5" type="button" dataOnly="0" labelOnly="1" outline="0" axis="axisRow" fieldPosition="0"/>
    </format>
    <format dxfId="2">
      <pivotArea field="5" type="button" dataOnly="0" labelOnly="1" outline="0" axis="axisRow" fieldPosition="0"/>
    </format>
    <format dxfId="1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D0017E-76F3-4961-9271-45F086C38B64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L46:L47" firstHeaderRow="1" firstDataRow="1" firstDataCol="1" rowPageCount="2" colPageCount="1"/>
  <pivotFields count="11">
    <pivotField subtotalTop="0" showAll="0" defaultSubtotal="0"/>
    <pivotField subtotalTop="0" showAll="0" defaultSubtotal="0"/>
    <pivotField multipleItemSelectionAllowed="1" showAll="0" defaultSubtotal="0"/>
    <pivotField axis="axisPage" multipleItemSelectionAllowed="1" showAll="0" defaultSubtotal="0">
      <items count="10">
        <item h="1" x="7"/>
        <item h="1" x="5"/>
        <item h="1" x="1"/>
        <item h="1" x="0"/>
        <item h="1" x="2"/>
        <item x="3"/>
        <item h="1" x="8"/>
        <item h="1" x="4"/>
        <item h="1" x="6"/>
        <item h="1" x="9"/>
      </items>
    </pivotField>
    <pivotField axis="axisPage" multipleItemSelectionAllowed="1" showAll="0" defaultSubtotal="0">
      <items count="138">
        <item h="1" x="25"/>
        <item h="1" x="11"/>
        <item h="1" x="37"/>
        <item h="1" x="26"/>
        <item h="1" x="0"/>
        <item h="1" x="23"/>
        <item h="1" x="9"/>
        <item h="1" x="28"/>
        <item h="1" x="31"/>
        <item h="1" x="4"/>
        <item h="1" x="34"/>
        <item h="1" x="8"/>
        <item h="1" x="19"/>
        <item h="1" x="21"/>
        <item h="1" x="17"/>
        <item h="1" x="15"/>
        <item h="1" x="18"/>
        <item h="1" x="22"/>
        <item h="1" x="32"/>
        <item h="1" x="30"/>
        <item h="1" x="39"/>
        <item h="1" x="35"/>
        <item h="1" x="36"/>
        <item h="1" x="16"/>
        <item h="1" x="38"/>
        <item h="1" x="13"/>
        <item h="1" x="24"/>
        <item h="1" x="41"/>
        <item h="1" x="29"/>
        <item h="1" x="67"/>
        <item h="1" x="14"/>
        <item h="1" x="3"/>
        <item h="1" x="27"/>
        <item h="1" x="42"/>
        <item x="12"/>
        <item h="1" x="6"/>
        <item h="1" x="40"/>
        <item h="1" x="7"/>
        <item h="1" x="20"/>
        <item h="1" x="10"/>
        <item h="1" x="1"/>
        <item h="1" x="33"/>
        <item h="1" x="5"/>
        <item h="1" x="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57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</items>
    </pivotField>
    <pivotField axis="axisRow" showAll="0" defaultSubtotal="0">
      <items count="175">
        <item x="15"/>
        <item x="54"/>
        <item x="34"/>
        <item x="71"/>
        <item x="72"/>
        <item x="55"/>
        <item x="5"/>
        <item x="51"/>
        <item x="30"/>
        <item x="31"/>
        <item x="59"/>
        <item x="62"/>
        <item x="23"/>
        <item x="67"/>
        <item x="29"/>
        <item x="45"/>
        <item x="26"/>
        <item x="49"/>
        <item x="107"/>
        <item x="12"/>
        <item x="40"/>
        <item x="3"/>
        <item x="1"/>
        <item x="20"/>
        <item x="9"/>
        <item x="77"/>
        <item x="43"/>
        <item x="50"/>
        <item x="4"/>
        <item x="60"/>
        <item x="68"/>
        <item x="70"/>
        <item x="61"/>
        <item x="41"/>
        <item x="36"/>
        <item x="44"/>
        <item x="7"/>
        <item x="8"/>
        <item x="58"/>
        <item x="0"/>
        <item x="74"/>
        <item x="42"/>
        <item x="91"/>
        <item x="75"/>
        <item x="39"/>
        <item x="22"/>
        <item x="33"/>
        <item x="11"/>
        <item x="18"/>
        <item x="21"/>
        <item x="10"/>
        <item x="57"/>
        <item x="19"/>
        <item x="76"/>
        <item x="35"/>
        <item x="6"/>
        <item x="38"/>
        <item x="27"/>
        <item x="37"/>
        <item x="53"/>
        <item x="17"/>
        <item x="28"/>
        <item x="63"/>
        <item x="52"/>
        <item x="56"/>
        <item x="69"/>
        <item x="25"/>
        <item x="126"/>
        <item x="32"/>
        <item x="2"/>
        <item x="24"/>
        <item x="14"/>
        <item x="13"/>
        <item x="16"/>
        <item x="65"/>
        <item x="46"/>
        <item x="47"/>
        <item x="48"/>
        <item x="7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4"/>
        <item x="95"/>
        <item x="96"/>
        <item x="97"/>
        <item x="98"/>
        <item x="64"/>
        <item x="66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93"/>
        <item x="125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</items>
    </pivotField>
    <pivotField showAll="0" defaultSubtotal="0"/>
    <pivotField numFmtId="164" showAll="0" defaultSubtotal="0"/>
    <pivotField showAll="0" defaultSubtotal="0"/>
    <pivotField showAll="0" defaultSubtotal="0"/>
    <pivotField numFmtId="164" showAll="0" defaultSubtotal="0"/>
  </pivotFields>
  <rowFields count="1">
    <field x="5"/>
  </rowFields>
  <rowItems count="1">
    <i>
      <x v="54"/>
    </i>
  </rowItems>
  <colItems count="1">
    <i/>
  </colItems>
  <pageFields count="2">
    <pageField fld="3" hier="-1"/>
    <pageField fld="4" hier="-1"/>
  </pageFields>
  <formats count="11">
    <format dxfId="22">
      <pivotArea type="all" dataOnly="0" outline="0" fieldPosition="0"/>
    </format>
    <format dxfId="21">
      <pivotArea field="4" type="button" dataOnly="0" labelOnly="1" outline="0" axis="axisPage" fieldPosition="1"/>
    </format>
    <format dxfId="20">
      <pivotArea field="5" type="button" dataOnly="0" labelOnly="1" outline="0" axis="axisRow" fieldPosition="0"/>
    </format>
    <format dxfId="19">
      <pivotArea dataOnly="0" labelOnly="1" fieldPosition="0">
        <references count="1">
          <reference field="5" count="9">
            <x v="23"/>
            <x v="34"/>
            <x v="36"/>
            <x v="37"/>
            <x v="38"/>
            <x v="48"/>
            <x v="50"/>
            <x v="51"/>
            <x v="55"/>
          </reference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" count="0"/>
        </references>
      </pivotArea>
    </format>
    <format dxfId="16">
      <pivotArea field="5" type="button" dataOnly="0" labelOnly="1" outline="0" axis="axisRow" fieldPosition="0"/>
    </format>
    <format dxfId="15">
      <pivotArea field="5" type="button" dataOnly="0" labelOnly="1" outline="0" axis="axisRow" fieldPosition="0"/>
    </format>
    <format dxfId="14">
      <pivotArea field="5" type="button" dataOnly="0" labelOnly="1" outline="0" axis="axisRow" fieldPosition="0"/>
    </format>
    <format dxfId="13">
      <pivotArea field="5" type="button" dataOnly="0" labelOnly="1" outline="0" axis="axisRow" fieldPosition="0"/>
    </format>
    <format dxfId="12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5B79E-6A66-466E-B9E0-FE43823E917E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L53:L54" firstHeaderRow="1" firstDataRow="1" firstDataCol="1" rowPageCount="2" colPageCount="1"/>
  <pivotFields count="11">
    <pivotField subtotalTop="0" showAll="0" defaultSubtotal="0"/>
    <pivotField subtotalTop="0" showAll="0" defaultSubtotal="0"/>
    <pivotField multipleItemSelectionAllowed="1" showAll="0" defaultSubtotal="0"/>
    <pivotField axis="axisPage" multipleItemSelectionAllowed="1" showAll="0" defaultSubtotal="0">
      <items count="10">
        <item h="1" x="7"/>
        <item h="1" x="5"/>
        <item h="1" x="1"/>
        <item h="1" x="0"/>
        <item h="1" x="2"/>
        <item h="1" x="3"/>
        <item h="1" x="8"/>
        <item h="1" x="4"/>
        <item x="6"/>
        <item h="1" x="9"/>
      </items>
    </pivotField>
    <pivotField axis="axisPage" multipleItemSelectionAllowed="1" showAll="0" defaultSubtotal="0">
      <items count="138">
        <item h="1" x="25"/>
        <item h="1" x="11"/>
        <item h="1" x="37"/>
        <item h="1" x="26"/>
        <item h="1" x="0"/>
        <item h="1" x="23"/>
        <item h="1" x="9"/>
        <item h="1" x="28"/>
        <item h="1" x="31"/>
        <item h="1" x="4"/>
        <item h="1" x="34"/>
        <item h="1" x="8"/>
        <item h="1" x="19"/>
        <item h="1" x="21"/>
        <item h="1" x="17"/>
        <item h="1" x="15"/>
        <item h="1" x="18"/>
        <item h="1" x="22"/>
        <item h="1" x="32"/>
        <item h="1" x="30"/>
        <item h="1" x="39"/>
        <item h="1" x="35"/>
        <item h="1" x="36"/>
        <item x="16"/>
        <item h="1" x="38"/>
        <item h="1" x="13"/>
        <item h="1" x="24"/>
        <item h="1" x="41"/>
        <item h="1" x="29"/>
        <item h="1" x="67"/>
        <item h="1" x="14"/>
        <item h="1" x="3"/>
        <item h="1" x="27"/>
        <item h="1" x="42"/>
        <item h="1" x="12"/>
        <item h="1" x="6"/>
        <item h="1" x="40"/>
        <item h="1" x="7"/>
        <item h="1" x="20"/>
        <item h="1" x="10"/>
        <item h="1" x="1"/>
        <item h="1" x="33"/>
        <item h="1" x="5"/>
        <item h="1" x="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</items>
    </pivotField>
    <pivotField axis="axisRow" showAll="0" defaultSubtotal="0">
      <items count="175">
        <item x="15"/>
        <item x="54"/>
        <item x="34"/>
        <item x="71"/>
        <item x="72"/>
        <item x="55"/>
        <item x="5"/>
        <item x="51"/>
        <item x="30"/>
        <item x="31"/>
        <item x="59"/>
        <item x="62"/>
        <item x="23"/>
        <item x="67"/>
        <item x="29"/>
        <item x="45"/>
        <item x="26"/>
        <item x="49"/>
        <item x="107"/>
        <item x="12"/>
        <item x="40"/>
        <item x="3"/>
        <item x="1"/>
        <item x="20"/>
        <item x="9"/>
        <item x="77"/>
        <item x="43"/>
        <item x="50"/>
        <item x="4"/>
        <item x="60"/>
        <item x="68"/>
        <item x="70"/>
        <item x="61"/>
        <item x="41"/>
        <item x="36"/>
        <item x="44"/>
        <item x="7"/>
        <item x="8"/>
        <item x="58"/>
        <item x="0"/>
        <item x="74"/>
        <item x="42"/>
        <item x="91"/>
        <item x="75"/>
        <item x="39"/>
        <item x="22"/>
        <item x="33"/>
        <item x="11"/>
        <item x="18"/>
        <item x="21"/>
        <item x="10"/>
        <item x="57"/>
        <item x="19"/>
        <item x="76"/>
        <item x="35"/>
        <item x="6"/>
        <item x="38"/>
        <item x="27"/>
        <item x="37"/>
        <item x="53"/>
        <item x="17"/>
        <item x="28"/>
        <item x="63"/>
        <item x="52"/>
        <item x="56"/>
        <item x="69"/>
        <item x="25"/>
        <item x="126"/>
        <item x="32"/>
        <item x="2"/>
        <item x="24"/>
        <item x="14"/>
        <item x="13"/>
        <item x="16"/>
        <item x="65"/>
        <item x="46"/>
        <item x="47"/>
        <item x="48"/>
        <item x="64"/>
        <item x="66"/>
        <item x="7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93"/>
        <item x="125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</items>
    </pivotField>
    <pivotField showAll="0" defaultSubtotal="0"/>
    <pivotField numFmtId="164" showAll="0" defaultSubtotal="0"/>
    <pivotField showAll="0" defaultSubtotal="0"/>
    <pivotField showAll="0" defaultSubtotal="0"/>
    <pivotField numFmtId="164" showAll="0" defaultSubtotal="0"/>
  </pivotFields>
  <rowFields count="1">
    <field x="5"/>
  </rowFields>
  <rowItems count="1">
    <i>
      <x v="33"/>
    </i>
  </rowItems>
  <colItems count="1">
    <i/>
  </colItems>
  <pageFields count="2">
    <pageField fld="3" hier="-1"/>
    <pageField fld="4" hier="-1"/>
  </pageFields>
  <formats count="11">
    <format dxfId="33">
      <pivotArea type="all" dataOnly="0" outline="0" fieldPosition="0"/>
    </format>
    <format dxfId="32">
      <pivotArea field="4" type="button" dataOnly="0" labelOnly="1" outline="0" axis="axisPage" fieldPosition="1"/>
    </format>
    <format dxfId="31">
      <pivotArea field="5" type="button" dataOnly="0" labelOnly="1" outline="0" axis="axisRow" fieldPosition="0"/>
    </format>
    <format dxfId="30">
      <pivotArea dataOnly="0" labelOnly="1" fieldPosition="0">
        <references count="1">
          <reference field="5" count="9">
            <x v="23"/>
            <x v="34"/>
            <x v="36"/>
            <x v="37"/>
            <x v="38"/>
            <x v="48"/>
            <x v="50"/>
            <x v="51"/>
            <x v="55"/>
          </reference>
        </references>
      </pivotArea>
    </format>
    <format dxfId="29">
      <pivotArea dataOnly="0" labelOnly="1" grandRow="1" outline="0" fieldPosition="0"/>
    </format>
    <format dxfId="28">
      <pivotArea dataOnly="0" labelOnly="1" outline="0" fieldPosition="0">
        <references count="1">
          <reference field="4" count="0"/>
        </references>
      </pivotArea>
    </format>
    <format dxfId="27">
      <pivotArea field="5" type="button" dataOnly="0" labelOnly="1" outline="0" axis="axisRow" fieldPosition="0"/>
    </format>
    <format dxfId="26">
      <pivotArea field="5" type="button" dataOnly="0" labelOnly="1" outline="0" axis="axisRow" fieldPosition="0"/>
    </format>
    <format dxfId="25">
      <pivotArea field="5" type="button" dataOnly="0" labelOnly="1" outline="0" axis="axisRow" fieldPosition="0"/>
    </format>
    <format dxfId="24">
      <pivotArea field="5" type="button" dataOnly="0" labelOnly="1" outline="0" axis="axisRow" fieldPosition="0"/>
    </format>
    <format dxfId="23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844CB-607B-453D-8ED7-DEA98750FF64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26:B35" firstHeaderRow="1" firstDataRow="1" firstDataCol="1" rowPageCount="2" colPageCount="1"/>
  <pivotFields count="11">
    <pivotField subtotalTop="0" showAll="0" defaultSubtotal="0"/>
    <pivotField subtotalTop="0" showAll="0" defaultSubtotal="0"/>
    <pivotField multipleItemSelectionAllowed="1" showAll="0" defaultSubtotal="0"/>
    <pivotField axis="axisPage" multipleItemSelectionAllowed="1" showAll="0" defaultSubtotal="0">
      <items count="10">
        <item x="7"/>
        <item x="5"/>
        <item x="1"/>
        <item x="0"/>
        <item x="2"/>
        <item x="3"/>
        <item x="8"/>
        <item x="4"/>
        <item x="6"/>
        <item x="9"/>
      </items>
    </pivotField>
    <pivotField axis="axisPage" multipleItemSelectionAllowed="1" showAll="0" defaultSubtotal="0">
      <items count="138">
        <item h="1" x="25"/>
        <item h="1" x="11"/>
        <item h="1" x="37"/>
        <item h="1" x="26"/>
        <item h="1" x="0"/>
        <item h="1" x="23"/>
        <item h="1" x="9"/>
        <item h="1" x="28"/>
        <item h="1" x="31"/>
        <item h="1" x="4"/>
        <item h="1" x="34"/>
        <item h="1" x="8"/>
        <item h="1" x="19"/>
        <item h="1" x="21"/>
        <item h="1" x="17"/>
        <item h="1" x="15"/>
        <item h="1" x="18"/>
        <item h="1" x="22"/>
        <item h="1" x="32"/>
        <item h="1" x="30"/>
        <item h="1" x="39"/>
        <item h="1" x="35"/>
        <item h="1" x="36"/>
        <item h="1" x="16"/>
        <item h="1" x="38"/>
        <item h="1" x="13"/>
        <item h="1" x="24"/>
        <item h="1" x="41"/>
        <item h="1" x="29"/>
        <item h="1" x="67"/>
        <item h="1" x="14"/>
        <item h="1" x="3"/>
        <item h="1" x="27"/>
        <item h="1" x="42"/>
        <item h="1" x="12"/>
        <item h="1" x="6"/>
        <item h="1" x="40"/>
        <item h="1" x="7"/>
        <item h="1" x="20"/>
        <item h="1" x="10"/>
        <item h="1" x="1"/>
        <item h="1" x="33"/>
        <item h="1" x="5"/>
        <item h="1" x="43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8"/>
        <item h="1" x="59"/>
        <item h="1" x="60"/>
        <item h="1" x="61"/>
        <item h="1" x="62"/>
        <item h="1" x="63"/>
        <item h="1" x="64"/>
        <item h="1" x="65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44"/>
        <item h="1" x="66"/>
        <item h="1" x="2"/>
        <item h="1" x="94"/>
        <item h="1" x="95"/>
        <item h="1" x="96"/>
        <item h="1" x="97"/>
        <item h="1" x="98"/>
        <item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57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</items>
    </pivotField>
    <pivotField axis="axisRow" showAll="0" defaultSubtotal="0">
      <items count="175">
        <item x="15"/>
        <item x="54"/>
        <item x="34"/>
        <item x="71"/>
        <item x="72"/>
        <item x="55"/>
        <item x="5"/>
        <item x="51"/>
        <item x="30"/>
        <item x="31"/>
        <item x="59"/>
        <item x="62"/>
        <item x="23"/>
        <item x="67"/>
        <item x="29"/>
        <item x="45"/>
        <item x="26"/>
        <item x="49"/>
        <item x="107"/>
        <item x="12"/>
        <item x="40"/>
        <item x="3"/>
        <item x="1"/>
        <item x="20"/>
        <item x="9"/>
        <item x="77"/>
        <item x="43"/>
        <item x="50"/>
        <item x="4"/>
        <item x="60"/>
        <item x="68"/>
        <item x="70"/>
        <item x="61"/>
        <item x="41"/>
        <item x="36"/>
        <item x="44"/>
        <item x="7"/>
        <item x="8"/>
        <item x="58"/>
        <item x="0"/>
        <item x="74"/>
        <item x="42"/>
        <item x="91"/>
        <item x="75"/>
        <item x="39"/>
        <item x="22"/>
        <item x="33"/>
        <item x="11"/>
        <item x="18"/>
        <item x="21"/>
        <item x="10"/>
        <item x="57"/>
        <item x="19"/>
        <item x="76"/>
        <item x="35"/>
        <item x="6"/>
        <item x="38"/>
        <item x="27"/>
        <item x="37"/>
        <item x="53"/>
        <item x="17"/>
        <item x="28"/>
        <item x="63"/>
        <item x="52"/>
        <item x="56"/>
        <item x="69"/>
        <item x="25"/>
        <item x="126"/>
        <item x="32"/>
        <item x="2"/>
        <item x="24"/>
        <item x="14"/>
        <item x="13"/>
        <item x="16"/>
        <item x="65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4"/>
        <item x="95"/>
        <item x="96"/>
        <item x="97"/>
        <item x="98"/>
        <item x="99"/>
        <item x="64"/>
        <item x="100"/>
        <item x="101"/>
        <item x="102"/>
        <item x="103"/>
        <item x="104"/>
        <item x="105"/>
        <item x="106"/>
        <item x="66"/>
        <item x="108"/>
        <item x="47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46"/>
        <item x="73"/>
        <item x="120"/>
        <item x="121"/>
        <item x="122"/>
        <item x="123"/>
        <item x="124"/>
        <item x="127"/>
        <item x="48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4"/>
        <item x="141"/>
        <item x="142"/>
        <item x="143"/>
        <item x="145"/>
        <item x="146"/>
        <item x="147"/>
        <item x="148"/>
        <item x="93"/>
        <item x="125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</items>
    </pivotField>
    <pivotField showAll="0" defaultSubtotal="0"/>
    <pivotField numFmtId="164" showAll="0" defaultSubtotal="0"/>
    <pivotField showAll="0" defaultSubtotal="0"/>
    <pivotField showAll="0" defaultSubtotal="0"/>
    <pivotField numFmtId="164" showAll="0" defaultSubtotal="0"/>
  </pivotFields>
  <rowFields count="1">
    <field x="5"/>
  </rowFields>
  <rowItems count="9">
    <i>
      <x v="9"/>
    </i>
    <i>
      <x v="37"/>
    </i>
    <i>
      <x v="46"/>
    </i>
    <i>
      <x v="52"/>
    </i>
    <i>
      <x v="99"/>
    </i>
    <i>
      <x v="105"/>
    </i>
    <i>
      <x v="130"/>
    </i>
    <i>
      <x v="131"/>
    </i>
    <i>
      <x v="132"/>
    </i>
  </rowItems>
  <colItems count="1">
    <i/>
  </colItems>
  <pageFields count="2">
    <pageField fld="3" hier="-1"/>
    <pageField fld="4" hier="-1"/>
  </pageFields>
  <formats count="10">
    <format dxfId="43">
      <pivotArea type="all" dataOnly="0" outline="0" fieldPosition="0"/>
    </format>
    <format dxfId="42">
      <pivotArea field="4" type="button" dataOnly="0" labelOnly="1" outline="0" axis="axisPage" fieldPosition="1"/>
    </format>
    <format dxfId="41">
      <pivotArea field="5" type="button" dataOnly="0" labelOnly="1" outline="0" axis="axisRow" fieldPosition="0"/>
    </format>
    <format dxfId="40">
      <pivotArea dataOnly="0" labelOnly="1" fieldPosition="0">
        <references count="1">
          <reference field="5" count="9">
            <x v="23"/>
            <x v="34"/>
            <x v="36"/>
            <x v="37"/>
            <x v="38"/>
            <x v="48"/>
            <x v="50"/>
            <x v="51"/>
            <x v="55"/>
          </reference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" count="0"/>
        </references>
      </pivotArea>
    </format>
    <format dxfId="37">
      <pivotArea field="5" type="button" dataOnly="0" labelOnly="1" outline="0" axis="axisRow" fieldPosition="0"/>
    </format>
    <format dxfId="36">
      <pivotArea field="5" type="button" dataOnly="0" labelOnly="1" outline="0" axis="axisRow" fieldPosition="0"/>
    </format>
    <format dxfId="35">
      <pivotArea field="5" type="button" dataOnly="0" labelOnly="1" outline="0" axis="axisRow" fieldPosition="0"/>
    </format>
    <format dxfId="34">
      <pivotArea field="5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26394D-76BE-4CB4-8223-290CB5AB4E89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L26:L30" firstHeaderRow="1" firstDataRow="1" firstDataCol="1" rowPageCount="2" colPageCount="1"/>
  <pivotFields count="11">
    <pivotField showAll="0" defaultSubtotal="0"/>
    <pivotField subtotalTop="0" showAll="0" defaultSubtotal="0"/>
    <pivotField multipleItemSelectionAllowed="1" showAll="0" defaultSubtotal="0"/>
    <pivotField axis="axisPage" multipleItemSelectionAllowed="1" showAll="0" defaultSubtotal="0">
      <items count="10">
        <item h="1" x="7"/>
        <item h="1" x="5"/>
        <item x="1"/>
        <item h="1" x="0"/>
        <item h="1" x="2"/>
        <item h="1" x="3"/>
        <item h="1" x="8"/>
        <item h="1" x="4"/>
        <item h="1" x="6"/>
        <item h="1" x="9"/>
      </items>
    </pivotField>
    <pivotField axis="axisPage" multipleItemSelectionAllowed="1" showAll="0" defaultSubtotal="0">
      <items count="138">
        <item h="1" x="25"/>
        <item h="1" x="11"/>
        <item h="1" x="37"/>
        <item h="1" x="26"/>
        <item h="1" x="0"/>
        <item h="1" x="23"/>
        <item h="1" x="9"/>
        <item h="1" x="28"/>
        <item h="1" x="31"/>
        <item h="1" x="4"/>
        <item h="1" x="34"/>
        <item h="1" x="8"/>
        <item h="1" x="19"/>
        <item h="1" x="21"/>
        <item h="1" x="17"/>
        <item h="1" x="15"/>
        <item h="1" x="18"/>
        <item h="1" x="22"/>
        <item h="1" x="32"/>
        <item h="1" x="30"/>
        <item h="1" x="39"/>
        <item h="1" x="35"/>
        <item h="1" x="36"/>
        <item h="1" x="16"/>
        <item h="1" x="38"/>
        <item h="1" x="13"/>
        <item h="1" x="24"/>
        <item h="1" x="41"/>
        <item h="1" x="29"/>
        <item h="1" x="67"/>
        <item h="1" x="14"/>
        <item h="1" x="3"/>
        <item h="1" x="27"/>
        <item h="1" x="42"/>
        <item h="1" x="12"/>
        <item h="1" x="6"/>
        <item h="1" x="40"/>
        <item h="1" x="7"/>
        <item h="1" x="20"/>
        <item h="1" x="10"/>
        <item h="1" x="1"/>
        <item h="1" x="33"/>
        <item h="1" x="5"/>
        <item h="1" x="43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8"/>
        <item h="1" x="59"/>
        <item h="1" x="60"/>
        <item h="1" x="61"/>
        <item h="1" x="62"/>
        <item h="1" x="63"/>
        <item h="1" x="64"/>
        <item h="1" x="65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44"/>
        <item h="1" x="66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2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57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x="137"/>
      </items>
    </pivotField>
    <pivotField axis="axisRow" showAll="0" defaultSubtotal="0">
      <items count="175">
        <item x="15"/>
        <item x="54"/>
        <item x="34"/>
        <item x="71"/>
        <item x="72"/>
        <item x="55"/>
        <item x="5"/>
        <item x="51"/>
        <item x="30"/>
        <item x="31"/>
        <item x="59"/>
        <item x="62"/>
        <item x="23"/>
        <item x="67"/>
        <item x="29"/>
        <item x="45"/>
        <item x="26"/>
        <item x="49"/>
        <item x="107"/>
        <item x="12"/>
        <item x="40"/>
        <item x="3"/>
        <item x="1"/>
        <item x="20"/>
        <item x="9"/>
        <item x="77"/>
        <item x="43"/>
        <item x="50"/>
        <item x="4"/>
        <item x="60"/>
        <item x="68"/>
        <item x="70"/>
        <item x="61"/>
        <item x="41"/>
        <item x="36"/>
        <item x="44"/>
        <item x="7"/>
        <item x="8"/>
        <item x="58"/>
        <item x="0"/>
        <item x="74"/>
        <item x="42"/>
        <item x="91"/>
        <item x="75"/>
        <item x="39"/>
        <item x="22"/>
        <item x="33"/>
        <item x="11"/>
        <item x="18"/>
        <item x="21"/>
        <item x="10"/>
        <item x="57"/>
        <item x="19"/>
        <item x="76"/>
        <item x="35"/>
        <item x="6"/>
        <item x="38"/>
        <item x="27"/>
        <item x="37"/>
        <item x="53"/>
        <item x="17"/>
        <item x="28"/>
        <item x="63"/>
        <item x="52"/>
        <item x="56"/>
        <item x="69"/>
        <item x="25"/>
        <item x="126"/>
        <item x="32"/>
        <item x="2"/>
        <item x="24"/>
        <item x="14"/>
        <item x="13"/>
        <item x="16"/>
        <item x="65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4"/>
        <item x="95"/>
        <item x="96"/>
        <item x="97"/>
        <item x="98"/>
        <item x="99"/>
        <item x="64"/>
        <item x="100"/>
        <item x="101"/>
        <item x="102"/>
        <item x="103"/>
        <item x="104"/>
        <item x="105"/>
        <item x="106"/>
        <item x="66"/>
        <item x="108"/>
        <item x="47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46"/>
        <item x="48"/>
        <item x="73"/>
        <item x="120"/>
        <item x="121"/>
        <item x="122"/>
        <item x="123"/>
        <item x="12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4"/>
        <item x="141"/>
        <item x="142"/>
        <item x="143"/>
        <item x="145"/>
        <item x="146"/>
        <item x="147"/>
        <item x="148"/>
        <item x="93"/>
        <item x="125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</items>
    </pivotField>
    <pivotField showAll="0" defaultSubtotal="0"/>
    <pivotField numFmtId="164" showAll="0" defaultSubtotal="0"/>
    <pivotField showAll="0" defaultSubtotal="0"/>
    <pivotField showAll="0" defaultSubtotal="0"/>
    <pivotField numFmtId="164" showAll="0" defaultSubtotal="0"/>
  </pivotFields>
  <rowFields count="1">
    <field x="5"/>
  </rowFields>
  <rowItems count="4">
    <i>
      <x v="67"/>
    </i>
    <i>
      <x v="105"/>
    </i>
    <i>
      <x v="118"/>
    </i>
    <i>
      <x v="171"/>
    </i>
  </rowItems>
  <colItems count="1">
    <i/>
  </colItems>
  <pageFields count="2">
    <pageField fld="3" hier="-1"/>
    <pageField fld="4" hier="-1"/>
  </pageFields>
  <formats count="11">
    <format dxfId="54">
      <pivotArea type="all" dataOnly="0" outline="0" fieldPosition="0"/>
    </format>
    <format dxfId="53">
      <pivotArea field="4" type="button" dataOnly="0" labelOnly="1" outline="0" axis="axisPage" fieldPosition="1"/>
    </format>
    <format dxfId="52">
      <pivotArea field="5" type="button" dataOnly="0" labelOnly="1" outline="0" axis="axisRow" fieldPosition="0"/>
    </format>
    <format dxfId="51">
      <pivotArea dataOnly="0" labelOnly="1" fieldPosition="0">
        <references count="1">
          <reference field="5" count="9">
            <x v="23"/>
            <x v="34"/>
            <x v="36"/>
            <x v="37"/>
            <x v="38"/>
            <x v="48"/>
            <x v="50"/>
            <x v="51"/>
            <x v="55"/>
          </reference>
        </references>
      </pivotArea>
    </format>
    <format dxfId="50">
      <pivotArea dataOnly="0" labelOnly="1" grandRow="1" outline="0" fieldPosition="0"/>
    </format>
    <format dxfId="49">
      <pivotArea dataOnly="0" labelOnly="1" outline="0" fieldPosition="0">
        <references count="1">
          <reference field="4" count="0"/>
        </references>
      </pivotArea>
    </format>
    <format dxfId="48">
      <pivotArea field="5" type="button" dataOnly="0" labelOnly="1" outline="0" axis="axisRow" fieldPosition="0"/>
    </format>
    <format dxfId="47">
      <pivotArea field="5" type="button" dataOnly="0" labelOnly="1" outline="0" axis="axisRow" fieldPosition="0"/>
    </format>
    <format dxfId="46">
      <pivotArea field="5" type="button" dataOnly="0" labelOnly="1" outline="0" axis="axisRow" fieldPosition="0"/>
    </format>
    <format dxfId="45">
      <pivotArea field="5" type="button" dataOnly="0" labelOnly="1" outline="0" axis="axisRow" fieldPosition="0"/>
    </format>
    <format dxfId="44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1EDE7-BAAF-4A6B-85E5-CFD37659797D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L36:L40" firstHeaderRow="1" firstDataRow="1" firstDataCol="1" rowPageCount="2" colPageCount="1"/>
  <pivotFields count="11">
    <pivotField subtotalTop="0" showAll="0" defaultSubtotal="0"/>
    <pivotField subtotalTop="0" showAll="0" defaultSubtotal="0"/>
    <pivotField multipleItemSelectionAllowed="1" showAll="0" defaultSubtotal="0"/>
    <pivotField axis="axisPage" multipleItemSelectionAllowed="1" showAll="0" defaultSubtotal="0">
      <items count="10">
        <item h="1" x="7"/>
        <item h="1" x="5"/>
        <item h="1" x="1"/>
        <item h="1" x="0"/>
        <item x="2"/>
        <item h="1" x="3"/>
        <item h="1" x="8"/>
        <item h="1" x="4"/>
        <item h="1" x="6"/>
        <item h="1" x="9"/>
      </items>
    </pivotField>
    <pivotField axis="axisPage" multipleItemSelectionAllowed="1" showAll="0" defaultSubtotal="0">
      <items count="138">
        <item h="1" x="25"/>
        <item h="1" x="11"/>
        <item h="1" x="37"/>
        <item h="1" x="26"/>
        <item h="1" x="0"/>
        <item h="1" x="23"/>
        <item h="1" x="9"/>
        <item h="1" x="28"/>
        <item h="1" x="31"/>
        <item h="1" x="4"/>
        <item h="1" x="34"/>
        <item h="1" x="8"/>
        <item h="1" x="19"/>
        <item h="1" x="21"/>
        <item h="1" x="17"/>
        <item h="1" x="15"/>
        <item h="1" x="18"/>
        <item h="1" x="22"/>
        <item h="1" x="32"/>
        <item h="1" x="30"/>
        <item h="1" x="39"/>
        <item x="35"/>
        <item h="1" x="36"/>
        <item h="1" x="16"/>
        <item h="1" x="38"/>
        <item h="1" x="13"/>
        <item h="1" x="24"/>
        <item h="1" x="41"/>
        <item h="1" x="29"/>
        <item h="1" x="67"/>
        <item h="1" x="14"/>
        <item h="1" x="3"/>
        <item h="1" x="27"/>
        <item h="1" x="42"/>
        <item h="1" x="12"/>
        <item h="1" x="6"/>
        <item h="1" x="40"/>
        <item h="1" x="7"/>
        <item h="1" x="20"/>
        <item h="1" x="10"/>
        <item h="1" x="1"/>
        <item h="1" x="33"/>
        <item h="1" x="5"/>
        <item h="1" x="43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8"/>
        <item h="1" x="59"/>
        <item h="1" x="60"/>
        <item h="1" x="61"/>
        <item h="1" x="62"/>
        <item h="1" x="63"/>
        <item h="1" x="64"/>
        <item h="1" x="65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44"/>
        <item h="1" x="66"/>
        <item h="1" x="2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57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</items>
    </pivotField>
    <pivotField axis="axisRow" showAll="0" defaultSubtotal="0">
      <items count="175">
        <item x="15"/>
        <item x="54"/>
        <item x="34"/>
        <item x="71"/>
        <item x="72"/>
        <item x="55"/>
        <item x="5"/>
        <item x="51"/>
        <item x="30"/>
        <item x="31"/>
        <item x="59"/>
        <item x="62"/>
        <item x="23"/>
        <item x="67"/>
        <item x="29"/>
        <item x="45"/>
        <item x="26"/>
        <item x="49"/>
        <item x="107"/>
        <item x="12"/>
        <item x="40"/>
        <item x="3"/>
        <item x="1"/>
        <item x="20"/>
        <item x="9"/>
        <item x="77"/>
        <item x="43"/>
        <item x="50"/>
        <item x="4"/>
        <item x="60"/>
        <item x="68"/>
        <item x="70"/>
        <item x="61"/>
        <item x="41"/>
        <item x="36"/>
        <item x="44"/>
        <item x="7"/>
        <item x="8"/>
        <item x="58"/>
        <item x="0"/>
        <item x="74"/>
        <item x="42"/>
        <item x="91"/>
        <item x="75"/>
        <item x="39"/>
        <item x="22"/>
        <item x="33"/>
        <item x="11"/>
        <item x="18"/>
        <item x="21"/>
        <item x="10"/>
        <item x="57"/>
        <item x="19"/>
        <item x="76"/>
        <item x="35"/>
        <item x="6"/>
        <item x="38"/>
        <item x="27"/>
        <item x="37"/>
        <item x="53"/>
        <item x="17"/>
        <item x="28"/>
        <item x="63"/>
        <item x="52"/>
        <item x="56"/>
        <item x="69"/>
        <item x="25"/>
        <item x="126"/>
        <item x="32"/>
        <item x="2"/>
        <item x="24"/>
        <item x="14"/>
        <item x="13"/>
        <item x="16"/>
        <item x="65"/>
        <item x="46"/>
        <item x="47"/>
        <item x="7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4"/>
        <item x="95"/>
        <item x="96"/>
        <item x="97"/>
        <item x="98"/>
        <item x="99"/>
        <item x="64"/>
        <item x="100"/>
        <item x="101"/>
        <item x="102"/>
        <item x="103"/>
        <item x="104"/>
        <item x="105"/>
        <item x="106"/>
        <item x="6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7"/>
        <item x="48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93"/>
        <item x="125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</items>
    </pivotField>
    <pivotField showAll="0" defaultSubtotal="0"/>
    <pivotField numFmtId="164" showAll="0" defaultSubtotal="0"/>
    <pivotField showAll="0" defaultSubtotal="0"/>
    <pivotField showAll="0" defaultSubtotal="0"/>
    <pivotField numFmtId="164" showAll="0" defaultSubtotal="0"/>
  </pivotFields>
  <rowFields count="1">
    <field x="5"/>
  </rowFields>
  <rowItems count="4">
    <i>
      <x v="16"/>
    </i>
    <i>
      <x v="30"/>
    </i>
    <i>
      <x v="47"/>
    </i>
    <i>
      <x v="65"/>
    </i>
  </rowItems>
  <colItems count="1">
    <i/>
  </colItems>
  <pageFields count="2">
    <pageField fld="3" hier="-1"/>
    <pageField fld="4" hier="-1"/>
  </pageFields>
  <formats count="11">
    <format dxfId="65">
      <pivotArea type="all" dataOnly="0" outline="0" fieldPosition="0"/>
    </format>
    <format dxfId="64">
      <pivotArea field="4" type="button" dataOnly="0" labelOnly="1" outline="0" axis="axisPage" fieldPosition="1"/>
    </format>
    <format dxfId="63">
      <pivotArea field="5" type="button" dataOnly="0" labelOnly="1" outline="0" axis="axisRow" fieldPosition="0"/>
    </format>
    <format dxfId="62">
      <pivotArea dataOnly="0" labelOnly="1" fieldPosition="0">
        <references count="1">
          <reference field="5" count="9">
            <x v="23"/>
            <x v="34"/>
            <x v="36"/>
            <x v="37"/>
            <x v="38"/>
            <x v="48"/>
            <x v="50"/>
            <x v="51"/>
            <x v="55"/>
          </reference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" count="0"/>
        </references>
      </pivotArea>
    </format>
    <format dxfId="59">
      <pivotArea field="5" type="button" dataOnly="0" labelOnly="1" outline="0" axis="axisRow" fieldPosition="0"/>
    </format>
    <format dxfId="58">
      <pivotArea field="5" type="button" dataOnly="0" labelOnly="1" outline="0" axis="axisRow" fieldPosition="0"/>
    </format>
    <format dxfId="57">
      <pivotArea field="5" type="button" dataOnly="0" labelOnly="1" outline="0" axis="axisRow" fieldPosition="0"/>
    </format>
    <format dxfId="56">
      <pivotArea field="5" type="button" dataOnly="0" labelOnly="1" outline="0" axis="axisRow" fieldPosition="0"/>
    </format>
    <format dxfId="55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3013CB-1EE2-4B27-A3E9-FBD3A8197134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L73:L79" firstHeaderRow="1" firstDataRow="1" firstDataCol="1" rowPageCount="2" colPageCount="1"/>
  <pivotFields count="11">
    <pivotField subtotalTop="0" showAll="0" defaultSubtotal="0"/>
    <pivotField subtotalTop="0" showAll="0" defaultSubtotal="0"/>
    <pivotField multipleItemSelectionAllowed="1" showAll="0" defaultSubtotal="0"/>
    <pivotField axis="axisPage" multipleItemSelectionAllowed="1" showAll="0" defaultSubtotal="0">
      <items count="10">
        <item h="1" x="7"/>
        <item h="1" x="5"/>
        <item h="1" x="1"/>
        <item h="1" x="0"/>
        <item h="1" x="2"/>
        <item h="1" x="3"/>
        <item h="1" x="8"/>
        <item x="4"/>
        <item h="1" x="6"/>
        <item h="1" x="9"/>
      </items>
    </pivotField>
    <pivotField axis="axisPage" multipleItemSelectionAllowed="1" showAll="0" defaultSubtotal="0">
      <items count="138">
        <item h="1" x="25"/>
        <item h="1" x="11"/>
        <item h="1" x="37"/>
        <item h="1" x="26"/>
        <item h="1" x="0"/>
        <item h="1" x="23"/>
        <item h="1" x="9"/>
        <item h="1" x="28"/>
        <item h="1" x="31"/>
        <item h="1" x="4"/>
        <item h="1" x="34"/>
        <item h="1" x="8"/>
        <item h="1" x="19"/>
        <item h="1" x="21"/>
        <item h="1" x="17"/>
        <item h="1" x="15"/>
        <item h="1" x="18"/>
        <item h="1" x="22"/>
        <item h="1" x="32"/>
        <item h="1" x="30"/>
        <item h="1" x="39"/>
        <item h="1" x="35"/>
        <item h="1" x="36"/>
        <item h="1" x="16"/>
        <item h="1" x="38"/>
        <item h="1" x="13"/>
        <item h="1" x="24"/>
        <item h="1" x="41"/>
        <item h="1" x="29"/>
        <item h="1" x="67"/>
        <item h="1" x="14"/>
        <item h="1" x="3"/>
        <item h="1" x="27"/>
        <item h="1" x="42"/>
        <item h="1" x="12"/>
        <item h="1" x="6"/>
        <item h="1" x="40"/>
        <item h="1" x="7"/>
        <item h="1" x="20"/>
        <item h="1" x="10"/>
        <item x="1"/>
        <item h="1" x="33"/>
        <item h="1" x="5"/>
        <item h="1" x="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</items>
    </pivotField>
    <pivotField axis="axisRow" showAll="0" defaultSubtotal="0">
      <items count="175">
        <item x="15"/>
        <item x="54"/>
        <item x="34"/>
        <item x="71"/>
        <item x="72"/>
        <item x="55"/>
        <item x="5"/>
        <item x="51"/>
        <item x="30"/>
        <item x="31"/>
        <item x="59"/>
        <item x="62"/>
        <item x="23"/>
        <item x="67"/>
        <item x="29"/>
        <item x="45"/>
        <item x="26"/>
        <item x="49"/>
        <item x="107"/>
        <item x="12"/>
        <item x="40"/>
        <item x="3"/>
        <item x="1"/>
        <item x="20"/>
        <item x="9"/>
        <item x="77"/>
        <item x="43"/>
        <item x="50"/>
        <item x="4"/>
        <item x="60"/>
        <item x="68"/>
        <item x="70"/>
        <item x="61"/>
        <item x="41"/>
        <item x="36"/>
        <item x="44"/>
        <item x="7"/>
        <item x="8"/>
        <item x="58"/>
        <item x="0"/>
        <item x="74"/>
        <item x="42"/>
        <item x="91"/>
        <item x="75"/>
        <item x="39"/>
        <item x="22"/>
        <item x="33"/>
        <item x="11"/>
        <item x="18"/>
        <item x="21"/>
        <item x="10"/>
        <item x="57"/>
        <item x="19"/>
        <item x="76"/>
        <item x="35"/>
        <item x="6"/>
        <item x="38"/>
        <item x="27"/>
        <item x="37"/>
        <item x="53"/>
        <item x="17"/>
        <item x="28"/>
        <item x="63"/>
        <item x="52"/>
        <item x="56"/>
        <item x="69"/>
        <item x="25"/>
        <item x="126"/>
        <item x="32"/>
        <item x="2"/>
        <item x="24"/>
        <item x="14"/>
        <item x="13"/>
        <item x="16"/>
        <item x="65"/>
        <item x="46"/>
        <item x="47"/>
        <item x="48"/>
        <item x="64"/>
        <item x="66"/>
        <item x="7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2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93"/>
        <item x="125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</items>
    </pivotField>
    <pivotField showAll="0" defaultSubtotal="0"/>
    <pivotField numFmtId="164" showAll="0" defaultSubtotal="0"/>
    <pivotField showAll="0" defaultSubtotal="0"/>
    <pivotField showAll="0" defaultSubtotal="0"/>
    <pivotField numFmtId="164" showAll="0" defaultSubtotal="0"/>
  </pivotFields>
  <rowFields count="1">
    <field x="5"/>
  </rowFields>
  <rowItems count="6">
    <i>
      <x v="25"/>
    </i>
    <i>
      <x v="26"/>
    </i>
    <i>
      <x v="32"/>
    </i>
    <i>
      <x v="49"/>
    </i>
    <i>
      <x v="64"/>
    </i>
    <i>
      <x v="85"/>
    </i>
  </rowItems>
  <colItems count="1">
    <i/>
  </colItems>
  <pageFields count="2">
    <pageField fld="3" hier="-1"/>
    <pageField fld="4" hier="-1"/>
  </pageFields>
  <formats count="11">
    <format dxfId="76">
      <pivotArea type="all" dataOnly="0" outline="0" fieldPosition="0"/>
    </format>
    <format dxfId="75">
      <pivotArea field="4" type="button" dataOnly="0" labelOnly="1" outline="0" axis="axisPage" fieldPosition="1"/>
    </format>
    <format dxfId="74">
      <pivotArea field="5" type="button" dataOnly="0" labelOnly="1" outline="0" axis="axisRow" fieldPosition="0"/>
    </format>
    <format dxfId="73">
      <pivotArea dataOnly="0" labelOnly="1" fieldPosition="0">
        <references count="1">
          <reference field="5" count="9">
            <x v="23"/>
            <x v="34"/>
            <x v="36"/>
            <x v="37"/>
            <x v="38"/>
            <x v="48"/>
            <x v="50"/>
            <x v="51"/>
            <x v="55"/>
          </reference>
        </references>
      </pivotArea>
    </format>
    <format dxfId="72">
      <pivotArea dataOnly="0" labelOnly="1" grandRow="1" outline="0" fieldPosition="0"/>
    </format>
    <format dxfId="71">
      <pivotArea dataOnly="0" labelOnly="1" outline="0" fieldPosition="0">
        <references count="1">
          <reference field="4" count="0"/>
        </references>
      </pivotArea>
    </format>
    <format dxfId="70">
      <pivotArea field="5" type="button" dataOnly="0" labelOnly="1" outline="0" axis="axisRow" fieldPosition="0"/>
    </format>
    <format dxfId="69">
      <pivotArea field="5" type="button" dataOnly="0" labelOnly="1" outline="0" axis="axisRow" fieldPosition="0"/>
    </format>
    <format dxfId="68">
      <pivotArea field="5" type="button" dataOnly="0" labelOnly="1" outline="0" axis="axisRow" fieldPosition="0"/>
    </format>
    <format dxfId="67">
      <pivotArea field="5" type="button" dataOnly="0" labelOnly="1" outline="0" axis="axisRow" fieldPosition="0"/>
    </format>
    <format dxfId="66">
      <pivotArea dataOnly="0" labelOnly="1" outline="0" fieldPosition="0">
        <references count="1">
          <reference field="3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pivotTable" Target="../pivotTables/pivotTable6.xml"/><Relationship Id="rId7" Type="http://schemas.openxmlformats.org/officeDocument/2006/relationships/pivotTable" Target="../pivotTables/pivotTable10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AA164"/>
  <sheetViews>
    <sheetView showWhiteSpace="0" zoomScale="90" zoomScaleNormal="90" zoomScaleSheetLayoutView="71" zoomScalePageLayoutView="66" workbookViewId="0">
      <selection activeCell="U24" sqref="U24"/>
    </sheetView>
  </sheetViews>
  <sheetFormatPr defaultColWidth="8.81640625" defaultRowHeight="15.5" x14ac:dyDescent="0.35"/>
  <cols>
    <col min="1" max="1" width="1.81640625" style="39" customWidth="1"/>
    <col min="2" max="2" width="15.7265625" style="40" bestFit="1" customWidth="1"/>
    <col min="3" max="3" width="21.453125" style="40" bestFit="1" customWidth="1"/>
    <col min="4" max="4" width="15.26953125" style="39" customWidth="1"/>
    <col min="5" max="5" width="11.1796875" style="39" bestFit="1" customWidth="1"/>
    <col min="6" max="6" width="11.7265625" style="74" bestFit="1" customWidth="1"/>
    <col min="7" max="7" width="5.1796875" style="39" customWidth="1"/>
    <col min="8" max="8" width="16.36328125" style="56" bestFit="1" customWidth="1"/>
    <col min="9" max="9" width="23.453125" style="39" bestFit="1" customWidth="1"/>
    <col min="10" max="10" width="21" style="39" customWidth="1"/>
    <col min="11" max="11" width="11.36328125" style="39" customWidth="1"/>
    <col min="12" max="12" width="11.7265625" style="74" bestFit="1" customWidth="1"/>
    <col min="13" max="13" width="6.54296875" style="39" customWidth="1"/>
    <col min="14" max="14" width="9.36328125" style="39" customWidth="1"/>
    <col min="15" max="15" width="20.90625" style="39" customWidth="1"/>
    <col min="16" max="16" width="46.7265625" style="39" bestFit="1" customWidth="1"/>
    <col min="17" max="17" width="31.7265625" style="74" customWidth="1"/>
    <col min="18" max="18" width="55.6328125" style="39" customWidth="1"/>
    <col min="19" max="19" width="12" style="39" customWidth="1"/>
    <col min="20" max="20" width="20.6328125" style="39" bestFit="1" customWidth="1"/>
    <col min="21" max="21" width="17.08984375" style="40" bestFit="1" customWidth="1"/>
    <col min="22" max="22" width="14.453125" style="40" bestFit="1" customWidth="1"/>
    <col min="23" max="23" width="14.453125" style="74" bestFit="1" customWidth="1"/>
    <col min="24" max="24" width="29.08984375" style="39" customWidth="1"/>
    <col min="25" max="25" width="12" style="39" customWidth="1"/>
    <col min="26" max="26" width="5.453125" style="39" customWidth="1"/>
    <col min="27" max="27" width="13.81640625" style="39" customWidth="1"/>
    <col min="28" max="16384" width="8.81640625" style="39"/>
  </cols>
  <sheetData>
    <row r="2" spans="2:27" x14ac:dyDescent="0.35">
      <c r="B2" s="117" t="s">
        <v>234</v>
      </c>
      <c r="C2" s="117"/>
      <c r="H2" s="118" t="s">
        <v>230</v>
      </c>
      <c r="I2" s="118"/>
      <c r="N2" s="60" t="s">
        <v>239</v>
      </c>
      <c r="T2" s="60" t="s">
        <v>239</v>
      </c>
    </row>
    <row r="3" spans="2:27" x14ac:dyDescent="0.35">
      <c r="B3" s="57" t="s">
        <v>190</v>
      </c>
      <c r="C3" s="82"/>
      <c r="H3" s="57" t="s">
        <v>190</v>
      </c>
      <c r="I3" s="82"/>
      <c r="N3" s="39" t="s">
        <v>240</v>
      </c>
      <c r="T3" s="39" t="s">
        <v>255</v>
      </c>
    </row>
    <row r="4" spans="2:27" x14ac:dyDescent="0.35">
      <c r="B4" s="57" t="s">
        <v>19</v>
      </c>
      <c r="C4" s="82"/>
      <c r="H4" s="57" t="s">
        <v>19</v>
      </c>
      <c r="I4" s="82"/>
      <c r="N4" s="39" t="s">
        <v>243</v>
      </c>
      <c r="T4" s="39" t="s">
        <v>256</v>
      </c>
    </row>
    <row r="5" spans="2:27" x14ac:dyDescent="0.35">
      <c r="B5" s="57" t="s">
        <v>47</v>
      </c>
      <c r="C5" s="58"/>
      <c r="H5" s="57" t="s">
        <v>47</v>
      </c>
      <c r="I5" s="58"/>
      <c r="K5" s="39">
        <v>91</v>
      </c>
      <c r="N5" s="39" t="s">
        <v>242</v>
      </c>
      <c r="T5" s="39" t="s">
        <v>257</v>
      </c>
    </row>
    <row r="6" spans="2:27" x14ac:dyDescent="0.35">
      <c r="B6" s="57" t="s">
        <v>191</v>
      </c>
      <c r="C6" s="58"/>
      <c r="E6" s="39">
        <v>5</v>
      </c>
      <c r="F6" s="74">
        <v>100</v>
      </c>
      <c r="H6" s="57" t="s">
        <v>191</v>
      </c>
      <c r="I6" s="58"/>
      <c r="N6" s="60" t="s">
        <v>247</v>
      </c>
      <c r="T6" s="60" t="s">
        <v>247</v>
      </c>
    </row>
    <row r="7" spans="2:27" x14ac:dyDescent="0.35">
      <c r="B7" s="57" t="s">
        <v>12</v>
      </c>
      <c r="C7" s="58"/>
      <c r="E7" s="39">
        <v>15</v>
      </c>
      <c r="F7" s="74">
        <v>520</v>
      </c>
      <c r="H7" s="57" t="s">
        <v>12</v>
      </c>
      <c r="I7" s="58"/>
      <c r="J7" s="39">
        <v>87</v>
      </c>
      <c r="N7" s="39" t="s">
        <v>248</v>
      </c>
      <c r="T7" s="39" t="s">
        <v>253</v>
      </c>
    </row>
    <row r="8" spans="2:27" x14ac:dyDescent="0.35">
      <c r="B8" s="57" t="s">
        <v>52</v>
      </c>
      <c r="C8" s="58"/>
      <c r="E8" s="39">
        <v>4</v>
      </c>
      <c r="F8" s="74">
        <v>106</v>
      </c>
      <c r="H8" s="57" t="s">
        <v>52</v>
      </c>
      <c r="I8" s="58"/>
      <c r="J8" s="39">
        <v>43</v>
      </c>
      <c r="N8" s="39" t="s">
        <v>249</v>
      </c>
      <c r="T8" s="39" t="s">
        <v>254</v>
      </c>
    </row>
    <row r="9" spans="2:27" x14ac:dyDescent="0.35">
      <c r="N9" s="39" t="s">
        <v>258</v>
      </c>
    </row>
    <row r="10" spans="2:27" x14ac:dyDescent="0.35">
      <c r="B10" s="41"/>
      <c r="C10" s="41"/>
      <c r="D10" s="41"/>
      <c r="E10" s="41"/>
      <c r="F10" s="75"/>
      <c r="H10" s="43"/>
      <c r="I10" s="41"/>
      <c r="J10" s="41"/>
      <c r="K10" s="41"/>
      <c r="L10" s="75"/>
    </row>
    <row r="11" spans="2:27" x14ac:dyDescent="0.35">
      <c r="B11" s="117" t="s">
        <v>245</v>
      </c>
      <c r="C11" s="117"/>
      <c r="D11" s="44" t="s">
        <v>144</v>
      </c>
      <c r="E11" s="45">
        <v>580</v>
      </c>
      <c r="F11" s="75"/>
      <c r="H11" s="118" t="s">
        <v>246</v>
      </c>
      <c r="I11" s="118"/>
      <c r="J11" s="44" t="s">
        <v>144</v>
      </c>
      <c r="K11" s="45">
        <v>100</v>
      </c>
      <c r="L11" s="75"/>
      <c r="N11" s="119" t="s">
        <v>241</v>
      </c>
      <c r="O11" s="119"/>
      <c r="P11" s="119"/>
      <c r="Q11" s="119"/>
      <c r="R11" s="119"/>
      <c r="T11" s="116" t="s">
        <v>473</v>
      </c>
      <c r="U11" s="116"/>
      <c r="V11" s="116"/>
      <c r="W11" s="116"/>
      <c r="X11" s="116"/>
      <c r="AA11" s="78"/>
    </row>
    <row r="12" spans="2:27" x14ac:dyDescent="0.35">
      <c r="B12" s="46" t="s">
        <v>1</v>
      </c>
      <c r="C12" s="46" t="s">
        <v>61</v>
      </c>
      <c r="D12" s="47" t="s">
        <v>145</v>
      </c>
      <c r="E12" s="48"/>
      <c r="F12" s="75">
        <v>96</v>
      </c>
      <c r="H12" s="49" t="s">
        <v>1</v>
      </c>
      <c r="I12" s="49" t="s">
        <v>128</v>
      </c>
      <c r="J12" s="47" t="s">
        <v>145</v>
      </c>
      <c r="K12" s="48"/>
      <c r="L12" s="75"/>
      <c r="N12" s="119"/>
      <c r="O12" s="119"/>
      <c r="P12" s="119"/>
      <c r="Q12" s="119"/>
      <c r="R12" s="119"/>
      <c r="T12" s="116"/>
      <c r="U12" s="116"/>
      <c r="V12" s="116"/>
      <c r="W12" s="116"/>
      <c r="X12" s="116"/>
    </row>
    <row r="13" spans="2:27" x14ac:dyDescent="0.35">
      <c r="B13" s="42"/>
      <c r="C13" s="42"/>
      <c r="D13" s="41"/>
      <c r="E13" s="41"/>
      <c r="F13" s="75"/>
      <c r="H13" s="50"/>
      <c r="I13" s="42"/>
      <c r="J13" s="41"/>
      <c r="K13" s="41"/>
      <c r="L13" s="75"/>
      <c r="T13" s="37" t="s">
        <v>252</v>
      </c>
      <c r="U13" s="4" t="s">
        <v>251</v>
      </c>
      <c r="V13" s="5"/>
      <c r="W13"/>
      <c r="X13" s="85"/>
    </row>
    <row r="14" spans="2:27" s="52" customFormat="1" ht="31" x14ac:dyDescent="0.35">
      <c r="B14" s="49" t="s">
        <v>233</v>
      </c>
      <c r="C14" s="51" t="s">
        <v>139</v>
      </c>
      <c r="D14" s="51" t="s">
        <v>142</v>
      </c>
      <c r="E14" s="51" t="s">
        <v>146</v>
      </c>
      <c r="F14" s="76" t="s">
        <v>143</v>
      </c>
      <c r="H14" s="53" t="s">
        <v>137</v>
      </c>
      <c r="I14" s="51" t="s">
        <v>139</v>
      </c>
      <c r="J14" s="51" t="s">
        <v>142</v>
      </c>
      <c r="K14" s="51" t="s">
        <v>146</v>
      </c>
      <c r="L14" s="76" t="s">
        <v>143</v>
      </c>
      <c r="N14" s="59" t="s">
        <v>235</v>
      </c>
      <c r="O14" s="59" t="s">
        <v>244</v>
      </c>
      <c r="P14" s="59" t="s">
        <v>238</v>
      </c>
      <c r="Q14" s="77" t="s">
        <v>236</v>
      </c>
      <c r="R14" s="59" t="s">
        <v>237</v>
      </c>
      <c r="T14" s="59" t="s">
        <v>137</v>
      </c>
      <c r="U14" s="61" t="s">
        <v>372</v>
      </c>
      <c r="V14" s="61" t="s">
        <v>250</v>
      </c>
      <c r="W14"/>
      <c r="X14" s="86" t="s">
        <v>349</v>
      </c>
    </row>
    <row r="15" spans="2:27" x14ac:dyDescent="0.35">
      <c r="B15" s="55" t="s">
        <v>62</v>
      </c>
      <c r="C15" s="42">
        <f>IFERROR(VLOOKUP($C$12&amp;$B15,'định lượng suất 25k'!$B:$J,9,0),0)</f>
        <v>3.6764705882352942E-2</v>
      </c>
      <c r="D15" s="54">
        <f t="shared" ref="D15:D29" si="0">C15*SUM($E$11:$E$12)</f>
        <v>21.323529411764707</v>
      </c>
      <c r="E15" s="54">
        <v>0</v>
      </c>
      <c r="F15" s="75">
        <f t="shared" ref="F15:F29" si="1">D15-E15</f>
        <v>21.323529411764707</v>
      </c>
      <c r="H15" s="49" t="s">
        <v>233</v>
      </c>
      <c r="I15" s="42">
        <f>IFERROR(VLOOKUP($I$12&amp;H15,'định lượng suất 25k'!$B:$J,9,0),0)</f>
        <v>0</v>
      </c>
      <c r="J15" s="54">
        <f>I15*SUM($K$11:$K$12)</f>
        <v>0</v>
      </c>
      <c r="K15" s="54">
        <v>0</v>
      </c>
      <c r="L15" s="75">
        <f>J15-K15</f>
        <v>0</v>
      </c>
      <c r="N15" s="123"/>
      <c r="O15" s="123"/>
      <c r="P15" s="123"/>
      <c r="Q15" s="89"/>
      <c r="R15" s="124"/>
      <c r="S15"/>
      <c r="T15" s="129" t="s">
        <v>372</v>
      </c>
      <c r="U15" s="5"/>
      <c r="V15" s="96"/>
      <c r="W15"/>
      <c r="X15"/>
    </row>
    <row r="16" spans="2:27" x14ac:dyDescent="0.35">
      <c r="B16" s="49" t="s">
        <v>232</v>
      </c>
      <c r="C16" s="42">
        <f>IFERROR(VLOOKUP($C$12&amp;$B16,'định lượng suất 25k'!$B:$J,9,0),0)</f>
        <v>0</v>
      </c>
      <c r="D16" s="54">
        <f t="shared" si="0"/>
        <v>0</v>
      </c>
      <c r="E16" s="54"/>
      <c r="F16" s="75">
        <f t="shared" si="1"/>
        <v>0</v>
      </c>
      <c r="H16" s="55" t="s">
        <v>78</v>
      </c>
      <c r="I16" s="42">
        <f>IFERROR(VLOOKUP($I$12&amp;$H16,'định lượng suất 25k'!$B:$J,9,0),0)</f>
        <v>1.6949152542372881E-2</v>
      </c>
      <c r="J16" s="54">
        <f t="shared" ref="J16:J29" si="2">I16*SUM($K$11:$K$12)</f>
        <v>1.6949152542372881</v>
      </c>
      <c r="K16" s="54"/>
      <c r="L16" s="75">
        <f t="shared" ref="L16:L27" si="3">J16-K16</f>
        <v>1.6949152542372881</v>
      </c>
      <c r="N16" s="123"/>
      <c r="O16" s="123"/>
      <c r="P16" s="123"/>
      <c r="Q16" s="89"/>
      <c r="R16" s="124"/>
      <c r="S16"/>
      <c r="T16" s="38" t="s">
        <v>250</v>
      </c>
      <c r="U16" s="5"/>
      <c r="V16" s="96"/>
      <c r="W16"/>
      <c r="X16" s="97"/>
    </row>
    <row r="17" spans="2:24" x14ac:dyDescent="0.35">
      <c r="B17" s="55" t="s">
        <v>37</v>
      </c>
      <c r="C17" s="42">
        <f>IFERROR(VLOOKUP($C$12&amp;$B17,'định lượng suất 25k'!$B:$J,9,0),0)</f>
        <v>3.7313432835820895E-3</v>
      </c>
      <c r="D17" s="54">
        <f t="shared" si="0"/>
        <v>2.1641791044776117</v>
      </c>
      <c r="E17" s="54"/>
      <c r="F17" s="75">
        <f t="shared" si="1"/>
        <v>2.1641791044776117</v>
      </c>
      <c r="H17" s="55" t="s">
        <v>114</v>
      </c>
      <c r="I17" s="42">
        <f>IFERROR(VLOOKUP($I$12&amp;$H17,'định lượng suất 25k'!$B:$J,9,0),0)</f>
        <v>1</v>
      </c>
      <c r="J17" s="54">
        <f t="shared" si="2"/>
        <v>100</v>
      </c>
      <c r="K17" s="54">
        <v>0</v>
      </c>
      <c r="L17" s="75">
        <f t="shared" si="3"/>
        <v>100</v>
      </c>
      <c r="N17" s="123"/>
      <c r="O17" s="123"/>
      <c r="P17" s="123"/>
      <c r="Q17" s="89"/>
      <c r="R17" s="124"/>
      <c r="S17"/>
      <c r="T17"/>
      <c r="U17"/>
      <c r="V17"/>
      <c r="W17"/>
      <c r="X17" s="97"/>
    </row>
    <row r="18" spans="2:24" x14ac:dyDescent="0.35">
      <c r="B18"/>
      <c r="C18" s="42">
        <f>IFERROR(VLOOKUP($C$12&amp;$B18,'định lượng suất 25k'!$B:$J,9,0),0)</f>
        <v>0</v>
      </c>
      <c r="D18" s="54">
        <f t="shared" si="0"/>
        <v>0</v>
      </c>
      <c r="E18" s="54"/>
      <c r="F18" s="75">
        <f t="shared" si="1"/>
        <v>0</v>
      </c>
      <c r="H18" s="55" t="s">
        <v>28</v>
      </c>
      <c r="I18" s="42">
        <f>IFERROR(VLOOKUP($I$12&amp;$H18,'định lượng suất 25k'!$B:$J,9,0),0)</f>
        <v>1.6949152542372883E-3</v>
      </c>
      <c r="J18" s="54">
        <f t="shared" si="2"/>
        <v>0.16949152542372883</v>
      </c>
      <c r="K18" s="54">
        <v>0</v>
      </c>
      <c r="L18" s="75">
        <f t="shared" si="3"/>
        <v>0.16949152542372883</v>
      </c>
      <c r="N18" s="123"/>
      <c r="O18" s="123"/>
      <c r="P18" s="123"/>
      <c r="Q18" s="89"/>
      <c r="R18" s="124"/>
      <c r="S18"/>
      <c r="T18"/>
      <c r="U18"/>
      <c r="V18"/>
      <c r="W18"/>
      <c r="X18" s="97"/>
    </row>
    <row r="19" spans="2:24" x14ac:dyDescent="0.35">
      <c r="B19"/>
      <c r="C19" s="42">
        <f>IFERROR(VLOOKUP($C$12&amp;$B19,'định lượng suất 25k'!$B:$J,9,0),0)</f>
        <v>0</v>
      </c>
      <c r="D19" s="54">
        <f t="shared" si="0"/>
        <v>0</v>
      </c>
      <c r="E19" s="54"/>
      <c r="F19" s="75">
        <f t="shared" si="1"/>
        <v>0</v>
      </c>
      <c r="H19" s="49" t="s">
        <v>232</v>
      </c>
      <c r="I19" s="42">
        <f>IFERROR(VLOOKUP($I$12&amp;$H19,'định lượng suất 25k'!$B:$J,9,0),0)</f>
        <v>0</v>
      </c>
      <c r="J19" s="54">
        <f t="shared" si="2"/>
        <v>0</v>
      </c>
      <c r="K19" s="54">
        <v>0</v>
      </c>
      <c r="L19" s="75">
        <f t="shared" si="3"/>
        <v>0</v>
      </c>
      <c r="N19" s="123"/>
      <c r="O19" s="123"/>
      <c r="P19" s="123"/>
      <c r="Q19" s="89"/>
      <c r="R19" s="124"/>
      <c r="S19"/>
      <c r="T19"/>
      <c r="U19"/>
      <c r="V19"/>
      <c r="W19"/>
      <c r="X19" s="97"/>
    </row>
    <row r="20" spans="2:24" x14ac:dyDescent="0.35">
      <c r="B20"/>
      <c r="C20" s="42">
        <f>IFERROR(VLOOKUP($C$12&amp;$B20,'định lượng suất 25k'!$B:$J,9,0),0)</f>
        <v>0</v>
      </c>
      <c r="D20" s="54">
        <f t="shared" si="0"/>
        <v>0</v>
      </c>
      <c r="E20" s="54"/>
      <c r="F20" s="75">
        <f t="shared" si="1"/>
        <v>0</v>
      </c>
      <c r="H20" s="55" t="s">
        <v>50</v>
      </c>
      <c r="I20" s="42">
        <f>IFERROR(VLOOKUP($I$12&amp;$H20,'định lượng suất 25k'!$B:$J,9,0),0)</f>
        <v>0.01</v>
      </c>
      <c r="J20" s="54">
        <f t="shared" si="2"/>
        <v>1</v>
      </c>
      <c r="K20" s="54">
        <v>0</v>
      </c>
      <c r="L20" s="75">
        <f t="shared" si="3"/>
        <v>1</v>
      </c>
      <c r="N20" s="123"/>
      <c r="O20" s="123"/>
      <c r="P20" s="123"/>
      <c r="Q20" s="89"/>
      <c r="R20" s="124"/>
      <c r="S20"/>
      <c r="T20"/>
      <c r="U20"/>
      <c r="V20"/>
      <c r="W20"/>
      <c r="X20" s="97"/>
    </row>
    <row r="21" spans="2:24" x14ac:dyDescent="0.35">
      <c r="B21"/>
      <c r="C21" s="42">
        <f>IFERROR(VLOOKUP($C$12&amp;$B21,'định lượng suất 25k'!$B:$J,9,0),0)</f>
        <v>0</v>
      </c>
      <c r="D21" s="54">
        <f t="shared" si="0"/>
        <v>0</v>
      </c>
      <c r="E21" s="54"/>
      <c r="F21" s="75">
        <f t="shared" si="1"/>
        <v>0</v>
      </c>
      <c r="H21"/>
      <c r="I21" s="42">
        <f>IFERROR(VLOOKUP($I$12&amp;$H21,'định lượng suất 25k'!$B:$J,9,0),0)</f>
        <v>0</v>
      </c>
      <c r="J21" s="54">
        <f t="shared" si="2"/>
        <v>0</v>
      </c>
      <c r="K21" s="54"/>
      <c r="L21" s="75">
        <f t="shared" si="3"/>
        <v>0</v>
      </c>
      <c r="N21" s="123"/>
      <c r="O21" s="123"/>
      <c r="P21" s="123"/>
      <c r="Q21" s="89"/>
      <c r="R21" s="124"/>
      <c r="S21"/>
      <c r="T21"/>
      <c r="U21"/>
      <c r="V21"/>
      <c r="W21"/>
      <c r="X21" s="97"/>
    </row>
    <row r="22" spans="2:24" x14ac:dyDescent="0.35">
      <c r="B22"/>
      <c r="C22" s="42">
        <f>IFERROR(VLOOKUP($C$12&amp;$B22,'định lượng suất 25k'!$B:$J,9,0),0)</f>
        <v>0</v>
      </c>
      <c r="D22" s="54">
        <f t="shared" si="0"/>
        <v>0</v>
      </c>
      <c r="E22" s="54"/>
      <c r="F22" s="75">
        <f t="shared" si="1"/>
        <v>0</v>
      </c>
      <c r="H22"/>
      <c r="I22" s="42">
        <f>IFERROR(VLOOKUP($I$12&amp;$H22,'định lượng suất 25k'!$B:$J,9,0),0)</f>
        <v>0</v>
      </c>
      <c r="J22" s="54">
        <f t="shared" si="2"/>
        <v>0</v>
      </c>
      <c r="K22" s="54">
        <v>0</v>
      </c>
      <c r="L22" s="75">
        <f t="shared" si="3"/>
        <v>0</v>
      </c>
      <c r="N22" s="123"/>
      <c r="O22" s="123"/>
      <c r="P22" s="123"/>
      <c r="Q22" s="89"/>
      <c r="R22" s="124"/>
      <c r="S22"/>
      <c r="T22"/>
      <c r="U22"/>
      <c r="V22"/>
      <c r="W22"/>
      <c r="X22" s="97"/>
    </row>
    <row r="23" spans="2:24" x14ac:dyDescent="0.35">
      <c r="B23"/>
      <c r="C23" s="42">
        <f>IFERROR(VLOOKUP($C$12&amp;$B23,'định lượng suất 25k'!$B:$J,9,0),0)</f>
        <v>0</v>
      </c>
      <c r="D23" s="54">
        <f t="shared" si="0"/>
        <v>0</v>
      </c>
      <c r="E23" s="54">
        <v>0</v>
      </c>
      <c r="F23" s="75">
        <f t="shared" si="1"/>
        <v>0</v>
      </c>
      <c r="H23"/>
      <c r="I23" s="42">
        <f>IFERROR(VLOOKUP($I$12&amp;$H23,'định lượng suất 25k'!$B:$J,9,0),0)</f>
        <v>0</v>
      </c>
      <c r="J23" s="54">
        <f t="shared" si="2"/>
        <v>0</v>
      </c>
      <c r="K23" s="54">
        <v>0</v>
      </c>
      <c r="L23" s="75">
        <f t="shared" si="3"/>
        <v>0</v>
      </c>
      <c r="N23" s="123"/>
      <c r="O23" s="123"/>
      <c r="P23" s="123"/>
      <c r="Q23" s="89"/>
      <c r="R23" s="124"/>
      <c r="S23"/>
      <c r="T23"/>
      <c r="U23"/>
      <c r="V23"/>
      <c r="W23"/>
      <c r="X23" s="97"/>
    </row>
    <row r="24" spans="2:24" x14ac:dyDescent="0.35">
      <c r="B24"/>
      <c r="C24" s="42">
        <f>IFERROR(VLOOKUP($C$12&amp;$B24,'định lượng suất 25k'!$B:$J,9,0),0)</f>
        <v>0</v>
      </c>
      <c r="D24" s="54">
        <f t="shared" si="0"/>
        <v>0</v>
      </c>
      <c r="E24" s="54">
        <v>0</v>
      </c>
      <c r="F24" s="75">
        <f t="shared" si="1"/>
        <v>0</v>
      </c>
      <c r="H24"/>
      <c r="I24" s="42">
        <f>IFERROR(VLOOKUP($I$12&amp;$H24,'định lượng suất 25k'!$B:$J,9,0),0)</f>
        <v>0</v>
      </c>
      <c r="J24" s="54">
        <f t="shared" si="2"/>
        <v>0</v>
      </c>
      <c r="K24" s="54">
        <v>0</v>
      </c>
      <c r="L24" s="75">
        <f t="shared" si="3"/>
        <v>0</v>
      </c>
      <c r="N24" s="123"/>
      <c r="O24" s="123"/>
      <c r="P24" s="123"/>
      <c r="Q24" s="89"/>
      <c r="R24" s="124"/>
      <c r="S24"/>
      <c r="T24"/>
      <c r="U24"/>
      <c r="V24"/>
      <c r="W24"/>
      <c r="X24" s="97"/>
    </row>
    <row r="25" spans="2:24" x14ac:dyDescent="0.35">
      <c r="B25"/>
      <c r="C25" s="42">
        <f>IFERROR(VLOOKUP($C$12&amp;$B25,'định lượng suất 25k'!$B:$J,9,0),0)</f>
        <v>0</v>
      </c>
      <c r="D25" s="54">
        <f t="shared" si="0"/>
        <v>0</v>
      </c>
      <c r="E25" s="54"/>
      <c r="F25" s="75">
        <f t="shared" si="1"/>
        <v>0</v>
      </c>
      <c r="H25"/>
      <c r="I25" s="42">
        <f>IFERROR(VLOOKUP($I$12&amp;$H25,'định lượng suất 25k'!$B:$J,9,0),0)</f>
        <v>0</v>
      </c>
      <c r="J25" s="54">
        <f t="shared" si="2"/>
        <v>0</v>
      </c>
      <c r="K25" s="54">
        <v>0</v>
      </c>
      <c r="L25" s="75">
        <f t="shared" si="3"/>
        <v>0</v>
      </c>
      <c r="N25" s="123"/>
      <c r="O25" s="123"/>
      <c r="P25" s="123"/>
      <c r="Q25" s="89"/>
      <c r="R25" s="124"/>
      <c r="S25"/>
      <c r="T25"/>
      <c r="U25"/>
      <c r="V25"/>
      <c r="W25"/>
      <c r="X25" s="97"/>
    </row>
    <row r="26" spans="2:24" x14ac:dyDescent="0.35">
      <c r="B26"/>
      <c r="C26" s="42">
        <f>IFERROR(VLOOKUP($C$12&amp;$B26,'định lượng suất 25k'!$B:$J,9,0),0)</f>
        <v>0</v>
      </c>
      <c r="D26" s="54">
        <f t="shared" si="0"/>
        <v>0</v>
      </c>
      <c r="E26" s="54">
        <v>0</v>
      </c>
      <c r="F26" s="75">
        <f t="shared" si="1"/>
        <v>0</v>
      </c>
      <c r="H26"/>
      <c r="I26" s="42">
        <f>IFERROR(VLOOKUP($I$12&amp;$H26,'định lượng suất 25k'!$B:$J,9,0),0)</f>
        <v>0</v>
      </c>
      <c r="J26" s="54">
        <f t="shared" si="2"/>
        <v>0</v>
      </c>
      <c r="K26" s="54">
        <v>0</v>
      </c>
      <c r="L26" s="75">
        <f t="shared" si="3"/>
        <v>0</v>
      </c>
      <c r="N26" s="123"/>
      <c r="O26" s="123"/>
      <c r="P26" s="123"/>
      <c r="Q26" s="89"/>
      <c r="R26" s="124"/>
      <c r="S26"/>
      <c r="T26"/>
      <c r="U26"/>
      <c r="V26"/>
      <c r="W26"/>
      <c r="X26" s="97"/>
    </row>
    <row r="27" spans="2:24" x14ac:dyDescent="0.35">
      <c r="B27"/>
      <c r="C27" s="42">
        <f>IFERROR(VLOOKUP($C$12&amp;$B27,'định lượng suất 25k'!$B:$J,9,0),0)</f>
        <v>0</v>
      </c>
      <c r="D27" s="54">
        <f t="shared" si="0"/>
        <v>0</v>
      </c>
      <c r="E27" s="54">
        <v>0</v>
      </c>
      <c r="F27" s="75">
        <f t="shared" si="1"/>
        <v>0</v>
      </c>
      <c r="H27"/>
      <c r="I27" s="42">
        <f>IFERROR(VLOOKUP($I$12&amp;$H27,'định lượng suất 25k'!$B:$J,9,0),0)</f>
        <v>0</v>
      </c>
      <c r="J27" s="54">
        <f t="shared" si="2"/>
        <v>0</v>
      </c>
      <c r="K27" s="54">
        <v>0</v>
      </c>
      <c r="L27" s="75">
        <f t="shared" si="3"/>
        <v>0</v>
      </c>
      <c r="N27" s="123"/>
      <c r="O27" s="123"/>
      <c r="P27" s="123"/>
      <c r="Q27" s="89"/>
      <c r="R27" s="124"/>
      <c r="S27"/>
      <c r="T27"/>
      <c r="U27"/>
      <c r="V27"/>
      <c r="W27"/>
      <c r="X27" s="97"/>
    </row>
    <row r="28" spans="2:24" x14ac:dyDescent="0.35">
      <c r="B28"/>
      <c r="C28" s="42">
        <f>IFERROR(VLOOKUP($C$12&amp;$B28,'định lượng suất 25k'!$B:$J,9,0),0)</f>
        <v>0</v>
      </c>
      <c r="D28" s="54">
        <f t="shared" si="0"/>
        <v>0</v>
      </c>
      <c r="E28" s="54">
        <v>0</v>
      </c>
      <c r="F28" s="75">
        <f t="shared" si="1"/>
        <v>0</v>
      </c>
      <c r="H28"/>
      <c r="I28" s="42">
        <f>IFERROR(VLOOKUP($I$12&amp;$H28,'định lượng suất 25k'!$B:$J,9,0),0)</f>
        <v>0</v>
      </c>
      <c r="J28" s="54">
        <f t="shared" si="2"/>
        <v>0</v>
      </c>
      <c r="K28" s="54">
        <v>0</v>
      </c>
      <c r="L28" s="75">
        <f>J28-K28</f>
        <v>0</v>
      </c>
      <c r="N28" s="123"/>
      <c r="O28" s="123"/>
      <c r="P28" s="123"/>
      <c r="Q28" s="89"/>
      <c r="R28" s="124"/>
      <c r="S28"/>
      <c r="T28"/>
      <c r="U28"/>
      <c r="V28"/>
      <c r="W28"/>
      <c r="X28" s="97"/>
    </row>
    <row r="29" spans="2:24" x14ac:dyDescent="0.35">
      <c r="B29"/>
      <c r="C29" s="42">
        <f>IFERROR(VLOOKUP($C$12&amp;$B43,'định lượng suất 25k'!$B:$J,9,0),0)</f>
        <v>0</v>
      </c>
      <c r="D29" s="54">
        <f t="shared" si="0"/>
        <v>0</v>
      </c>
      <c r="E29" s="54">
        <v>0</v>
      </c>
      <c r="F29" s="75">
        <f t="shared" si="1"/>
        <v>0</v>
      </c>
      <c r="H29"/>
      <c r="I29" s="42">
        <f>IFERROR(VLOOKUP($I$12&amp;$H29,'định lượng suất 25k'!$B:$J,9,0),0)</f>
        <v>0</v>
      </c>
      <c r="J29" s="54">
        <f t="shared" si="2"/>
        <v>0</v>
      </c>
      <c r="K29" s="54">
        <v>0</v>
      </c>
      <c r="L29" s="75"/>
      <c r="N29" s="123"/>
      <c r="O29" s="123"/>
      <c r="P29" s="123"/>
      <c r="Q29" s="89"/>
      <c r="R29" s="124"/>
      <c r="S29"/>
      <c r="T29"/>
      <c r="U29"/>
      <c r="V29"/>
      <c r="W29"/>
      <c r="X29" s="97"/>
    </row>
    <row r="30" spans="2:24" ht="15.5" customHeight="1" x14ac:dyDescent="0.35">
      <c r="B30"/>
      <c r="C30" s="42"/>
      <c r="D30" s="41"/>
      <c r="E30" s="41"/>
      <c r="F30" s="75"/>
      <c r="H30"/>
      <c r="I30" s="42"/>
      <c r="J30" s="41"/>
      <c r="K30" s="41"/>
      <c r="L30" s="75"/>
      <c r="N30" s="123"/>
      <c r="O30" s="123"/>
      <c r="P30" s="123"/>
      <c r="Q30" s="89"/>
      <c r="R30" s="124"/>
      <c r="S30"/>
      <c r="T30"/>
      <c r="U30"/>
      <c r="V30"/>
      <c r="W30"/>
      <c r="X30" s="97"/>
    </row>
    <row r="31" spans="2:24" ht="15.5" customHeight="1" x14ac:dyDescent="0.35">
      <c r="B31"/>
      <c r="C31" s="42"/>
      <c r="D31" s="41"/>
      <c r="E31" s="41"/>
      <c r="F31" s="75"/>
      <c r="H31"/>
      <c r="I31" s="42"/>
      <c r="J31" s="41"/>
      <c r="K31" s="41"/>
      <c r="L31" s="75"/>
      <c r="N31" s="123"/>
      <c r="O31" s="123"/>
      <c r="P31" s="123"/>
      <c r="Q31" s="89"/>
      <c r="R31" s="124"/>
      <c r="S31"/>
      <c r="T31"/>
      <c r="U31"/>
      <c r="V31"/>
      <c r="W31"/>
      <c r="X31" s="97"/>
    </row>
    <row r="32" spans="2:24" ht="15.5" customHeight="1" x14ac:dyDescent="0.35">
      <c r="B32"/>
      <c r="H32"/>
      <c r="N32" s="123"/>
      <c r="O32" s="123"/>
      <c r="P32" s="123"/>
      <c r="Q32" s="89"/>
      <c r="R32" s="124"/>
      <c r="S32"/>
      <c r="T32"/>
      <c r="U32"/>
      <c r="V32"/>
      <c r="W32"/>
      <c r="X32" s="97"/>
    </row>
    <row r="33" spans="2:24" ht="20" customHeight="1" x14ac:dyDescent="0.35">
      <c r="B33"/>
      <c r="H33"/>
      <c r="N33" s="123"/>
      <c r="O33" s="123"/>
      <c r="P33" s="123"/>
      <c r="Q33" s="89"/>
      <c r="R33" s="124"/>
      <c r="S33"/>
      <c r="T33"/>
      <c r="U33"/>
      <c r="V33"/>
      <c r="W33"/>
      <c r="X33" s="97"/>
    </row>
    <row r="34" spans="2:24" x14ac:dyDescent="0.35">
      <c r="B34"/>
      <c r="H34"/>
      <c r="N34" s="123"/>
      <c r="O34" s="123"/>
      <c r="P34" s="123"/>
      <c r="Q34" s="89"/>
      <c r="R34" s="124"/>
      <c r="S34"/>
      <c r="T34"/>
      <c r="U34"/>
      <c r="V34"/>
      <c r="W34"/>
      <c r="X34" s="97"/>
    </row>
    <row r="35" spans="2:24" x14ac:dyDescent="0.35">
      <c r="B35"/>
      <c r="H35"/>
      <c r="N35" s="123"/>
      <c r="O35" s="123"/>
      <c r="P35" s="123"/>
      <c r="Q35" s="89"/>
      <c r="R35" s="124"/>
      <c r="S35"/>
      <c r="T35"/>
      <c r="U35"/>
      <c r="V35"/>
      <c r="W35"/>
      <c r="X35" s="97"/>
    </row>
    <row r="36" spans="2:24" x14ac:dyDescent="0.35">
      <c r="B36"/>
      <c r="H36"/>
      <c r="N36" s="123"/>
      <c r="O36" s="123"/>
      <c r="P36" s="123"/>
      <c r="Q36" s="89"/>
      <c r="R36" s="124"/>
      <c r="S36"/>
      <c r="T36"/>
      <c r="U36"/>
      <c r="V36"/>
      <c r="W36"/>
      <c r="X36" s="97"/>
    </row>
    <row r="37" spans="2:24" x14ac:dyDescent="0.35">
      <c r="B37"/>
      <c r="H37"/>
      <c r="N37" s="123"/>
      <c r="O37" s="123"/>
      <c r="P37" s="123"/>
      <c r="Q37" s="89"/>
      <c r="R37" s="124"/>
      <c r="S37"/>
      <c r="T37"/>
      <c r="U37"/>
      <c r="V37"/>
      <c r="W37"/>
      <c r="X37" s="97"/>
    </row>
    <row r="38" spans="2:24" x14ac:dyDescent="0.35">
      <c r="B38"/>
      <c r="H38"/>
      <c r="N38" s="123"/>
      <c r="O38" s="123"/>
      <c r="P38" s="123"/>
      <c r="Q38" s="89"/>
      <c r="R38" s="124"/>
      <c r="S38"/>
      <c r="T38"/>
      <c r="U38"/>
      <c r="V38"/>
      <c r="W38"/>
      <c r="X38" s="97"/>
    </row>
    <row r="39" spans="2:24" x14ac:dyDescent="0.35">
      <c r="B39"/>
      <c r="H39"/>
      <c r="N39" s="123"/>
      <c r="O39" s="123"/>
      <c r="P39" s="123"/>
      <c r="Q39" s="89"/>
      <c r="R39" s="124"/>
      <c r="S39"/>
      <c r="T39"/>
      <c r="U39"/>
      <c r="V39"/>
      <c r="W39"/>
      <c r="X39" s="97"/>
    </row>
    <row r="40" spans="2:24" x14ac:dyDescent="0.35">
      <c r="B40"/>
      <c r="H40"/>
      <c r="N40" s="123"/>
      <c r="O40" s="123"/>
      <c r="P40" s="123"/>
      <c r="Q40" s="89"/>
      <c r="R40" s="124"/>
      <c r="S40"/>
      <c r="T40"/>
      <c r="U40"/>
      <c r="V40"/>
      <c r="W40"/>
      <c r="X40" s="97"/>
    </row>
    <row r="41" spans="2:24" ht="15.5" customHeight="1" x14ac:dyDescent="0.35">
      <c r="B41"/>
      <c r="H41"/>
      <c r="N41" s="123"/>
      <c r="O41" s="123"/>
      <c r="P41" s="123"/>
      <c r="Q41" s="89"/>
      <c r="R41" s="124"/>
      <c r="S41"/>
      <c r="T41"/>
      <c r="U41"/>
      <c r="V41"/>
      <c r="W41"/>
      <c r="X41" s="97"/>
    </row>
    <row r="42" spans="2:24" x14ac:dyDescent="0.35">
      <c r="B42"/>
      <c r="H42"/>
      <c r="N42" s="123"/>
      <c r="O42" s="123"/>
      <c r="P42" s="123"/>
      <c r="Q42" s="89"/>
      <c r="R42" s="124"/>
      <c r="S42"/>
      <c r="T42"/>
      <c r="U42"/>
      <c r="V42"/>
      <c r="W42"/>
      <c r="X42" s="97"/>
    </row>
    <row r="43" spans="2:24" x14ac:dyDescent="0.35">
      <c r="B43"/>
      <c r="H43"/>
      <c r="N43" s="123"/>
      <c r="O43" s="123"/>
      <c r="P43" s="123"/>
      <c r="Q43" s="89"/>
      <c r="R43" s="124"/>
      <c r="S43"/>
      <c r="T43"/>
      <c r="U43"/>
      <c r="V43"/>
      <c r="W43"/>
      <c r="X43" s="97"/>
    </row>
    <row r="44" spans="2:24" x14ac:dyDescent="0.35">
      <c r="B44"/>
      <c r="H44"/>
      <c r="N44" s="123"/>
      <c r="O44" s="123"/>
      <c r="P44" s="123"/>
      <c r="Q44" s="89"/>
      <c r="R44" s="124"/>
      <c r="S44"/>
      <c r="T44"/>
      <c r="U44"/>
      <c r="V44"/>
      <c r="W44"/>
      <c r="X44" s="97"/>
    </row>
    <row r="45" spans="2:24" x14ac:dyDescent="0.35">
      <c r="B45"/>
      <c r="H45"/>
      <c r="N45" s="123"/>
      <c r="O45" s="123"/>
      <c r="P45" s="123"/>
      <c r="Q45" s="89"/>
      <c r="R45" s="123"/>
      <c r="S45"/>
      <c r="T45"/>
      <c r="U45"/>
      <c r="V45"/>
      <c r="W45"/>
      <c r="X45" s="97"/>
    </row>
    <row r="46" spans="2:24" x14ac:dyDescent="0.35">
      <c r="B46"/>
      <c r="H46"/>
      <c r="N46" s="123"/>
      <c r="O46" s="123"/>
      <c r="P46" s="123"/>
      <c r="Q46" s="89"/>
      <c r="R46" s="123"/>
      <c r="S46"/>
      <c r="T46"/>
      <c r="U46"/>
      <c r="V46"/>
      <c r="W46"/>
      <c r="X46" s="97"/>
    </row>
    <row r="47" spans="2:24" x14ac:dyDescent="0.35">
      <c r="B47"/>
      <c r="H47"/>
      <c r="N47" s="123"/>
      <c r="O47" s="123"/>
      <c r="P47" s="123"/>
      <c r="Q47" s="89"/>
      <c r="R47" s="123"/>
      <c r="S47"/>
      <c r="T47"/>
      <c r="U47"/>
      <c r="V47"/>
      <c r="W47"/>
      <c r="X47" s="97"/>
    </row>
    <row r="48" spans="2:24" x14ac:dyDescent="0.35">
      <c r="B48"/>
      <c r="H48"/>
      <c r="N48" s="123"/>
      <c r="O48" s="123"/>
      <c r="P48" s="123"/>
      <c r="Q48" s="89"/>
      <c r="R48" s="123"/>
      <c r="S48"/>
      <c r="T48"/>
      <c r="U48"/>
      <c r="V48"/>
      <c r="W48"/>
      <c r="X48" s="97"/>
    </row>
    <row r="49" spans="2:24" x14ac:dyDescent="0.35">
      <c r="B49"/>
      <c r="H49"/>
      <c r="N49" s="123"/>
      <c r="O49" s="123"/>
      <c r="P49" s="123"/>
      <c r="Q49" s="89"/>
      <c r="R49" s="123"/>
      <c r="S49"/>
      <c r="T49"/>
      <c r="U49"/>
      <c r="V49"/>
      <c r="W49"/>
      <c r="X49" s="97"/>
    </row>
    <row r="50" spans="2:24" x14ac:dyDescent="0.35">
      <c r="B50"/>
      <c r="H50"/>
      <c r="N50" s="123"/>
      <c r="O50" s="123"/>
      <c r="P50" s="123"/>
      <c r="Q50" s="89"/>
      <c r="R50" s="123"/>
      <c r="S50"/>
      <c r="T50"/>
      <c r="U50"/>
      <c r="V50"/>
      <c r="W50"/>
      <c r="X50" s="97"/>
    </row>
    <row r="51" spans="2:24" x14ac:dyDescent="0.35">
      <c r="B51"/>
      <c r="H51"/>
      <c r="N51" s="123"/>
      <c r="O51" s="123"/>
      <c r="P51" s="123"/>
      <c r="Q51" s="89"/>
      <c r="R51" s="123"/>
      <c r="S51"/>
      <c r="T51"/>
      <c r="U51"/>
      <c r="V51"/>
      <c r="W51"/>
      <c r="X51" s="97"/>
    </row>
    <row r="52" spans="2:24" x14ac:dyDescent="0.35">
      <c r="B52"/>
      <c r="H52"/>
      <c r="N52" s="123"/>
      <c r="O52" s="123"/>
      <c r="P52" s="123"/>
      <c r="Q52" s="89"/>
      <c r="R52" s="123"/>
      <c r="S52"/>
      <c r="T52"/>
      <c r="U52"/>
      <c r="V52"/>
      <c r="W52"/>
      <c r="X52" s="91"/>
    </row>
    <row r="53" spans="2:24" x14ac:dyDescent="0.35">
      <c r="B53"/>
      <c r="H53"/>
      <c r="N53" s="123"/>
      <c r="O53" s="123"/>
      <c r="P53" s="123"/>
      <c r="Q53" s="89"/>
      <c r="R53" s="123"/>
      <c r="S53"/>
      <c r="T53"/>
      <c r="U53"/>
      <c r="V53"/>
      <c r="W53"/>
      <c r="X53" s="91"/>
    </row>
    <row r="54" spans="2:24" x14ac:dyDescent="0.35">
      <c r="B54"/>
      <c r="H54"/>
      <c r="N54" s="123"/>
      <c r="O54" s="123"/>
      <c r="P54" s="123"/>
      <c r="Q54" s="89"/>
      <c r="R54" s="124"/>
      <c r="S54"/>
      <c r="T54"/>
      <c r="U54"/>
      <c r="V54"/>
      <c r="W54"/>
      <c r="X54" s="97" t="s">
        <v>317</v>
      </c>
    </row>
    <row r="55" spans="2:24" x14ac:dyDescent="0.35">
      <c r="B55"/>
      <c r="H55"/>
      <c r="N55" s="123"/>
      <c r="O55" s="123"/>
      <c r="P55" s="123"/>
      <c r="Q55" s="89"/>
      <c r="R55" s="123"/>
      <c r="S55"/>
      <c r="T55"/>
      <c r="U55"/>
      <c r="V55"/>
      <c r="W55"/>
      <c r="X55" s="97" t="s">
        <v>469</v>
      </c>
    </row>
    <row r="56" spans="2:24" x14ac:dyDescent="0.35">
      <c r="B56"/>
      <c r="H56"/>
      <c r="N56" s="123"/>
      <c r="O56" s="123"/>
      <c r="P56" s="123"/>
      <c r="Q56" s="89"/>
      <c r="R56" s="125"/>
      <c r="S56"/>
      <c r="T56"/>
      <c r="U56"/>
      <c r="V56"/>
      <c r="W56"/>
      <c r="X56" s="97" t="s">
        <v>317</v>
      </c>
    </row>
    <row r="57" spans="2:24" x14ac:dyDescent="0.35">
      <c r="B57"/>
      <c r="H57"/>
      <c r="N57" s="123"/>
      <c r="O57" s="123"/>
      <c r="P57" s="123"/>
      <c r="Q57" s="89"/>
      <c r="R57" s="125"/>
      <c r="S57"/>
      <c r="T57"/>
      <c r="U57"/>
      <c r="V57"/>
      <c r="W57"/>
      <c r="X57" s="97" t="s">
        <v>317</v>
      </c>
    </row>
    <row r="58" spans="2:24" x14ac:dyDescent="0.35">
      <c r="B58"/>
      <c r="H58"/>
      <c r="N58" s="123"/>
      <c r="O58" s="123"/>
      <c r="P58" s="123"/>
      <c r="Q58" s="89"/>
      <c r="R58" s="125"/>
      <c r="S58"/>
      <c r="T58"/>
      <c r="U58"/>
      <c r="V58"/>
      <c r="W58"/>
      <c r="X58" s="97"/>
    </row>
    <row r="59" spans="2:24" x14ac:dyDescent="0.35">
      <c r="B59"/>
      <c r="H59"/>
      <c r="N59" s="123"/>
      <c r="O59" s="123"/>
      <c r="P59" s="123"/>
      <c r="Q59" s="89"/>
      <c r="R59" s="125"/>
      <c r="S59"/>
      <c r="T59"/>
      <c r="U59"/>
      <c r="V59"/>
      <c r="W59"/>
      <c r="X59" s="97" t="s">
        <v>317</v>
      </c>
    </row>
    <row r="60" spans="2:24" x14ac:dyDescent="0.35">
      <c r="B60"/>
      <c r="H60"/>
      <c r="N60" s="123"/>
      <c r="O60" s="123"/>
      <c r="P60" s="123"/>
      <c r="Q60" s="89"/>
      <c r="R60" s="125"/>
      <c r="S60"/>
      <c r="T60"/>
      <c r="U60"/>
      <c r="V60"/>
      <c r="W60"/>
      <c r="X60" s="97"/>
    </row>
    <row r="61" spans="2:24" x14ac:dyDescent="0.35">
      <c r="B61"/>
      <c r="H61"/>
      <c r="N61" s="123"/>
      <c r="O61" s="123"/>
      <c r="P61" s="123"/>
      <c r="Q61" s="89"/>
      <c r="R61" s="125"/>
      <c r="S61"/>
      <c r="T61"/>
      <c r="U61"/>
      <c r="V61"/>
      <c r="W61"/>
      <c r="X61" s="97" t="s">
        <v>317</v>
      </c>
    </row>
    <row r="62" spans="2:24" ht="16.5" customHeight="1" x14ac:dyDescent="0.35">
      <c r="B62"/>
      <c r="H62"/>
      <c r="N62" s="123"/>
      <c r="O62" s="123"/>
      <c r="P62" s="123"/>
      <c r="Q62" s="89"/>
      <c r="R62" s="125"/>
      <c r="S62"/>
      <c r="T62"/>
      <c r="U62"/>
      <c r="V62"/>
      <c r="W62"/>
      <c r="X62" s="39" t="s">
        <v>317</v>
      </c>
    </row>
    <row r="63" spans="2:24" x14ac:dyDescent="0.35">
      <c r="B63"/>
      <c r="H63"/>
      <c r="N63" s="123"/>
      <c r="O63" s="123"/>
      <c r="P63" s="123"/>
      <c r="Q63" s="89"/>
      <c r="R63" s="125"/>
      <c r="S63"/>
      <c r="T63"/>
      <c r="U63"/>
      <c r="V63"/>
      <c r="W63"/>
      <c r="X63" s="39" t="s">
        <v>317</v>
      </c>
    </row>
    <row r="64" spans="2:24" x14ac:dyDescent="0.35">
      <c r="B64"/>
      <c r="H64"/>
      <c r="N64" s="123"/>
      <c r="O64" s="123"/>
      <c r="P64" s="123"/>
      <c r="Q64" s="89"/>
      <c r="R64" s="125"/>
      <c r="S64"/>
      <c r="T64"/>
      <c r="U64"/>
      <c r="V64"/>
      <c r="W64"/>
      <c r="X64" s="39" t="s">
        <v>317</v>
      </c>
    </row>
    <row r="65" spans="2:24" x14ac:dyDescent="0.35">
      <c r="B65"/>
      <c r="H65"/>
      <c r="N65" s="123"/>
      <c r="O65" s="123"/>
      <c r="P65" s="123"/>
      <c r="Q65" s="89"/>
      <c r="R65" s="125"/>
      <c r="S65"/>
      <c r="T65"/>
      <c r="U65"/>
      <c r="V65"/>
      <c r="W65"/>
      <c r="X65" s="97" t="s">
        <v>317</v>
      </c>
    </row>
    <row r="66" spans="2:24" x14ac:dyDescent="0.35">
      <c r="B66"/>
      <c r="H66"/>
      <c r="J66" s="88"/>
      <c r="N66" s="123"/>
      <c r="O66" s="123"/>
      <c r="P66" s="123"/>
      <c r="Q66" s="89"/>
      <c r="R66" s="125"/>
      <c r="S66"/>
      <c r="T66"/>
      <c r="U66"/>
      <c r="V66"/>
      <c r="W66"/>
      <c r="X66" s="97"/>
    </row>
    <row r="67" spans="2:24" x14ac:dyDescent="0.35">
      <c r="B67"/>
      <c r="H67"/>
      <c r="N67" s="123"/>
      <c r="O67" s="123"/>
      <c r="P67" s="123"/>
      <c r="Q67" s="89"/>
      <c r="R67" s="125"/>
      <c r="S67"/>
      <c r="T67"/>
      <c r="U67"/>
      <c r="V67"/>
      <c r="W67"/>
      <c r="X67" s="97" t="s">
        <v>457</v>
      </c>
    </row>
    <row r="68" spans="2:24" x14ac:dyDescent="0.35">
      <c r="B68"/>
      <c r="H68"/>
      <c r="N68" s="123"/>
      <c r="O68" s="123"/>
      <c r="P68" s="123"/>
      <c r="Q68" s="89"/>
      <c r="R68" s="125"/>
      <c r="S68"/>
      <c r="T68"/>
      <c r="U68"/>
      <c r="V68"/>
      <c r="W68"/>
      <c r="X68" s="97" t="s">
        <v>457</v>
      </c>
    </row>
    <row r="69" spans="2:24" x14ac:dyDescent="0.35">
      <c r="B69"/>
      <c r="H69"/>
      <c r="N69" s="123"/>
      <c r="O69" s="123"/>
      <c r="P69" s="123"/>
      <c r="Q69" s="89"/>
      <c r="R69" s="125"/>
      <c r="S69"/>
      <c r="T69"/>
      <c r="U69"/>
      <c r="V69"/>
      <c r="W69"/>
      <c r="X69" s="97"/>
    </row>
    <row r="70" spans="2:24" ht="15.5" customHeight="1" x14ac:dyDescent="0.45">
      <c r="B70"/>
      <c r="H70"/>
      <c r="N70" s="123"/>
      <c r="O70" s="123"/>
      <c r="P70" s="123"/>
      <c r="Q70" s="89"/>
      <c r="R70" s="126"/>
      <c r="S70"/>
      <c r="T70"/>
      <c r="U70"/>
      <c r="V70"/>
      <c r="W70"/>
      <c r="X70" s="97" t="s">
        <v>471</v>
      </c>
    </row>
    <row r="71" spans="2:24" ht="17.5" customHeight="1" x14ac:dyDescent="0.45">
      <c r="B71"/>
      <c r="H71"/>
      <c r="N71" s="123"/>
      <c r="O71" s="123"/>
      <c r="P71" s="123"/>
      <c r="Q71" s="89"/>
      <c r="R71" s="126"/>
      <c r="S71"/>
      <c r="T71"/>
      <c r="U71"/>
      <c r="V71"/>
      <c r="W71"/>
      <c r="X71" s="97" t="s">
        <v>471</v>
      </c>
    </row>
    <row r="72" spans="2:24" ht="17.5" customHeight="1" x14ac:dyDescent="0.35">
      <c r="B72"/>
      <c r="H72"/>
      <c r="N72" s="123"/>
      <c r="O72" s="123"/>
      <c r="P72" s="123"/>
      <c r="Q72" s="89"/>
      <c r="R72" s="127"/>
      <c r="S72"/>
      <c r="T72"/>
      <c r="U72"/>
      <c r="V72"/>
      <c r="W72"/>
      <c r="X72" s="97" t="s">
        <v>317</v>
      </c>
    </row>
    <row r="73" spans="2:24" x14ac:dyDescent="0.35">
      <c r="B73"/>
      <c r="H73"/>
      <c r="N73" s="123"/>
      <c r="O73" s="123"/>
      <c r="P73" s="123"/>
      <c r="Q73" s="89"/>
      <c r="R73" s="127"/>
      <c r="S73"/>
      <c r="T73"/>
      <c r="U73"/>
      <c r="V73"/>
      <c r="W73"/>
      <c r="X73" s="97"/>
    </row>
    <row r="74" spans="2:24" ht="17.5" customHeight="1" x14ac:dyDescent="0.35">
      <c r="B74"/>
      <c r="H74"/>
      <c r="N74" s="123"/>
      <c r="O74" s="123"/>
      <c r="P74" s="123"/>
      <c r="Q74" s="89"/>
      <c r="R74" s="127"/>
      <c r="S74"/>
      <c r="T74"/>
      <c r="U74"/>
      <c r="V74"/>
      <c r="W74"/>
      <c r="X74" s="97" t="s">
        <v>317</v>
      </c>
    </row>
    <row r="75" spans="2:24" ht="17.5" customHeight="1" x14ac:dyDescent="0.35">
      <c r="B75"/>
      <c r="H75"/>
      <c r="N75" s="123"/>
      <c r="O75" s="123"/>
      <c r="P75" s="123"/>
      <c r="Q75" s="89"/>
      <c r="R75" s="127"/>
      <c r="S75"/>
      <c r="T75"/>
      <c r="U75"/>
      <c r="V75"/>
      <c r="W75"/>
      <c r="X75" s="97" t="s">
        <v>317</v>
      </c>
    </row>
    <row r="76" spans="2:24" ht="18.5" customHeight="1" x14ac:dyDescent="0.35">
      <c r="B76"/>
      <c r="H76"/>
      <c r="N76" s="123"/>
      <c r="O76" s="123"/>
      <c r="P76" s="123"/>
      <c r="Q76" s="89"/>
      <c r="R76" s="124"/>
      <c r="S76"/>
      <c r="T76"/>
      <c r="U76"/>
      <c r="V76"/>
      <c r="W76"/>
      <c r="X76" s="97"/>
    </row>
    <row r="77" spans="2:24" ht="17.5" customHeight="1" x14ac:dyDescent="0.35">
      <c r="B77"/>
      <c r="H77"/>
      <c r="N77" s="123"/>
      <c r="O77" s="123"/>
      <c r="P77" s="123"/>
      <c r="Q77" s="89"/>
      <c r="R77" s="127"/>
      <c r="S77"/>
      <c r="T77"/>
      <c r="U77"/>
      <c r="V77"/>
      <c r="W77"/>
      <c r="X77" s="39" t="s">
        <v>317</v>
      </c>
    </row>
    <row r="78" spans="2:24" ht="17.5" customHeight="1" x14ac:dyDescent="0.35">
      <c r="B78"/>
      <c r="H78"/>
      <c r="N78" s="123"/>
      <c r="O78" s="123"/>
      <c r="P78" s="123"/>
      <c r="Q78" s="89"/>
      <c r="R78" s="124"/>
      <c r="S78"/>
      <c r="T78"/>
      <c r="U78"/>
      <c r="V78"/>
      <c r="W78"/>
      <c r="X78" s="90"/>
    </row>
    <row r="79" spans="2:24" ht="17.5" customHeight="1" x14ac:dyDescent="0.35">
      <c r="B79"/>
      <c r="H79"/>
      <c r="N79" s="123"/>
      <c r="O79" s="123"/>
      <c r="P79" s="123"/>
      <c r="Q79" s="89"/>
      <c r="R79" s="125"/>
      <c r="S79"/>
      <c r="T79"/>
      <c r="U79"/>
      <c r="V79"/>
      <c r="W79"/>
      <c r="X79" s="90" t="s">
        <v>317</v>
      </c>
    </row>
    <row r="80" spans="2:24" ht="20" customHeight="1" x14ac:dyDescent="0.35">
      <c r="B80"/>
      <c r="H80"/>
      <c r="N80" s="123"/>
      <c r="O80" s="123"/>
      <c r="P80" s="123"/>
      <c r="Q80" s="89"/>
      <c r="R80" s="125"/>
      <c r="S80"/>
      <c r="T80"/>
      <c r="U80"/>
      <c r="V80"/>
      <c r="W80"/>
      <c r="X80" s="98"/>
    </row>
    <row r="81" spans="2:24" ht="17.5" customHeight="1" x14ac:dyDescent="0.35">
      <c r="B81"/>
      <c r="H81"/>
      <c r="N81" s="123"/>
      <c r="O81" s="123"/>
      <c r="P81" s="123"/>
      <c r="Q81" s="89"/>
      <c r="R81" s="125"/>
      <c r="S81"/>
      <c r="T81"/>
      <c r="U81"/>
      <c r="V81"/>
      <c r="W81"/>
      <c r="X81" s="90" t="s">
        <v>317</v>
      </c>
    </row>
    <row r="82" spans="2:24" ht="17.5" customHeight="1" x14ac:dyDescent="0.35">
      <c r="B82"/>
      <c r="H82"/>
      <c r="N82" s="123"/>
      <c r="O82" s="123"/>
      <c r="P82" s="123"/>
      <c r="Q82" s="89"/>
      <c r="R82" s="125"/>
      <c r="S82"/>
      <c r="T82"/>
      <c r="U82"/>
      <c r="V82"/>
      <c r="W82"/>
      <c r="X82" s="90"/>
    </row>
    <row r="83" spans="2:24" ht="17.5" customHeight="1" x14ac:dyDescent="0.35">
      <c r="B83"/>
      <c r="H83"/>
      <c r="N83" s="123"/>
      <c r="O83" s="123"/>
      <c r="P83" s="123"/>
      <c r="Q83" s="89"/>
      <c r="R83" s="125"/>
      <c r="S83"/>
      <c r="T83"/>
      <c r="U83"/>
      <c r="V83"/>
      <c r="W83"/>
      <c r="X83" s="90" t="s">
        <v>472</v>
      </c>
    </row>
    <row r="84" spans="2:24" ht="17.5" customHeight="1" x14ac:dyDescent="0.35">
      <c r="B84"/>
      <c r="H84"/>
      <c r="N84" s="123"/>
      <c r="O84" s="123"/>
      <c r="P84" s="123"/>
      <c r="Q84" s="89"/>
      <c r="R84" s="125"/>
      <c r="S84"/>
      <c r="T84"/>
      <c r="U84"/>
      <c r="V84"/>
      <c r="W84"/>
      <c r="X84" s="90"/>
    </row>
    <row r="85" spans="2:24" x14ac:dyDescent="0.35">
      <c r="B85"/>
      <c r="H85"/>
      <c r="N85" s="123"/>
      <c r="O85" s="123"/>
      <c r="P85" s="123"/>
      <c r="Q85" s="89"/>
      <c r="R85" s="125"/>
      <c r="S85"/>
      <c r="T85"/>
      <c r="U85"/>
      <c r="V85"/>
      <c r="W85"/>
      <c r="X85" s="88" t="s">
        <v>317</v>
      </c>
    </row>
    <row r="86" spans="2:24" x14ac:dyDescent="0.35">
      <c r="B86"/>
      <c r="H86"/>
      <c r="N86" s="123"/>
      <c r="O86" s="123"/>
      <c r="P86" s="123"/>
      <c r="Q86" s="89"/>
      <c r="R86" s="125"/>
      <c r="S86"/>
      <c r="T86"/>
      <c r="U86"/>
      <c r="V86"/>
      <c r="W86"/>
    </row>
    <row r="87" spans="2:24" x14ac:dyDescent="0.35">
      <c r="B87"/>
      <c r="H87"/>
      <c r="N87" s="123"/>
      <c r="O87" s="123"/>
      <c r="P87" s="123"/>
      <c r="Q87" s="89"/>
      <c r="R87" s="125"/>
      <c r="S87"/>
      <c r="T87"/>
      <c r="U87"/>
      <c r="V87"/>
      <c r="W87"/>
    </row>
    <row r="88" spans="2:24" ht="21" customHeight="1" x14ac:dyDescent="0.35">
      <c r="B88"/>
      <c r="H88"/>
      <c r="N88" s="123"/>
      <c r="O88" s="123"/>
      <c r="P88" s="123"/>
      <c r="Q88" s="89"/>
      <c r="R88" s="125"/>
      <c r="S88"/>
      <c r="T88"/>
      <c r="U88"/>
      <c r="V88"/>
      <c r="W88"/>
      <c r="X88" s="90"/>
    </row>
    <row r="89" spans="2:24" ht="21" customHeight="1" x14ac:dyDescent="0.35">
      <c r="B89"/>
      <c r="H89"/>
      <c r="N89" s="123"/>
      <c r="O89" s="123"/>
      <c r="P89" s="123"/>
      <c r="Q89" s="89"/>
      <c r="R89" s="125"/>
      <c r="S89"/>
      <c r="T89"/>
      <c r="U89"/>
      <c r="V89"/>
      <c r="W89"/>
    </row>
    <row r="90" spans="2:24" x14ac:dyDescent="0.35">
      <c r="B90"/>
      <c r="H90"/>
      <c r="N90" s="123"/>
      <c r="O90" s="123"/>
      <c r="P90" s="123"/>
      <c r="Q90" s="89"/>
      <c r="R90" s="125"/>
      <c r="S90"/>
      <c r="T90"/>
      <c r="U90"/>
      <c r="V90"/>
      <c r="W90"/>
      <c r="X90" s="81"/>
    </row>
    <row r="91" spans="2:24" x14ac:dyDescent="0.35">
      <c r="B91"/>
      <c r="H91"/>
      <c r="N91" s="123"/>
      <c r="O91" s="123"/>
      <c r="P91" s="123"/>
      <c r="Q91" s="89"/>
      <c r="R91" s="125"/>
      <c r="S91"/>
      <c r="T91"/>
      <c r="U91"/>
      <c r="V91"/>
      <c r="W91"/>
    </row>
    <row r="92" spans="2:24" x14ac:dyDescent="0.35">
      <c r="B92"/>
      <c r="H92"/>
      <c r="N92" s="123"/>
      <c r="O92" s="123"/>
      <c r="P92" s="123"/>
      <c r="Q92" s="89"/>
      <c r="R92" s="125"/>
      <c r="S92"/>
      <c r="T92"/>
      <c r="U92"/>
      <c r="V92"/>
      <c r="W92"/>
      <c r="X92" s="80"/>
    </row>
    <row r="93" spans="2:24" x14ac:dyDescent="0.35">
      <c r="B93"/>
      <c r="H93"/>
      <c r="N93" s="123"/>
      <c r="O93" s="123"/>
      <c r="P93" s="123"/>
      <c r="Q93" s="89"/>
      <c r="R93" s="125"/>
      <c r="S93"/>
      <c r="T93"/>
      <c r="U93"/>
      <c r="V93"/>
      <c r="W93"/>
      <c r="X93" s="80"/>
    </row>
    <row r="94" spans="2:24" x14ac:dyDescent="0.35">
      <c r="B94"/>
      <c r="H94"/>
      <c r="N94" s="123"/>
      <c r="O94" s="123"/>
      <c r="P94" s="123"/>
      <c r="Q94" s="89"/>
      <c r="R94" s="125"/>
      <c r="S94"/>
      <c r="T94"/>
      <c r="U94"/>
      <c r="V94"/>
      <c r="W94"/>
      <c r="X94" s="80"/>
    </row>
    <row r="95" spans="2:24" x14ac:dyDescent="0.35">
      <c r="B95"/>
      <c r="H95"/>
      <c r="N95" s="123"/>
      <c r="O95" s="123"/>
      <c r="P95" s="123"/>
      <c r="Q95" s="89"/>
      <c r="R95" s="125"/>
      <c r="S95"/>
      <c r="T95"/>
      <c r="U95"/>
      <c r="V95"/>
      <c r="W95"/>
      <c r="X95" s="80"/>
    </row>
    <row r="96" spans="2:24" ht="18.5" x14ac:dyDescent="0.45">
      <c r="B96"/>
      <c r="H96"/>
      <c r="N96" s="123"/>
      <c r="O96" s="123"/>
      <c r="P96" s="123"/>
      <c r="Q96" s="89"/>
      <c r="R96" s="128"/>
      <c r="S96"/>
      <c r="T96"/>
      <c r="U96"/>
      <c r="V96"/>
      <c r="W96"/>
      <c r="X96" s="80"/>
    </row>
    <row r="97" spans="2:24" ht="22" customHeight="1" x14ac:dyDescent="0.45">
      <c r="B97"/>
      <c r="H97"/>
      <c r="N97" s="123"/>
      <c r="O97" s="123"/>
      <c r="P97" s="123"/>
      <c r="Q97" s="89"/>
      <c r="R97" s="128"/>
      <c r="S97"/>
      <c r="T97"/>
      <c r="U97"/>
      <c r="V97"/>
      <c r="W97"/>
    </row>
    <row r="98" spans="2:24" ht="22" customHeight="1" x14ac:dyDescent="0.45">
      <c r="B98"/>
      <c r="H98"/>
      <c r="N98" s="123"/>
      <c r="O98" s="123"/>
      <c r="P98" s="123"/>
      <c r="Q98" s="89"/>
      <c r="R98" s="128"/>
      <c r="S98"/>
      <c r="T98"/>
      <c r="U98"/>
      <c r="V98"/>
      <c r="W98"/>
      <c r="X98" s="80"/>
    </row>
    <row r="99" spans="2:24" ht="22" customHeight="1" x14ac:dyDescent="0.45">
      <c r="B99"/>
      <c r="H99"/>
      <c r="N99" s="123"/>
      <c r="O99" s="123"/>
      <c r="P99" s="123"/>
      <c r="Q99" s="89"/>
      <c r="R99" s="128"/>
      <c r="S99"/>
      <c r="T99"/>
      <c r="U99"/>
      <c r="V99"/>
      <c r="W99"/>
      <c r="X99" s="80"/>
    </row>
    <row r="100" spans="2:24" ht="22" customHeight="1" x14ac:dyDescent="0.45">
      <c r="B100"/>
      <c r="H100"/>
      <c r="N100" s="123"/>
      <c r="O100" s="123"/>
      <c r="P100" s="123"/>
      <c r="Q100" s="89"/>
      <c r="R100" s="128"/>
      <c r="S100"/>
      <c r="T100"/>
      <c r="U100"/>
      <c r="V100"/>
      <c r="W100"/>
      <c r="X100" s="80"/>
    </row>
    <row r="101" spans="2:24" ht="22" customHeight="1" x14ac:dyDescent="0.45">
      <c r="B101"/>
      <c r="H101"/>
      <c r="N101" s="123"/>
      <c r="O101" s="123"/>
      <c r="P101" s="123"/>
      <c r="Q101" s="89"/>
      <c r="R101" s="128"/>
      <c r="S101"/>
      <c r="T101"/>
      <c r="U101"/>
      <c r="V101"/>
      <c r="W101"/>
    </row>
    <row r="102" spans="2:24" ht="22" customHeight="1" x14ac:dyDescent="0.45">
      <c r="B102"/>
      <c r="H102"/>
      <c r="N102" s="123"/>
      <c r="O102" s="123"/>
      <c r="P102" s="123"/>
      <c r="Q102" s="89"/>
      <c r="R102" s="128"/>
      <c r="S102"/>
      <c r="T102"/>
      <c r="U102"/>
      <c r="V102"/>
      <c r="W102"/>
      <c r="X102" s="80"/>
    </row>
    <row r="103" spans="2:24" ht="22" customHeight="1" x14ac:dyDescent="0.35">
      <c r="B103"/>
      <c r="H103"/>
      <c r="N103" s="123"/>
      <c r="O103" s="123"/>
      <c r="P103" s="123"/>
      <c r="Q103" s="89"/>
      <c r="R103" s="123"/>
      <c r="S103"/>
      <c r="X103" s="80"/>
    </row>
    <row r="104" spans="2:24" ht="22" customHeight="1" x14ac:dyDescent="0.35">
      <c r="B104"/>
      <c r="H104"/>
      <c r="N104" s="123"/>
      <c r="O104" s="123"/>
      <c r="P104" s="123"/>
      <c r="Q104" s="89"/>
      <c r="R104" s="125"/>
      <c r="S104"/>
      <c r="X104" s="80"/>
    </row>
    <row r="105" spans="2:24" ht="22" customHeight="1" x14ac:dyDescent="0.35">
      <c r="B105"/>
      <c r="H105"/>
      <c r="N105" s="123"/>
      <c r="O105" s="123"/>
      <c r="P105" s="123"/>
      <c r="Q105" s="89"/>
      <c r="R105" s="125"/>
      <c r="S105"/>
      <c r="X105" s="80"/>
    </row>
    <row r="106" spans="2:24" ht="22" customHeight="1" x14ac:dyDescent="0.35">
      <c r="B106"/>
      <c r="H106"/>
      <c r="N106" s="123"/>
      <c r="O106" s="123"/>
      <c r="P106" s="123"/>
      <c r="Q106" s="89"/>
      <c r="R106" s="125"/>
      <c r="S106"/>
      <c r="U106" s="93"/>
      <c r="X106" s="80"/>
    </row>
    <row r="107" spans="2:24" ht="22" customHeight="1" x14ac:dyDescent="0.35">
      <c r="B107"/>
      <c r="H107"/>
      <c r="N107" s="123"/>
      <c r="O107" s="123"/>
      <c r="P107" s="123"/>
      <c r="Q107" s="89"/>
      <c r="R107" s="125"/>
      <c r="S107" s="97"/>
      <c r="U107" s="93"/>
      <c r="X107" s="80"/>
    </row>
    <row r="108" spans="2:24" ht="22" customHeight="1" x14ac:dyDescent="0.35">
      <c r="B108"/>
      <c r="H108"/>
      <c r="N108" s="123"/>
      <c r="O108" s="123"/>
      <c r="P108" s="123"/>
      <c r="Q108" s="89"/>
      <c r="R108" s="125"/>
      <c r="S108" s="99"/>
      <c r="T108" s="90"/>
      <c r="U108" s="93"/>
      <c r="X108" s="80"/>
    </row>
    <row r="109" spans="2:24" ht="22" customHeight="1" x14ac:dyDescent="0.35">
      <c r="B109"/>
      <c r="H109"/>
      <c r="N109" s="123"/>
      <c r="O109" s="123"/>
      <c r="P109" s="123"/>
      <c r="Q109" s="89"/>
      <c r="R109" s="125"/>
      <c r="S109" s="99"/>
      <c r="T109" s="90"/>
      <c r="U109" s="93"/>
      <c r="X109" s="80"/>
    </row>
    <row r="110" spans="2:24" ht="22" customHeight="1" x14ac:dyDescent="0.35">
      <c r="B110"/>
      <c r="H110"/>
      <c r="N110" s="123"/>
      <c r="O110" s="123"/>
      <c r="P110" s="123"/>
      <c r="Q110" s="89"/>
      <c r="R110" s="125"/>
      <c r="S110" s="99"/>
      <c r="T110" s="90"/>
      <c r="U110" s="93"/>
      <c r="X110" s="80"/>
    </row>
    <row r="111" spans="2:24" x14ac:dyDescent="0.35">
      <c r="B111"/>
      <c r="H111"/>
      <c r="N111" s="123"/>
      <c r="O111" s="123"/>
      <c r="P111" s="123"/>
      <c r="Q111" s="89"/>
      <c r="R111" s="125"/>
      <c r="S111" s="99"/>
      <c r="T111" s="90"/>
      <c r="U111" s="93"/>
      <c r="X111" s="80"/>
    </row>
    <row r="112" spans="2:24" x14ac:dyDescent="0.35">
      <c r="B112"/>
      <c r="H112"/>
      <c r="N112" s="123"/>
      <c r="O112" s="123"/>
      <c r="P112" s="123"/>
      <c r="Q112" s="89"/>
      <c r="R112" s="125"/>
      <c r="S112" s="99"/>
      <c r="T112" s="90"/>
      <c r="U112" s="93"/>
      <c r="X112" s="80"/>
    </row>
    <row r="113" spans="2:24" x14ac:dyDescent="0.35">
      <c r="B113"/>
      <c r="H113"/>
      <c r="N113" s="123"/>
      <c r="O113" s="123"/>
      <c r="P113" s="123"/>
      <c r="Q113" s="89"/>
      <c r="R113" s="125"/>
      <c r="S113" s="99"/>
      <c r="T113" s="90"/>
      <c r="U113" s="93"/>
      <c r="X113" s="80"/>
    </row>
    <row r="114" spans="2:24" x14ac:dyDescent="0.35">
      <c r="B114"/>
      <c r="H114"/>
      <c r="N114" s="123"/>
      <c r="O114" s="123"/>
      <c r="P114" s="123"/>
      <c r="Q114" s="89"/>
      <c r="R114" s="125"/>
      <c r="S114" s="99"/>
      <c r="T114" s="90"/>
      <c r="U114" s="93"/>
      <c r="X114" s="80"/>
    </row>
    <row r="115" spans="2:24" x14ac:dyDescent="0.35">
      <c r="B115"/>
      <c r="H115"/>
      <c r="N115" s="123"/>
      <c r="O115" s="123"/>
      <c r="P115" s="123"/>
      <c r="Q115" s="89"/>
      <c r="R115" s="125"/>
      <c r="S115" s="99"/>
      <c r="T115" s="90"/>
      <c r="U115" s="93"/>
      <c r="X115" s="80"/>
    </row>
    <row r="116" spans="2:24" x14ac:dyDescent="0.35">
      <c r="B116"/>
      <c r="H116"/>
      <c r="N116" s="123"/>
      <c r="O116" s="123"/>
      <c r="P116" s="123"/>
      <c r="Q116" s="89"/>
      <c r="R116" s="124"/>
      <c r="S116" s="99"/>
      <c r="T116" s="90"/>
      <c r="U116" s="93"/>
      <c r="X116" s="80"/>
    </row>
    <row r="117" spans="2:24" x14ac:dyDescent="0.35">
      <c r="B117"/>
      <c r="H117"/>
      <c r="N117" s="123"/>
      <c r="O117" s="123"/>
      <c r="P117" s="123"/>
      <c r="Q117" s="89"/>
      <c r="R117" s="124"/>
      <c r="S117" s="99"/>
      <c r="T117" s="90"/>
      <c r="U117" s="93"/>
      <c r="X117" s="80"/>
    </row>
    <row r="118" spans="2:24" x14ac:dyDescent="0.35">
      <c r="B118"/>
      <c r="H118"/>
      <c r="N118" s="123"/>
      <c r="O118" s="123"/>
      <c r="P118" s="123"/>
      <c r="Q118" s="89"/>
      <c r="R118" s="124"/>
      <c r="S118" s="99"/>
      <c r="T118" s="90"/>
      <c r="U118" s="93"/>
      <c r="X118" s="80"/>
    </row>
    <row r="119" spans="2:24" x14ac:dyDescent="0.35">
      <c r="B119"/>
      <c r="H119"/>
      <c r="N119" s="123"/>
      <c r="O119" s="123"/>
      <c r="P119" s="123"/>
      <c r="Q119" s="89"/>
      <c r="R119" s="124"/>
      <c r="S119" s="99"/>
      <c r="T119" s="90"/>
      <c r="U119" s="93"/>
      <c r="X119" s="80"/>
    </row>
    <row r="120" spans="2:24" x14ac:dyDescent="0.35">
      <c r="B120"/>
      <c r="H120"/>
      <c r="N120" s="123"/>
      <c r="O120" s="123"/>
      <c r="P120" s="123"/>
      <c r="Q120" s="89"/>
      <c r="R120" s="124"/>
      <c r="S120"/>
      <c r="U120" s="93"/>
      <c r="X120" s="80"/>
    </row>
    <row r="121" spans="2:24" x14ac:dyDescent="0.35">
      <c r="B121"/>
      <c r="H121"/>
      <c r="N121" s="123"/>
      <c r="O121" s="123"/>
      <c r="P121" s="123"/>
      <c r="Q121" s="89"/>
      <c r="R121" s="124"/>
      <c r="S121"/>
      <c r="X121" s="80"/>
    </row>
    <row r="122" spans="2:24" x14ac:dyDescent="0.35">
      <c r="B122"/>
      <c r="H122"/>
      <c r="N122" s="123"/>
      <c r="O122" s="123"/>
      <c r="P122" s="123"/>
      <c r="Q122" s="89"/>
      <c r="R122" s="124"/>
      <c r="S122"/>
      <c r="X122" s="80"/>
    </row>
    <row r="123" spans="2:24" x14ac:dyDescent="0.35">
      <c r="B123"/>
      <c r="H123"/>
      <c r="N123" s="123"/>
      <c r="O123" s="123"/>
      <c r="P123" s="123"/>
      <c r="Q123" s="89"/>
      <c r="R123" s="123"/>
      <c r="S123"/>
      <c r="X123" s="80"/>
    </row>
    <row r="124" spans="2:24" x14ac:dyDescent="0.35">
      <c r="B124"/>
      <c r="H124"/>
      <c r="N124" s="123"/>
      <c r="O124" s="123"/>
      <c r="P124" s="123"/>
      <c r="Q124" s="89"/>
      <c r="R124" s="124"/>
      <c r="S124"/>
      <c r="X124" s="80"/>
    </row>
    <row r="125" spans="2:24" x14ac:dyDescent="0.35">
      <c r="B125"/>
      <c r="H125"/>
      <c r="N125" s="123"/>
      <c r="O125" s="123"/>
      <c r="P125" s="123"/>
      <c r="Q125" s="89"/>
      <c r="R125" s="125"/>
      <c r="S125"/>
      <c r="X125" s="80"/>
    </row>
    <row r="126" spans="2:24" x14ac:dyDescent="0.35">
      <c r="B126"/>
      <c r="H126"/>
      <c r="N126" s="123"/>
      <c r="O126" s="123"/>
      <c r="P126" s="123"/>
      <c r="Q126" s="89"/>
      <c r="R126" s="125"/>
      <c r="S126"/>
      <c r="X126" s="80"/>
    </row>
    <row r="127" spans="2:24" x14ac:dyDescent="0.35">
      <c r="B127"/>
      <c r="H127"/>
      <c r="N127" s="123"/>
      <c r="O127" s="123"/>
      <c r="P127" s="123"/>
      <c r="Q127" s="89"/>
      <c r="R127" s="125"/>
      <c r="S127"/>
    </row>
    <row r="128" spans="2:24" x14ac:dyDescent="0.35">
      <c r="B128"/>
      <c r="H128"/>
      <c r="N128" s="123"/>
      <c r="O128" s="123"/>
      <c r="P128" s="123"/>
      <c r="Q128" s="89"/>
      <c r="R128" s="125"/>
      <c r="S128"/>
    </row>
    <row r="129" spans="2:19" x14ac:dyDescent="0.35">
      <c r="B129"/>
      <c r="H129"/>
      <c r="N129" s="123"/>
      <c r="O129" s="123"/>
      <c r="P129" s="123"/>
      <c r="Q129" s="89"/>
      <c r="R129" s="125"/>
      <c r="S129"/>
    </row>
    <row r="130" spans="2:19" x14ac:dyDescent="0.35">
      <c r="B130"/>
      <c r="H130"/>
      <c r="N130" s="123"/>
      <c r="O130" s="123"/>
      <c r="P130" s="123"/>
      <c r="Q130" s="89"/>
      <c r="R130" s="125"/>
      <c r="S130"/>
    </row>
    <row r="131" spans="2:19" x14ac:dyDescent="0.35">
      <c r="B131"/>
      <c r="H131"/>
      <c r="N131" s="123"/>
      <c r="O131" s="123"/>
      <c r="P131" s="123"/>
      <c r="Q131" s="89"/>
      <c r="R131" s="125"/>
      <c r="S131"/>
    </row>
    <row r="132" spans="2:19" x14ac:dyDescent="0.35">
      <c r="B132"/>
      <c r="H132"/>
      <c r="N132" s="123"/>
      <c r="O132" s="123"/>
      <c r="P132" s="123"/>
      <c r="Q132" s="89"/>
      <c r="R132" s="125"/>
      <c r="S132"/>
    </row>
    <row r="133" spans="2:19" x14ac:dyDescent="0.35">
      <c r="B133"/>
      <c r="H133"/>
      <c r="N133" s="123"/>
      <c r="O133" s="123"/>
      <c r="P133" s="123"/>
      <c r="Q133" s="89"/>
      <c r="R133" s="125"/>
      <c r="S133"/>
    </row>
    <row r="134" spans="2:19" x14ac:dyDescent="0.35">
      <c r="B134"/>
      <c r="H134"/>
      <c r="N134" s="123"/>
      <c r="O134" s="123"/>
      <c r="P134" s="123"/>
      <c r="Q134" s="89"/>
      <c r="R134" s="125"/>
      <c r="S134"/>
    </row>
    <row r="135" spans="2:19" x14ac:dyDescent="0.35">
      <c r="B135"/>
      <c r="H135"/>
      <c r="N135" s="123"/>
      <c r="O135" s="123"/>
      <c r="P135" s="123"/>
      <c r="Q135" s="89"/>
      <c r="R135" s="125"/>
      <c r="S135"/>
    </row>
    <row r="136" spans="2:19" x14ac:dyDescent="0.35">
      <c r="B136"/>
      <c r="H136"/>
      <c r="N136" s="123"/>
      <c r="O136" s="123"/>
      <c r="P136" s="123"/>
      <c r="Q136" s="89"/>
      <c r="R136" s="125"/>
      <c r="S136"/>
    </row>
    <row r="137" spans="2:19" x14ac:dyDescent="0.35">
      <c r="B137"/>
      <c r="H137"/>
      <c r="N137" s="123"/>
      <c r="O137" s="123"/>
      <c r="P137" s="123"/>
      <c r="Q137" s="89"/>
      <c r="R137" s="125"/>
      <c r="S137"/>
    </row>
    <row r="138" spans="2:19" x14ac:dyDescent="0.35">
      <c r="B138"/>
      <c r="H138"/>
      <c r="N138" s="123"/>
      <c r="O138" s="123"/>
      <c r="P138" s="123"/>
      <c r="Q138" s="89"/>
      <c r="R138" s="125"/>
      <c r="S138"/>
    </row>
    <row r="139" spans="2:19" x14ac:dyDescent="0.35">
      <c r="B139"/>
      <c r="H139"/>
      <c r="N139" s="123"/>
      <c r="O139" s="123"/>
      <c r="P139" s="123"/>
      <c r="Q139" s="89"/>
      <c r="R139" s="125"/>
      <c r="S139"/>
    </row>
    <row r="140" spans="2:19" x14ac:dyDescent="0.35">
      <c r="B140"/>
      <c r="H140"/>
      <c r="N140" s="123"/>
      <c r="O140" s="123"/>
      <c r="P140" s="123"/>
      <c r="Q140" s="89"/>
      <c r="R140" s="123"/>
      <c r="S140"/>
    </row>
    <row r="141" spans="2:19" x14ac:dyDescent="0.35">
      <c r="B141"/>
      <c r="H141"/>
      <c r="N141" s="123"/>
      <c r="O141" s="123"/>
      <c r="P141" s="123"/>
      <c r="Q141" s="89"/>
      <c r="R141" s="125"/>
      <c r="S141"/>
    </row>
    <row r="142" spans="2:19" x14ac:dyDescent="0.35">
      <c r="B142"/>
      <c r="H142"/>
      <c r="N142" s="123"/>
      <c r="O142" s="123"/>
      <c r="P142" s="123"/>
      <c r="Q142" s="89"/>
      <c r="R142" s="125"/>
      <c r="S142"/>
    </row>
    <row r="143" spans="2:19" x14ac:dyDescent="0.35">
      <c r="H143"/>
      <c r="N143" s="123"/>
      <c r="O143" s="123"/>
      <c r="P143" s="123"/>
      <c r="Q143" s="89"/>
      <c r="R143" s="125"/>
      <c r="S143"/>
    </row>
    <row r="144" spans="2:19" x14ac:dyDescent="0.35">
      <c r="H144"/>
      <c r="N144" s="123"/>
      <c r="O144" s="123"/>
      <c r="P144" s="123"/>
      <c r="Q144" s="89"/>
      <c r="R144" s="125"/>
      <c r="S144"/>
    </row>
    <row r="145" spans="8:19" x14ac:dyDescent="0.35">
      <c r="H145"/>
      <c r="N145" s="123"/>
      <c r="O145" s="123"/>
      <c r="P145" s="123"/>
      <c r="Q145" s="89"/>
      <c r="R145" s="125"/>
      <c r="S145"/>
    </row>
    <row r="146" spans="8:19" x14ac:dyDescent="0.35">
      <c r="H146"/>
      <c r="N146" s="123"/>
      <c r="O146" s="123"/>
      <c r="P146" s="123"/>
      <c r="Q146" s="89"/>
      <c r="R146" s="125"/>
      <c r="S146"/>
    </row>
    <row r="147" spans="8:19" x14ac:dyDescent="0.35">
      <c r="H147"/>
      <c r="N147" s="123"/>
      <c r="O147" s="123"/>
      <c r="P147" s="123"/>
      <c r="Q147" s="89"/>
      <c r="R147" s="125"/>
      <c r="S147"/>
    </row>
    <row r="148" spans="8:19" x14ac:dyDescent="0.35">
      <c r="H148"/>
      <c r="N148" s="123"/>
      <c r="O148" s="123"/>
      <c r="P148" s="123"/>
      <c r="Q148" s="89"/>
      <c r="R148" s="125"/>
      <c r="S148"/>
    </row>
    <row r="149" spans="8:19" x14ac:dyDescent="0.35">
      <c r="H149"/>
      <c r="N149" s="123"/>
      <c r="O149" s="123"/>
      <c r="P149" s="123"/>
      <c r="Q149" s="89"/>
      <c r="R149" s="125"/>
      <c r="S149"/>
    </row>
    <row r="150" spans="8:19" x14ac:dyDescent="0.35">
      <c r="H150"/>
      <c r="N150" s="123"/>
      <c r="O150" s="123"/>
      <c r="P150" s="123"/>
      <c r="Q150" s="89"/>
      <c r="R150" s="125"/>
    </row>
    <row r="151" spans="8:19" x14ac:dyDescent="0.35">
      <c r="H151"/>
      <c r="N151" s="123"/>
      <c r="O151" s="123"/>
      <c r="P151" s="123"/>
      <c r="Q151" s="89"/>
      <c r="R151" s="125"/>
    </row>
    <row r="152" spans="8:19" x14ac:dyDescent="0.35">
      <c r="H152"/>
      <c r="N152" s="123"/>
      <c r="O152" s="123"/>
      <c r="P152" s="123"/>
      <c r="Q152" s="89"/>
      <c r="R152" s="125"/>
    </row>
    <row r="153" spans="8:19" x14ac:dyDescent="0.35">
      <c r="H153"/>
      <c r="N153" s="123"/>
      <c r="O153" s="123"/>
      <c r="P153" s="123"/>
      <c r="Q153" s="89"/>
      <c r="R153" s="125"/>
    </row>
    <row r="154" spans="8:19" x14ac:dyDescent="0.35">
      <c r="H154"/>
      <c r="N154" s="123"/>
      <c r="O154" s="123"/>
      <c r="P154" s="123"/>
      <c r="Q154" s="89"/>
      <c r="R154" s="125"/>
    </row>
    <row r="155" spans="8:19" x14ac:dyDescent="0.35">
      <c r="H155"/>
      <c r="N155" s="123"/>
      <c r="O155" s="123"/>
      <c r="P155" s="123"/>
      <c r="Q155" s="89"/>
      <c r="R155" s="124"/>
    </row>
    <row r="156" spans="8:19" x14ac:dyDescent="0.35">
      <c r="H156"/>
      <c r="N156" s="123"/>
      <c r="O156" s="123"/>
      <c r="P156" s="123"/>
      <c r="Q156" s="89"/>
      <c r="R156" s="124"/>
    </row>
    <row r="157" spans="8:19" x14ac:dyDescent="0.35">
      <c r="H157"/>
      <c r="N157" s="123"/>
      <c r="O157" s="123"/>
      <c r="P157" s="123"/>
      <c r="Q157" s="89"/>
      <c r="R157" s="124"/>
    </row>
    <row r="158" spans="8:19" x14ac:dyDescent="0.35">
      <c r="H158"/>
      <c r="N158" s="123"/>
      <c r="O158" s="123"/>
      <c r="P158" s="123"/>
      <c r="Q158" s="89"/>
      <c r="R158" s="124"/>
    </row>
    <row r="159" spans="8:19" x14ac:dyDescent="0.35">
      <c r="H159"/>
      <c r="N159" s="123"/>
      <c r="O159" s="123"/>
      <c r="P159" s="123"/>
      <c r="Q159" s="89"/>
      <c r="R159" s="124"/>
    </row>
    <row r="160" spans="8:19" x14ac:dyDescent="0.35">
      <c r="N160" s="123"/>
      <c r="O160" s="123"/>
      <c r="P160" s="123"/>
      <c r="Q160" s="89"/>
      <c r="R160" s="123"/>
    </row>
    <row r="161" spans="14:18" x14ac:dyDescent="0.35">
      <c r="N161" s="123"/>
      <c r="O161" s="123"/>
      <c r="P161" s="123"/>
      <c r="Q161" s="89"/>
      <c r="R161" s="123"/>
    </row>
    <row r="162" spans="14:18" x14ac:dyDescent="0.35">
      <c r="N162" s="123"/>
      <c r="O162" s="123"/>
      <c r="P162" s="123"/>
      <c r="Q162" s="89"/>
      <c r="R162" s="123"/>
    </row>
    <row r="163" spans="14:18" x14ac:dyDescent="0.35">
      <c r="N163" s="123"/>
      <c r="O163" s="123"/>
      <c r="P163" s="123"/>
      <c r="Q163" s="89"/>
      <c r="R163" s="123"/>
    </row>
    <row r="164" spans="14:18" x14ac:dyDescent="0.35">
      <c r="N164" s="123"/>
      <c r="O164" s="123"/>
      <c r="P164" s="123"/>
      <c r="Q164" s="89"/>
      <c r="R164" s="123"/>
    </row>
  </sheetData>
  <autoFilter ref="N14:R132" xr:uid="{00000000-0009-0000-0000-000000000000}"/>
  <mergeCells count="6">
    <mergeCell ref="T11:X12"/>
    <mergeCell ref="B11:C11"/>
    <mergeCell ref="H11:I11"/>
    <mergeCell ref="B2:C2"/>
    <mergeCell ref="H2:I2"/>
    <mergeCell ref="N11:R12"/>
  </mergeCells>
  <phoneticPr fontId="24" type="noConversion"/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AK79"/>
  <sheetViews>
    <sheetView topLeftCell="A19" zoomScaleNormal="100" workbookViewId="0">
      <selection activeCell="R77" sqref="R77"/>
    </sheetView>
  </sheetViews>
  <sheetFormatPr defaultRowHeight="14.5" x14ac:dyDescent="0.35"/>
  <cols>
    <col min="1" max="1" width="1.81640625" customWidth="1"/>
    <col min="2" max="2" width="15.453125" style="3" bestFit="1" customWidth="1"/>
    <col min="3" max="3" width="19.81640625" style="3" bestFit="1" customWidth="1"/>
    <col min="4" max="4" width="16" style="2" customWidth="1"/>
    <col min="5" max="5" width="14.453125" customWidth="1"/>
    <col min="6" max="6" width="15.453125" customWidth="1"/>
    <col min="7" max="7" width="11.26953125" bestFit="1" customWidth="1"/>
    <col min="8" max="8" width="14.7265625" customWidth="1"/>
    <col min="9" max="9" width="13.7265625" bestFit="1" customWidth="1"/>
    <col min="10" max="10" width="12.54296875" bestFit="1" customWidth="1"/>
    <col min="11" max="11" width="11.54296875" customWidth="1"/>
    <col min="12" max="12" width="13.54296875" bestFit="1" customWidth="1"/>
    <col min="13" max="13" width="19.81640625" bestFit="1" customWidth="1"/>
    <col min="14" max="14" width="10.26953125" customWidth="1"/>
    <col min="15" max="15" width="8.26953125" customWidth="1"/>
    <col min="16" max="16" width="12.7265625" bestFit="1" customWidth="1"/>
    <col min="20" max="20" width="10.453125" bestFit="1" customWidth="1"/>
  </cols>
  <sheetData>
    <row r="2" spans="2:37" x14ac:dyDescent="0.35">
      <c r="B2" s="62"/>
      <c r="C2" s="120" t="s">
        <v>265</v>
      </c>
      <c r="D2" s="120"/>
      <c r="E2" s="120"/>
      <c r="F2" s="120"/>
      <c r="G2" s="120"/>
      <c r="H2" s="120"/>
      <c r="I2" s="63"/>
      <c r="J2" s="121" t="s">
        <v>266</v>
      </c>
      <c r="K2" s="121"/>
      <c r="L2" s="121"/>
      <c r="M2" s="121"/>
      <c r="N2" s="121"/>
      <c r="O2" s="122"/>
    </row>
    <row r="3" spans="2:37" x14ac:dyDescent="0.35">
      <c r="B3" s="64"/>
      <c r="C3" s="17" t="s">
        <v>259</v>
      </c>
      <c r="D3" s="17" t="s">
        <v>260</v>
      </c>
      <c r="E3" s="17" t="s">
        <v>261</v>
      </c>
      <c r="F3" s="17" t="s">
        <v>262</v>
      </c>
      <c r="G3" s="17" t="s">
        <v>263</v>
      </c>
      <c r="H3" s="17" t="s">
        <v>264</v>
      </c>
      <c r="J3" s="17" t="s">
        <v>259</v>
      </c>
      <c r="K3" s="17" t="s">
        <v>260</v>
      </c>
      <c r="L3" s="17" t="s">
        <v>261</v>
      </c>
      <c r="M3" s="17" t="s">
        <v>262</v>
      </c>
      <c r="N3" s="17" t="s">
        <v>263</v>
      </c>
      <c r="O3" s="65" t="s">
        <v>264</v>
      </c>
    </row>
    <row r="4" spans="2:37" x14ac:dyDescent="0.35">
      <c r="B4" s="72" t="s">
        <v>190</v>
      </c>
      <c r="C4" s="83"/>
      <c r="D4" s="18"/>
      <c r="I4" s="70" t="s">
        <v>190</v>
      </c>
      <c r="O4" s="66"/>
    </row>
    <row r="5" spans="2:37" x14ac:dyDescent="0.35">
      <c r="B5" s="72" t="s">
        <v>19</v>
      </c>
      <c r="C5" s="83"/>
      <c r="D5" s="18"/>
      <c r="I5" s="70" t="s">
        <v>19</v>
      </c>
      <c r="O5" s="66"/>
    </row>
    <row r="6" spans="2:37" x14ac:dyDescent="0.35">
      <c r="B6" s="72" t="s">
        <v>47</v>
      </c>
      <c r="C6" s="83"/>
      <c r="D6" s="18"/>
      <c r="I6" s="70" t="s">
        <v>47</v>
      </c>
      <c r="O6" s="66"/>
    </row>
    <row r="7" spans="2:37" x14ac:dyDescent="0.35">
      <c r="B7" s="72" t="s">
        <v>191</v>
      </c>
      <c r="C7" s="83"/>
      <c r="D7" s="18"/>
      <c r="I7" s="70" t="s">
        <v>191</v>
      </c>
      <c r="O7" s="66"/>
    </row>
    <row r="8" spans="2:37" x14ac:dyDescent="0.35">
      <c r="B8" s="72" t="s">
        <v>12</v>
      </c>
      <c r="C8" s="83"/>
      <c r="D8" s="18"/>
      <c r="I8" s="70" t="s">
        <v>12</v>
      </c>
      <c r="O8" s="66"/>
    </row>
    <row r="9" spans="2:37" x14ac:dyDescent="0.35">
      <c r="B9" s="73" t="s">
        <v>52</v>
      </c>
      <c r="C9" s="84"/>
      <c r="D9" s="67"/>
      <c r="E9" s="68"/>
      <c r="F9" s="68"/>
      <c r="G9" s="68"/>
      <c r="H9" s="68"/>
      <c r="I9" s="71" t="s">
        <v>52</v>
      </c>
      <c r="J9" s="68"/>
      <c r="K9" s="68"/>
      <c r="L9" s="68"/>
      <c r="M9" s="68"/>
      <c r="N9" s="68"/>
      <c r="O9" s="69"/>
    </row>
    <row r="10" spans="2:37" x14ac:dyDescent="0.35">
      <c r="H10">
        <v>26793500</v>
      </c>
    </row>
    <row r="11" spans="2:37" x14ac:dyDescent="0.35">
      <c r="C11" s="3">
        <v>20</v>
      </c>
    </row>
    <row r="13" spans="2:37" x14ac:dyDescent="0.35">
      <c r="B13" s="31"/>
      <c r="C13" s="34" t="s">
        <v>193</v>
      </c>
      <c r="D13" s="34" t="s">
        <v>192</v>
      </c>
      <c r="L13" s="31"/>
      <c r="M13" s="34" t="s">
        <v>194</v>
      </c>
      <c r="N13" s="34" t="s">
        <v>192</v>
      </c>
      <c r="AK13">
        <f>SUMIF(D13:AG13,"&gt;0")</f>
        <v>0</v>
      </c>
    </row>
    <row r="14" spans="2:37" x14ac:dyDescent="0.35">
      <c r="B14" s="31" t="s">
        <v>190</v>
      </c>
      <c r="C14" s="32" t="str">
        <f>C24</f>
        <v>Bún thịt nướng</v>
      </c>
      <c r="D14" s="33">
        <f>D25</f>
        <v>8210</v>
      </c>
      <c r="L14" s="31" t="s">
        <v>190</v>
      </c>
      <c r="M14" s="32" t="str">
        <f>M24</f>
        <v>Thịt kho sả ruốc</v>
      </c>
      <c r="N14" s="33">
        <f>N25</f>
        <v>4705.1282051282051</v>
      </c>
    </row>
    <row r="15" spans="2:37" x14ac:dyDescent="0.35">
      <c r="B15" s="31" t="s">
        <v>52</v>
      </c>
      <c r="C15" s="32" t="str">
        <f>M71</f>
        <v>Trái cây</v>
      </c>
      <c r="D15" s="33">
        <f>N72</f>
        <v>1620.9457972363798</v>
      </c>
      <c r="L15" s="31" t="s">
        <v>19</v>
      </c>
      <c r="M15" s="32" t="str">
        <f>M34</f>
        <v>Đậu khuôn thịt bằm</v>
      </c>
      <c r="N15" s="33">
        <f>N35</f>
        <v>2840.6779661016949</v>
      </c>
    </row>
    <row r="16" spans="2:37" ht="16" x14ac:dyDescent="0.5">
      <c r="B16" s="31"/>
      <c r="C16" s="31"/>
      <c r="D16" s="35">
        <f>SUM(D14:D15)</f>
        <v>9830.9457972363798</v>
      </c>
      <c r="L16" s="31" t="s">
        <v>47</v>
      </c>
      <c r="M16" s="32" t="str">
        <f>M44</f>
        <v>Rau muống xào tỏi</v>
      </c>
      <c r="N16" s="33">
        <f>N45</f>
        <v>576</v>
      </c>
    </row>
    <row r="17" spans="2:20" x14ac:dyDescent="0.35">
      <c r="L17" s="31" t="s">
        <v>191</v>
      </c>
      <c r="M17" s="32" t="str">
        <f>M51</f>
        <v>Dưa món</v>
      </c>
      <c r="N17" s="33">
        <f>N52</f>
        <v>540</v>
      </c>
    </row>
    <row r="18" spans="2:20" x14ac:dyDescent="0.35">
      <c r="L18" s="31" t="s">
        <v>12</v>
      </c>
      <c r="M18" s="32" t="str">
        <f>M61</f>
        <v>Bầu nấu tôm</v>
      </c>
      <c r="N18" s="33">
        <f>N62</f>
        <v>783.33333333333326</v>
      </c>
    </row>
    <row r="19" spans="2:20" x14ac:dyDescent="0.35">
      <c r="L19" s="31" t="s">
        <v>52</v>
      </c>
      <c r="M19" s="32" t="str">
        <f>M71</f>
        <v>Trái cây</v>
      </c>
      <c r="N19" s="33">
        <f>N72</f>
        <v>1620.9457972363798</v>
      </c>
    </row>
    <row r="20" spans="2:20" ht="16" x14ac:dyDescent="0.5">
      <c r="L20" s="31"/>
      <c r="M20" s="31"/>
      <c r="N20" s="35">
        <f>SUM(N14:N19)</f>
        <v>11066.085301799614</v>
      </c>
    </row>
    <row r="21" spans="2:20" x14ac:dyDescent="0.35">
      <c r="N21" s="30"/>
    </row>
    <row r="22" spans="2:20" x14ac:dyDescent="0.35">
      <c r="B22"/>
      <c r="C22"/>
      <c r="N22" s="2"/>
    </row>
    <row r="23" spans="2:20" x14ac:dyDescent="0.35">
      <c r="B23" s="4" t="s">
        <v>0</v>
      </c>
      <c r="C23" s="5" t="s">
        <v>285</v>
      </c>
      <c r="F23" s="7" t="s">
        <v>144</v>
      </c>
      <c r="G23" s="9">
        <v>300</v>
      </c>
      <c r="L23" s="4" t="s">
        <v>0</v>
      </c>
      <c r="M23" s="15" t="s">
        <v>18</v>
      </c>
      <c r="N23" s="2"/>
      <c r="P23" s="7" t="s">
        <v>144</v>
      </c>
      <c r="Q23" s="9">
        <v>52</v>
      </c>
    </row>
    <row r="24" spans="2:20" ht="15.5" x14ac:dyDescent="0.35">
      <c r="B24" s="4" t="s">
        <v>1</v>
      </c>
      <c r="C24" s="5" t="s">
        <v>300</v>
      </c>
      <c r="F24" s="8" t="s">
        <v>145</v>
      </c>
      <c r="G24" s="87"/>
      <c r="L24" s="4" t="s">
        <v>1</v>
      </c>
      <c r="M24" s="5" t="s">
        <v>442</v>
      </c>
      <c r="N24" s="2"/>
      <c r="P24" s="8" t="s">
        <v>145</v>
      </c>
      <c r="Q24" s="10"/>
    </row>
    <row r="25" spans="2:20" x14ac:dyDescent="0.35">
      <c r="D25" s="1">
        <f>SUM(D27:D1048576)</f>
        <v>8210</v>
      </c>
      <c r="J25" s="1">
        <f>SUM(J27:J1048576)</f>
        <v>2283000</v>
      </c>
      <c r="L25" s="3"/>
      <c r="M25" s="3"/>
      <c r="N25" s="1">
        <f>SUM(N27:N31)</f>
        <v>4705.1282051282051</v>
      </c>
      <c r="T25" s="1">
        <f>SUM(T27:T31)</f>
        <v>244666.66666666666</v>
      </c>
    </row>
    <row r="26" spans="2:20" s="11" customFormat="1" ht="58" x14ac:dyDescent="0.35">
      <c r="B26" s="12" t="s">
        <v>137</v>
      </c>
      <c r="C26" s="13" t="s">
        <v>139</v>
      </c>
      <c r="D26" s="13" t="s">
        <v>141</v>
      </c>
      <c r="E26" s="14"/>
      <c r="F26" s="13" t="s">
        <v>142</v>
      </c>
      <c r="G26" s="13" t="s">
        <v>146</v>
      </c>
      <c r="H26" s="13" t="s">
        <v>143</v>
      </c>
      <c r="I26" s="13" t="s">
        <v>2</v>
      </c>
      <c r="J26" s="13" t="s">
        <v>147</v>
      </c>
      <c r="L26" s="12" t="s">
        <v>137</v>
      </c>
      <c r="M26" s="13" t="s">
        <v>139</v>
      </c>
      <c r="N26" s="13" t="s">
        <v>141</v>
      </c>
      <c r="O26" s="14"/>
      <c r="P26" s="13" t="s">
        <v>142</v>
      </c>
      <c r="Q26" s="13" t="s">
        <v>146</v>
      </c>
      <c r="R26" s="13" t="s">
        <v>143</v>
      </c>
      <c r="S26" s="13" t="s">
        <v>2</v>
      </c>
      <c r="T26" s="13" t="s">
        <v>147</v>
      </c>
    </row>
    <row r="27" spans="2:20" x14ac:dyDescent="0.35">
      <c r="B27" s="6" t="s">
        <v>14</v>
      </c>
      <c r="C27" s="3">
        <f>IFERROR(VLOOKUP($C$24&amp;$B27,'định lượng suất 25k'!$B:$J,9,0),0)</f>
        <v>0</v>
      </c>
      <c r="D27" s="2">
        <f>IFERROR(VLOOKUP($C$24&amp;$B27,'định lượng suất 25k'!$B:$K,10,0),0)</f>
        <v>0</v>
      </c>
      <c r="F27" s="2">
        <f t="shared" ref="F27:F39" si="0">C27*SUM($G$23:$G$24)</f>
        <v>0</v>
      </c>
      <c r="G27" s="2">
        <v>0</v>
      </c>
      <c r="H27" s="2">
        <f>F27-G27</f>
        <v>0</v>
      </c>
      <c r="I27" s="2">
        <f>IFERROR(VLOOKUP($C$24&amp;$B27,'định lượng suất 25k'!$B:$H,7,0),0)</f>
        <v>0</v>
      </c>
      <c r="J27" s="2">
        <f>H27*I27</f>
        <v>0</v>
      </c>
      <c r="L27" s="6" t="s">
        <v>85</v>
      </c>
      <c r="M27" s="3">
        <f>IFERROR(VLOOKUP($M$24&amp;$L27,'định lượng suất 25k'!$B:$J,9,0),0)</f>
        <v>2.9487179487179487E-2</v>
      </c>
      <c r="N27" s="2">
        <f>IFERROR(VLOOKUP($M$24&amp;$L27,'định lượng suất 25k'!$B:$K,10,0),0)</f>
        <v>3243.5897435897432</v>
      </c>
      <c r="P27" s="2">
        <f>M27*SUM($Q$23:$Q$24)</f>
        <v>1.5333333333333332</v>
      </c>
      <c r="Q27" s="2"/>
      <c r="R27" s="2">
        <f>P27-Q27</f>
        <v>1.5333333333333332</v>
      </c>
      <c r="S27" s="2">
        <f>IFERROR(VLOOKUP($M$24&amp;$L27,'định lượng suất 25k'!$B:$H,7,0),0)</f>
        <v>110000</v>
      </c>
      <c r="T27" s="2">
        <f>R27*S27</f>
        <v>168666.66666666666</v>
      </c>
    </row>
    <row r="28" spans="2:20" x14ac:dyDescent="0.35">
      <c r="B28" s="6" t="s">
        <v>24</v>
      </c>
      <c r="C28" s="3">
        <f>IFERROR(VLOOKUP($C$24&amp;$B28,'định lượng suất 25k'!$B:$J,9,0),0)</f>
        <v>0</v>
      </c>
      <c r="D28" s="2">
        <f>IFERROR(VLOOKUP($C$24&amp;$B28,'định lượng suất 25k'!$B:$K,10,0),0)</f>
        <v>0</v>
      </c>
      <c r="F28" s="2">
        <f t="shared" si="0"/>
        <v>0</v>
      </c>
      <c r="G28" s="2">
        <v>1</v>
      </c>
      <c r="H28" s="2">
        <f t="shared" ref="H28:H39" si="1">F28-G28</f>
        <v>-1</v>
      </c>
      <c r="I28" s="2">
        <f>IFERROR(VLOOKUP($C$24&amp;$B28,'định lượng suất 25k'!$B:$H,7,0),0)</f>
        <v>0</v>
      </c>
      <c r="J28" s="2">
        <f t="shared" ref="J28:J39" si="2">H28*I28</f>
        <v>0</v>
      </c>
      <c r="L28" s="6" t="s">
        <v>207</v>
      </c>
      <c r="M28" s="3">
        <f>IFERROR(VLOOKUP($M$24&amp;$L28,'định lượng suất 25k'!$B:$J,9,0),0)</f>
        <v>6.41025641025641E-3</v>
      </c>
      <c r="N28" s="2">
        <f>IFERROR(VLOOKUP($M$24&amp;$L28,'định lượng suất 25k'!$B:$K,10,0),0)</f>
        <v>160.25641025641025</v>
      </c>
      <c r="P28" s="2">
        <f t="shared" ref="P28:P30" si="3">M28*SUM($Q$23:$Q$24)</f>
        <v>0.33333333333333331</v>
      </c>
      <c r="Q28" s="2"/>
      <c r="R28" s="2">
        <f t="shared" ref="R28:R30" si="4">P28-Q28</f>
        <v>0.33333333333333331</v>
      </c>
      <c r="S28" s="2">
        <f>IFERROR(VLOOKUP($M$24&amp;$L28,'định lượng suất 25k'!$B:$H,7,0),0)</f>
        <v>25000</v>
      </c>
      <c r="T28" s="2">
        <f t="shared" ref="T28:T30" si="5">R28*S28</f>
        <v>8333.3333333333321</v>
      </c>
    </row>
    <row r="29" spans="2:20" x14ac:dyDescent="0.35">
      <c r="B29" s="6" t="s">
        <v>60</v>
      </c>
      <c r="C29" s="3">
        <f>IFERROR(VLOOKUP($C$24&amp;$B29,'định lượng suất 25k'!$B:$J,9,0),0)</f>
        <v>7.4999999999999997E-2</v>
      </c>
      <c r="D29" s="2">
        <f>IFERROR(VLOOKUP($C$24&amp;$B29,'định lượng suất 25k'!$B:$K,10,0),0)</f>
        <v>6750</v>
      </c>
      <c r="F29" s="2">
        <f t="shared" si="0"/>
        <v>22.5</v>
      </c>
      <c r="G29" s="2">
        <v>2</v>
      </c>
      <c r="H29" s="2">
        <f t="shared" si="1"/>
        <v>20.5</v>
      </c>
      <c r="I29" s="2">
        <f>IFERROR(VLOOKUP($C$24&amp;$B29,'định lượng suất 25k'!$B:$H,7,0),0)</f>
        <v>90000</v>
      </c>
      <c r="J29" s="2">
        <f t="shared" si="2"/>
        <v>1845000</v>
      </c>
      <c r="L29" s="6" t="s">
        <v>282</v>
      </c>
      <c r="M29" s="3">
        <f>IFERROR(VLOOKUP($M$24&amp;$L29,'định lượng suất 25k'!$B:$J,9,0),0)</f>
        <v>6.41025641025641E-3</v>
      </c>
      <c r="N29" s="2">
        <f>IFERROR(VLOOKUP($M$24&amp;$L29,'định lượng suất 25k'!$B:$K,10,0),0)</f>
        <v>224.35897435897436</v>
      </c>
      <c r="P29" s="2">
        <f t="shared" si="3"/>
        <v>0.33333333333333331</v>
      </c>
      <c r="Q29" s="2"/>
      <c r="R29" s="2">
        <f t="shared" si="4"/>
        <v>0.33333333333333331</v>
      </c>
      <c r="S29" s="2">
        <f>IFERROR(VLOOKUP($M$24&amp;$L29,'định lượng suất 25k'!$B:$H,7,0),0)</f>
        <v>35000</v>
      </c>
      <c r="T29" s="2">
        <f t="shared" si="5"/>
        <v>11666.666666666666</v>
      </c>
    </row>
    <row r="30" spans="2:20" x14ac:dyDescent="0.35">
      <c r="B30" s="6" t="s">
        <v>40</v>
      </c>
      <c r="C30" s="3">
        <f>IFERROR(VLOOKUP($C$24&amp;$B30,'định lượng suất 25k'!$B:$J,9,0),0)</f>
        <v>0</v>
      </c>
      <c r="D30" s="2">
        <f>IFERROR(VLOOKUP($C$24&amp;$B30,'định lượng suất 25k'!$B:$K,10,0),0)</f>
        <v>0</v>
      </c>
      <c r="F30" s="2">
        <f t="shared" si="0"/>
        <v>0</v>
      </c>
      <c r="G30" s="2">
        <v>0.5</v>
      </c>
      <c r="H30" s="2">
        <f t="shared" si="1"/>
        <v>-0.5</v>
      </c>
      <c r="I30" s="2">
        <f>IFERROR(VLOOKUP($C$24&amp;$B30,'định lượng suất 25k'!$B:$H,7,0),0)</f>
        <v>0</v>
      </c>
      <c r="J30" s="2">
        <f t="shared" si="2"/>
        <v>0</v>
      </c>
      <c r="L30" s="6" t="s">
        <v>370</v>
      </c>
      <c r="M30" s="3">
        <f>IFERROR(VLOOKUP($M$24&amp;$L30,'định lượng suất 25k'!$B:$J,9,0),0)</f>
        <v>1.5384615384615384E-2</v>
      </c>
      <c r="N30" s="2">
        <f>IFERROR(VLOOKUP($M$24&amp;$L30,'định lượng suất 25k'!$B:$K,10,0),0)</f>
        <v>1076.9230769230769</v>
      </c>
      <c r="P30" s="2">
        <f t="shared" si="3"/>
        <v>0.79999999999999993</v>
      </c>
      <c r="Q30" s="2"/>
      <c r="R30" s="2">
        <f t="shared" si="4"/>
        <v>0.79999999999999993</v>
      </c>
      <c r="S30" s="2">
        <f>IFERROR(VLOOKUP($M$24&amp;$L30,'định lượng suất 25k'!$B:$H,7,0),0)</f>
        <v>70000</v>
      </c>
      <c r="T30" s="2">
        <f t="shared" si="5"/>
        <v>55999.999999999993</v>
      </c>
    </row>
    <row r="31" spans="2:20" x14ac:dyDescent="0.35">
      <c r="B31" s="6" t="s">
        <v>197</v>
      </c>
      <c r="C31" s="3">
        <f>IFERROR(VLOOKUP($C$24&amp;$B31,'định lượng suất 25k'!$B:$J,9,0),0)</f>
        <v>0.02</v>
      </c>
      <c r="D31" s="2">
        <f>IFERROR(VLOOKUP($C$24&amp;$B31,'định lượng suất 25k'!$B:$K,10,0),0)</f>
        <v>500</v>
      </c>
      <c r="F31" s="2">
        <f t="shared" si="0"/>
        <v>6</v>
      </c>
      <c r="G31" s="2">
        <v>0</v>
      </c>
      <c r="H31" s="2">
        <f t="shared" si="1"/>
        <v>6</v>
      </c>
      <c r="I31" s="2">
        <f>IFERROR(VLOOKUP($C$24&amp;$B31,'định lượng suất 25k'!$B:$H,7,0),0)</f>
        <v>25000</v>
      </c>
      <c r="J31" s="2">
        <f t="shared" si="2"/>
        <v>150000</v>
      </c>
      <c r="M31" s="3"/>
      <c r="N31" s="2"/>
      <c r="P31" s="2"/>
      <c r="Q31" s="2"/>
      <c r="R31" s="2"/>
      <c r="S31" s="2"/>
      <c r="T31" s="2"/>
    </row>
    <row r="32" spans="2:20" x14ac:dyDescent="0.35">
      <c r="B32" s="6" t="s">
        <v>207</v>
      </c>
      <c r="C32" s="3">
        <f>IFERROR(VLOOKUP($C$24&amp;$B32,'định lượng suất 25k'!$B:$J,9,0),0)</f>
        <v>4.0000000000000001E-3</v>
      </c>
      <c r="D32" s="2">
        <f>IFERROR(VLOOKUP($C$24&amp;$B32,'định lượng suất 25k'!$B:$K,10,0),0)</f>
        <v>120</v>
      </c>
      <c r="F32" s="2">
        <f t="shared" si="0"/>
        <v>1.2</v>
      </c>
      <c r="G32" s="2">
        <v>0</v>
      </c>
      <c r="H32" s="2">
        <f t="shared" si="1"/>
        <v>1.2</v>
      </c>
      <c r="I32" s="2">
        <f>IFERROR(VLOOKUP($C$24&amp;$B32,'định lượng suất 25k'!$B:$H,7,0),0)</f>
        <v>30000</v>
      </c>
      <c r="J32" s="2">
        <f t="shared" si="2"/>
        <v>36000</v>
      </c>
      <c r="M32" s="3"/>
      <c r="N32" s="2"/>
      <c r="P32" s="2"/>
      <c r="Q32" s="2"/>
      <c r="R32" s="2"/>
      <c r="S32" s="2"/>
      <c r="T32" s="2"/>
    </row>
    <row r="33" spans="2:20" x14ac:dyDescent="0.35">
      <c r="B33" s="6" t="s">
        <v>303</v>
      </c>
      <c r="C33" s="3">
        <f>IFERROR(VLOOKUP($C$24&amp;$B33,'định lượng suất 25k'!$B:$J,9,0),0)</f>
        <v>6.0000000000000001E-3</v>
      </c>
      <c r="D33" s="2">
        <f>IFERROR(VLOOKUP($C$24&amp;$B33,'định lượng suất 25k'!$B:$K,10,0),0)</f>
        <v>300</v>
      </c>
      <c r="F33" s="2">
        <f t="shared" si="0"/>
        <v>1.8</v>
      </c>
      <c r="G33" s="2">
        <v>0</v>
      </c>
      <c r="H33" s="2">
        <f t="shared" si="1"/>
        <v>1.8</v>
      </c>
      <c r="I33" s="2">
        <f>IFERROR(VLOOKUP($C$24&amp;$B33,'định lượng suất 25k'!$B:$H,7,0),0)</f>
        <v>50000</v>
      </c>
      <c r="J33" s="2">
        <f t="shared" si="2"/>
        <v>90000</v>
      </c>
      <c r="L33" s="4" t="s">
        <v>0</v>
      </c>
      <c r="M33" s="15" t="s">
        <v>45</v>
      </c>
      <c r="N33" s="2"/>
      <c r="P33" s="7" t="s">
        <v>144</v>
      </c>
      <c r="Q33" s="9">
        <v>300</v>
      </c>
    </row>
    <row r="34" spans="2:20" x14ac:dyDescent="0.35">
      <c r="B34" s="6" t="s">
        <v>301</v>
      </c>
      <c r="C34" s="3">
        <f>IFERROR(VLOOKUP($C$24&amp;$B34,'định lượng suất 25k'!$B:$J,9,0),0)</f>
        <v>0.02</v>
      </c>
      <c r="D34" s="2">
        <f>IFERROR(VLOOKUP($C$24&amp;$B34,'định lượng suất 25k'!$B:$K,10,0),0)</f>
        <v>300</v>
      </c>
      <c r="F34" s="2">
        <f t="shared" si="0"/>
        <v>6</v>
      </c>
      <c r="G34" s="2">
        <v>0</v>
      </c>
      <c r="H34" s="2">
        <f t="shared" si="1"/>
        <v>6</v>
      </c>
      <c r="I34" s="2">
        <f>IFERROR(VLOOKUP($C$24&amp;$B34,'định lượng suất 25k'!$B:$H,7,0),0)</f>
        <v>15000</v>
      </c>
      <c r="J34" s="2">
        <f t="shared" si="2"/>
        <v>90000</v>
      </c>
      <c r="L34" s="4" t="s">
        <v>1</v>
      </c>
      <c r="M34" s="5" t="s">
        <v>128</v>
      </c>
      <c r="N34" s="2"/>
      <c r="P34" s="8" t="s">
        <v>145</v>
      </c>
      <c r="Q34" s="10">
        <v>140</v>
      </c>
    </row>
    <row r="35" spans="2:20" x14ac:dyDescent="0.35">
      <c r="B35" s="6" t="s">
        <v>302</v>
      </c>
      <c r="C35" s="3">
        <f>IFERROR(VLOOKUP($C$24&amp;$B35,'định lượng suất 25k'!$B:$J,9,0),0)</f>
        <v>0.02</v>
      </c>
      <c r="D35" s="2">
        <f>IFERROR(VLOOKUP($C$24&amp;$B35,'định lượng suất 25k'!$B:$K,10,0),0)</f>
        <v>240</v>
      </c>
      <c r="F35" s="2">
        <f t="shared" si="0"/>
        <v>6</v>
      </c>
      <c r="G35" s="2">
        <v>0</v>
      </c>
      <c r="H35" s="2">
        <f t="shared" si="1"/>
        <v>6</v>
      </c>
      <c r="I35" s="2">
        <f>IFERROR(VLOOKUP($C$24&amp;$B35,'định lượng suất 25k'!$B:$H,7,0),0)</f>
        <v>12000</v>
      </c>
      <c r="J35" s="2">
        <f t="shared" si="2"/>
        <v>72000</v>
      </c>
      <c r="L35" s="3"/>
      <c r="M35" s="3"/>
      <c r="N35" s="1">
        <f>SUM(N37:N41)</f>
        <v>2840.6779661016949</v>
      </c>
      <c r="T35" s="1">
        <f>SUM(T37:T41)</f>
        <v>193464.40677966102</v>
      </c>
    </row>
    <row r="36" spans="2:20" ht="58" x14ac:dyDescent="0.35">
      <c r="B36"/>
      <c r="C36" s="3">
        <f>IFERROR(VLOOKUP($C$24&amp;$B36,'định lượng suất 25k'!$B:$J,9,0),0)</f>
        <v>0</v>
      </c>
      <c r="D36" s="2">
        <f>IFERROR(VLOOKUP($C$24&amp;$B36,'định lượng suất 25k'!$B:$K,10,0),0)</f>
        <v>0</v>
      </c>
      <c r="F36" s="2">
        <f t="shared" si="0"/>
        <v>0</v>
      </c>
      <c r="G36" s="2">
        <v>0</v>
      </c>
      <c r="H36" s="2">
        <f t="shared" si="1"/>
        <v>0</v>
      </c>
      <c r="I36" s="2">
        <f>IFERROR(VLOOKUP($C$24&amp;$B48,'định lượng suất 25k'!$B:$H,7,0),0)</f>
        <v>0</v>
      </c>
      <c r="J36" s="2">
        <f t="shared" si="2"/>
        <v>0</v>
      </c>
      <c r="L36" s="12" t="s">
        <v>137</v>
      </c>
      <c r="M36" s="13" t="s">
        <v>139</v>
      </c>
      <c r="N36" s="13" t="s">
        <v>141</v>
      </c>
      <c r="O36" s="14"/>
      <c r="P36" s="13" t="s">
        <v>142</v>
      </c>
      <c r="Q36" s="13" t="s">
        <v>146</v>
      </c>
      <c r="R36" s="13" t="s">
        <v>143</v>
      </c>
      <c r="S36" s="13" t="s">
        <v>2</v>
      </c>
      <c r="T36" s="13" t="s">
        <v>147</v>
      </c>
    </row>
    <row r="37" spans="2:20" x14ac:dyDescent="0.35">
      <c r="B37"/>
      <c r="C37" s="3">
        <f>IFERROR(VLOOKUP($C$24&amp;$B37,'định lượng suất 25k'!$B:$J,9,0),0)</f>
        <v>0</v>
      </c>
      <c r="D37" s="2">
        <f>IFERROR(VLOOKUP($C$24&amp;$B37,'định lượng suất 25k'!$B:$K,10,0),0)</f>
        <v>0</v>
      </c>
      <c r="F37" s="2">
        <f t="shared" si="0"/>
        <v>0</v>
      </c>
      <c r="G37" s="2">
        <v>0</v>
      </c>
      <c r="H37" s="2">
        <f t="shared" si="1"/>
        <v>0</v>
      </c>
      <c r="I37" s="2">
        <f>IFERROR(VLOOKUP($C$24&amp;$B49,'định lượng suất 25k'!$B:$H,7,0),0)</f>
        <v>0</v>
      </c>
      <c r="J37" s="2">
        <f t="shared" si="2"/>
        <v>0</v>
      </c>
      <c r="L37" s="6" t="s">
        <v>78</v>
      </c>
      <c r="M37" s="3">
        <f>VLOOKUP($M$34&amp;$L37,'định lượng suất 25k'!$B:$J,9,0)</f>
        <v>1.6949152542372881E-2</v>
      </c>
      <c r="N37" s="2">
        <f>VLOOKUP($M$34&amp;$L37,'định lượng suất 25k'!$B:$K,10,0)</f>
        <v>254.23728813559322</v>
      </c>
      <c r="P37" s="2">
        <f>M37*SUM($Q$33:$Q$34)</f>
        <v>7.4576271186440675</v>
      </c>
      <c r="Q37" s="2">
        <v>0</v>
      </c>
      <c r="R37" s="2">
        <f>P37-Q37</f>
        <v>7.4576271186440675</v>
      </c>
      <c r="S37" s="2">
        <f>IFERROR(VLOOKUP($M$34&amp;$L37,'định lượng suất 25k'!$B:$H,7,0),0)</f>
        <v>15000</v>
      </c>
      <c r="T37" s="2">
        <f>R37*S37</f>
        <v>111864.40677966102</v>
      </c>
    </row>
    <row r="38" spans="2:20" x14ac:dyDescent="0.35">
      <c r="B38"/>
      <c r="C38" s="3">
        <f>IFERROR(VLOOKUP($C$24&amp;$B38,'định lượng suất 25k'!$B:$J,9,0),0)</f>
        <v>0</v>
      </c>
      <c r="D38" s="2">
        <f>IFERROR(VLOOKUP($C$24&amp;$B38,'định lượng suất 25k'!$B:$K,10,0),0)</f>
        <v>0</v>
      </c>
      <c r="F38" s="2">
        <f t="shared" si="0"/>
        <v>0</v>
      </c>
      <c r="G38" s="2">
        <v>0</v>
      </c>
      <c r="H38" s="2">
        <f t="shared" si="1"/>
        <v>0</v>
      </c>
      <c r="I38" s="2">
        <f>IFERROR(VLOOKUP($C$24&amp;$B50,'định lượng suất 25k'!$B:$H,7,0),0)</f>
        <v>0</v>
      </c>
      <c r="J38" s="2">
        <f t="shared" si="2"/>
        <v>0</v>
      </c>
      <c r="L38" s="6" t="s">
        <v>114</v>
      </c>
      <c r="M38" s="3">
        <f>VLOOKUP($M$34&amp;$L38,'định lượng suất 25k'!$B:$J,9,0)</f>
        <v>1</v>
      </c>
      <c r="N38" s="2">
        <f>VLOOKUP($M$34&amp;$L38,'định lượng suất 25k'!$B:$K,10,0)</f>
        <v>1600</v>
      </c>
      <c r="P38" s="2">
        <f>M38*SUM($Q$23:$Q$24)</f>
        <v>52</v>
      </c>
      <c r="Q38" s="2">
        <v>1</v>
      </c>
      <c r="R38" s="2">
        <f>P38-Q38</f>
        <v>51</v>
      </c>
      <c r="S38" s="2">
        <f>IFERROR(VLOOKUP($M$34&amp;$L38,'định lượng suất 25k'!$B:$H,7,0),0)</f>
        <v>1600</v>
      </c>
      <c r="T38" s="2">
        <f>R38*S38</f>
        <v>81600</v>
      </c>
    </row>
    <row r="39" spans="2:20" x14ac:dyDescent="0.35">
      <c r="B39" s="6"/>
      <c r="C39" s="3">
        <f>IFERROR(VLOOKUP($C$24&amp;$B39,'định lượng suất 25k'!$B:$J,9,0),0)</f>
        <v>0</v>
      </c>
      <c r="D39" s="2">
        <f>IFERROR(VLOOKUP($C$24&amp;$B51,'định lượng suất 25k'!$B:$K,10,0),0)</f>
        <v>0</v>
      </c>
      <c r="F39" s="2">
        <f t="shared" si="0"/>
        <v>0</v>
      </c>
      <c r="G39" s="2">
        <v>0</v>
      </c>
      <c r="H39" s="2">
        <f t="shared" si="1"/>
        <v>0</v>
      </c>
      <c r="I39" s="2">
        <f>IFERROR(VLOOKUP($C$24&amp;$B51,'định lượng suất 25k'!$B:$H,7,0),0)</f>
        <v>0</v>
      </c>
      <c r="J39" s="2">
        <f t="shared" si="2"/>
        <v>0</v>
      </c>
      <c r="L39" s="6" t="s">
        <v>28</v>
      </c>
      <c r="M39" s="3">
        <f>VLOOKUP($M$34&amp;$L39,'định lượng suất 25k'!$B:$J,9,0)</f>
        <v>1.6949152542372883E-3</v>
      </c>
      <c r="N39" s="2">
        <f>VLOOKUP($M$34&amp;$L39,'định lượng suất 25k'!$B:$K,10,0)</f>
        <v>186.4406779661017</v>
      </c>
      <c r="P39" s="2"/>
      <c r="Q39" s="2"/>
      <c r="R39" s="2"/>
      <c r="S39" s="2"/>
      <c r="T39" s="2"/>
    </row>
    <row r="40" spans="2:20" x14ac:dyDescent="0.35">
      <c r="B40"/>
      <c r="L40" s="6" t="s">
        <v>50</v>
      </c>
      <c r="M40" s="3">
        <f>VLOOKUP($M$34&amp;$L40,'định lượng suất 25k'!$B:$J,9,0)</f>
        <v>0.01</v>
      </c>
      <c r="N40" s="2">
        <f>VLOOKUP($M$34&amp;$L40,'định lượng suất 25k'!$B:$K,10,0)</f>
        <v>800</v>
      </c>
    </row>
    <row r="41" spans="2:20" x14ac:dyDescent="0.35">
      <c r="B41"/>
      <c r="M41" s="3"/>
      <c r="N41" s="2"/>
    </row>
    <row r="42" spans="2:20" x14ac:dyDescent="0.35">
      <c r="B42"/>
      <c r="M42" s="3"/>
    </row>
    <row r="43" spans="2:20" x14ac:dyDescent="0.35">
      <c r="B43"/>
      <c r="L43" s="4" t="s">
        <v>0</v>
      </c>
      <c r="M43" s="15" t="s">
        <v>47</v>
      </c>
      <c r="N43" s="2"/>
      <c r="P43" s="7" t="s">
        <v>144</v>
      </c>
      <c r="Q43" s="9">
        <v>300</v>
      </c>
    </row>
    <row r="44" spans="2:20" x14ac:dyDescent="0.35">
      <c r="B44"/>
      <c r="L44" s="4" t="s">
        <v>1</v>
      </c>
      <c r="M44" s="5" t="s">
        <v>63</v>
      </c>
      <c r="N44" s="2"/>
      <c r="P44" s="8" t="s">
        <v>145</v>
      </c>
      <c r="Q44" s="10">
        <v>140</v>
      </c>
    </row>
    <row r="45" spans="2:20" x14ac:dyDescent="0.35">
      <c r="B45"/>
      <c r="L45" s="3"/>
      <c r="M45" s="3"/>
      <c r="N45" s="1">
        <f>SUM(N47:N49)</f>
        <v>576</v>
      </c>
      <c r="T45" s="1">
        <f>SUM(T47:T58)</f>
        <v>72072</v>
      </c>
    </row>
    <row r="46" spans="2:20" ht="58" x14ac:dyDescent="0.35">
      <c r="B46"/>
      <c r="L46" s="12" t="s">
        <v>137</v>
      </c>
      <c r="M46" s="13" t="s">
        <v>139</v>
      </c>
      <c r="N46" s="13" t="s">
        <v>141</v>
      </c>
      <c r="O46" s="14"/>
      <c r="P46" s="13" t="s">
        <v>142</v>
      </c>
      <c r="Q46" s="13" t="s">
        <v>146</v>
      </c>
      <c r="R46" s="13" t="s">
        <v>143</v>
      </c>
      <c r="S46" s="13" t="s">
        <v>2</v>
      </c>
      <c r="T46" s="13" t="s">
        <v>147</v>
      </c>
    </row>
    <row r="47" spans="2:20" x14ac:dyDescent="0.35">
      <c r="B47"/>
      <c r="L47" s="6" t="s">
        <v>64</v>
      </c>
      <c r="M47" s="3">
        <f>VLOOKUP($M$44&amp;$L47,'định lượng suất 25k'!$B:$J,9,0)</f>
        <v>9.6000000000000002E-2</v>
      </c>
      <c r="N47" s="2">
        <f>VLOOKUP($M$44&amp;$L47,'định lượng suất 25k'!$B:$K,10,0)</f>
        <v>576</v>
      </c>
      <c r="P47" s="2">
        <f>M47*SUM($Q$23:$Q$24)</f>
        <v>4.992</v>
      </c>
      <c r="Q47" s="2">
        <v>0</v>
      </c>
      <c r="R47" s="2">
        <f>P47-Q47</f>
        <v>4.992</v>
      </c>
      <c r="S47" s="2">
        <f>IFERROR(VLOOKUP($M$44&amp;$L47,'định lượng suất 25k'!$B:$H,7,0),0)</f>
        <v>6000</v>
      </c>
      <c r="T47" s="2">
        <f>R47*S47</f>
        <v>29952</v>
      </c>
    </row>
    <row r="48" spans="2:20" x14ac:dyDescent="0.35">
      <c r="B48"/>
      <c r="M48" s="3"/>
      <c r="N48" s="2"/>
      <c r="P48" s="2">
        <f>M48*SUM($Q$23:$Q$24)</f>
        <v>0</v>
      </c>
      <c r="Q48" s="2">
        <v>1</v>
      </c>
      <c r="R48" s="2">
        <f>P48-Q48</f>
        <v>-1</v>
      </c>
      <c r="S48" s="2">
        <f>IFERROR(VLOOKUP($M$44&amp;$L48,'định lượng suất 25k'!$B:$H,7,0),0)</f>
        <v>0</v>
      </c>
      <c r="T48" s="2">
        <f>R48*S48</f>
        <v>0</v>
      </c>
    </row>
    <row r="49" spans="2:20" x14ac:dyDescent="0.35">
      <c r="B49"/>
      <c r="M49" s="3"/>
      <c r="N49" s="2"/>
    </row>
    <row r="50" spans="2:20" x14ac:dyDescent="0.35">
      <c r="B50"/>
      <c r="L50" s="4" t="s">
        <v>0</v>
      </c>
      <c r="M50" s="15" t="s">
        <v>157</v>
      </c>
      <c r="N50" s="2"/>
      <c r="P50" s="7" t="s">
        <v>144</v>
      </c>
      <c r="Q50" s="9">
        <v>300</v>
      </c>
    </row>
    <row r="51" spans="2:20" x14ac:dyDescent="0.35">
      <c r="B51"/>
      <c r="L51" s="4" t="s">
        <v>1</v>
      </c>
      <c r="M51" s="5" t="s">
        <v>75</v>
      </c>
      <c r="N51" s="2"/>
      <c r="P51" s="8" t="s">
        <v>145</v>
      </c>
      <c r="Q51" s="10">
        <v>140</v>
      </c>
    </row>
    <row r="52" spans="2:20" x14ac:dyDescent="0.35">
      <c r="B52"/>
      <c r="L52" s="3"/>
      <c r="M52" s="3"/>
      <c r="N52" s="1">
        <f>AVERAGE(N54:N57)</f>
        <v>540</v>
      </c>
      <c r="T52" s="1">
        <f>AVERAGE(T54:T57)</f>
        <v>14040</v>
      </c>
    </row>
    <row r="53" spans="2:20" ht="58" x14ac:dyDescent="0.35">
      <c r="B53"/>
      <c r="L53" s="12" t="s">
        <v>137</v>
      </c>
      <c r="M53" s="13" t="s">
        <v>139</v>
      </c>
      <c r="N53" s="13" t="s">
        <v>141</v>
      </c>
      <c r="O53" s="14"/>
      <c r="P53" s="13" t="s">
        <v>142</v>
      </c>
      <c r="Q53" s="13" t="s">
        <v>146</v>
      </c>
      <c r="R53" s="13" t="s">
        <v>143</v>
      </c>
      <c r="S53" s="13" t="s">
        <v>2</v>
      </c>
      <c r="T53" s="13" t="s">
        <v>147</v>
      </c>
    </row>
    <row r="54" spans="2:20" x14ac:dyDescent="0.35">
      <c r="B54"/>
      <c r="L54" s="6" t="s">
        <v>75</v>
      </c>
      <c r="M54" s="3">
        <f>VLOOKUP($M$51&amp;$L54,'định lượng suất 25k'!$B:$J,9,0)</f>
        <v>0.03</v>
      </c>
      <c r="N54" s="2">
        <f>VLOOKUP($M$51&amp;$L54,'định lượng suất 25k'!$B:$K,10,0)</f>
        <v>540</v>
      </c>
      <c r="P54" s="2">
        <f>M54*SUM($Q$23:$Q$24)</f>
        <v>1.56</v>
      </c>
      <c r="Q54" s="2">
        <v>0</v>
      </c>
      <c r="R54" s="2">
        <f>P54-Q54</f>
        <v>1.56</v>
      </c>
      <c r="S54" s="2">
        <f>IFERROR(VLOOKUP($M$51&amp;$L54,'định lượng suất 25k'!$B:$H,7,0),0)</f>
        <v>18000</v>
      </c>
      <c r="T54" s="2">
        <f>R54*S54</f>
        <v>28080</v>
      </c>
    </row>
    <row r="55" spans="2:20" x14ac:dyDescent="0.35">
      <c r="B55"/>
      <c r="M55" s="3"/>
      <c r="N55" s="2"/>
      <c r="P55" s="2">
        <f>M55*SUM($Q$23:$Q$24)</f>
        <v>0</v>
      </c>
      <c r="Q55" s="2">
        <v>1</v>
      </c>
      <c r="R55" s="2">
        <f>P55-Q55</f>
        <v>-1</v>
      </c>
      <c r="S55" s="2">
        <f>IFERROR(VLOOKUP($M$51&amp;$L55,'định lượng suất 25k'!$B:$H,7,0),0)</f>
        <v>0</v>
      </c>
      <c r="T55" s="2">
        <f>R55*S55</f>
        <v>0</v>
      </c>
    </row>
    <row r="56" spans="2:20" x14ac:dyDescent="0.35">
      <c r="B56"/>
    </row>
    <row r="57" spans="2:20" x14ac:dyDescent="0.35">
      <c r="B57"/>
    </row>
    <row r="58" spans="2:20" x14ac:dyDescent="0.35">
      <c r="B58"/>
    </row>
    <row r="59" spans="2:20" x14ac:dyDescent="0.35">
      <c r="B59"/>
    </row>
    <row r="60" spans="2:20" x14ac:dyDescent="0.35">
      <c r="B60"/>
      <c r="L60" s="4" t="s">
        <v>0</v>
      </c>
      <c r="M60" s="15" t="s">
        <v>48</v>
      </c>
      <c r="N60" s="2"/>
      <c r="P60" s="7" t="s">
        <v>144</v>
      </c>
      <c r="Q60" s="9">
        <v>300</v>
      </c>
    </row>
    <row r="61" spans="2:20" x14ac:dyDescent="0.35">
      <c r="B61"/>
      <c r="L61" s="4" t="s">
        <v>1</v>
      </c>
      <c r="M61" s="5" t="s">
        <v>179</v>
      </c>
      <c r="N61" s="2"/>
      <c r="P61" s="8" t="s">
        <v>145</v>
      </c>
      <c r="Q61" s="10">
        <v>140</v>
      </c>
    </row>
    <row r="62" spans="2:20" x14ac:dyDescent="0.35">
      <c r="B62"/>
      <c r="L62" s="3"/>
      <c r="M62" s="3"/>
      <c r="N62" s="1">
        <f>SUM(N64:N68)</f>
        <v>783.33333333333326</v>
      </c>
      <c r="T62" s="1">
        <f>SUM(T64:T68)</f>
        <v>235000</v>
      </c>
    </row>
    <row r="63" spans="2:20" ht="58" x14ac:dyDescent="0.35">
      <c r="B63"/>
      <c r="L63" s="12" t="s">
        <v>137</v>
      </c>
      <c r="M63" s="13" t="s">
        <v>139</v>
      </c>
      <c r="N63" s="13" t="s">
        <v>141</v>
      </c>
      <c r="O63" s="14"/>
      <c r="P63" s="13" t="s">
        <v>142</v>
      </c>
      <c r="Q63" s="13" t="s">
        <v>146</v>
      </c>
      <c r="R63" s="13" t="s">
        <v>143</v>
      </c>
      <c r="S63" s="13" t="s">
        <v>2</v>
      </c>
      <c r="T63" s="13" t="s">
        <v>147</v>
      </c>
    </row>
    <row r="64" spans="2:20" x14ac:dyDescent="0.35">
      <c r="B64"/>
      <c r="L64" s="6" t="s">
        <v>96</v>
      </c>
      <c r="M64" s="3">
        <f>VLOOKUP($M$61&amp;$L64,'định lượng suất 25k'!$B:$J,9,0)</f>
        <v>3.3333333333333333E-2</v>
      </c>
      <c r="N64" s="2">
        <f>VLOOKUP($M$61&amp;$L64,'định lượng suất 25k'!$B:$K,10,0)</f>
        <v>400</v>
      </c>
      <c r="P64" s="2">
        <f>M64*SUM($G$23:$G$24)</f>
        <v>10</v>
      </c>
      <c r="Q64" s="2">
        <v>0</v>
      </c>
      <c r="R64" s="2">
        <f>P64-Q64</f>
        <v>10</v>
      </c>
      <c r="S64" s="2">
        <f>VLOOKUP($M$61&amp;$L64,'định lượng suất 25k'!$B:$H,7,0)</f>
        <v>12000</v>
      </c>
      <c r="T64" s="2">
        <f>R64*S64</f>
        <v>120000</v>
      </c>
    </row>
    <row r="65" spans="2:20" x14ac:dyDescent="0.35">
      <c r="B65"/>
      <c r="L65" s="6" t="s">
        <v>180</v>
      </c>
      <c r="M65" s="3">
        <f>VLOOKUP($M$61&amp;$L65,'định lượng suất 25k'!$B:$J,9,0)</f>
        <v>3.3333333333333335E-3</v>
      </c>
      <c r="N65" s="2">
        <f>VLOOKUP($M$61&amp;$L65,'định lượng suất 25k'!$B:$K,10,0)</f>
        <v>383.33333333333331</v>
      </c>
      <c r="P65" s="2">
        <f>M65*SUM($G$23:$G$24)</f>
        <v>1</v>
      </c>
      <c r="Q65" s="2">
        <v>0</v>
      </c>
      <c r="R65" s="2">
        <f>P65-Q65</f>
        <v>1</v>
      </c>
      <c r="S65" s="2">
        <f>VLOOKUP($M$61&amp;$L65,'định lượng suất 25k'!$B:$H,7,0)</f>
        <v>115000</v>
      </c>
      <c r="T65" s="2">
        <f>R65*S65</f>
        <v>115000</v>
      </c>
    </row>
    <row r="66" spans="2:20" x14ac:dyDescent="0.35">
      <c r="B66"/>
      <c r="M66" s="3"/>
      <c r="N66" s="2"/>
      <c r="P66" s="3"/>
      <c r="Q66" s="2"/>
      <c r="R66" s="2"/>
      <c r="S66" s="2"/>
      <c r="T66" s="2"/>
    </row>
    <row r="67" spans="2:20" x14ac:dyDescent="0.35">
      <c r="B67"/>
      <c r="M67" s="3"/>
      <c r="N67" s="2"/>
    </row>
    <row r="68" spans="2:20" x14ac:dyDescent="0.35">
      <c r="B68"/>
    </row>
    <row r="69" spans="2:20" ht="15.5" x14ac:dyDescent="0.35">
      <c r="B69"/>
      <c r="P69" t="s">
        <v>444</v>
      </c>
      <c r="Q69">
        <v>1</v>
      </c>
      <c r="R69" s="95" t="s">
        <v>447</v>
      </c>
    </row>
    <row r="70" spans="2:20" x14ac:dyDescent="0.35">
      <c r="B70"/>
      <c r="L70" s="4" t="s">
        <v>0</v>
      </c>
      <c r="M70" s="15" t="s">
        <v>52</v>
      </c>
      <c r="N70" s="2"/>
      <c r="P70" s="7" t="s">
        <v>144</v>
      </c>
      <c r="Q70" s="9">
        <v>1</v>
      </c>
    </row>
    <row r="71" spans="2:20" x14ac:dyDescent="0.35">
      <c r="B71"/>
      <c r="L71" s="4" t="s">
        <v>1</v>
      </c>
      <c r="M71" s="5" t="s">
        <v>17</v>
      </c>
      <c r="N71" s="2"/>
      <c r="P71" s="8" t="s">
        <v>145</v>
      </c>
      <c r="Q71" s="10">
        <v>0.5</v>
      </c>
    </row>
    <row r="72" spans="2:20" x14ac:dyDescent="0.35">
      <c r="B72"/>
      <c r="L72" s="3"/>
      <c r="M72" s="3"/>
      <c r="N72" s="1">
        <f>AVERAGE(N74:N78)</f>
        <v>1620.9457972363798</v>
      </c>
      <c r="O72" t="s">
        <v>328</v>
      </c>
      <c r="Q72">
        <v>0.5</v>
      </c>
      <c r="T72" s="1" t="e">
        <f>AVERAGE(T74:T78)</f>
        <v>#VALUE!</v>
      </c>
    </row>
    <row r="73" spans="2:20" ht="29" x14ac:dyDescent="0.35">
      <c r="B73"/>
      <c r="L73" s="12" t="s">
        <v>137</v>
      </c>
      <c r="M73" s="13" t="s">
        <v>139</v>
      </c>
      <c r="N73" s="13" t="s">
        <v>141</v>
      </c>
      <c r="O73" s="14" t="s">
        <v>328</v>
      </c>
      <c r="P73" s="13" t="s">
        <v>394</v>
      </c>
      <c r="Q73" s="13">
        <v>15</v>
      </c>
      <c r="R73" s="13" t="s">
        <v>392</v>
      </c>
      <c r="S73" s="13" t="s">
        <v>2</v>
      </c>
      <c r="T73" s="13" t="s">
        <v>147</v>
      </c>
    </row>
    <row r="74" spans="2:20" x14ac:dyDescent="0.35">
      <c r="B74"/>
      <c r="L74" s="6" t="s">
        <v>133</v>
      </c>
      <c r="M74" s="3">
        <f>VLOOKUP($M$71&amp;$L74,'định lượng suất 25k'!$B:$J,9,0)</f>
        <v>7.7586206896551727E-2</v>
      </c>
      <c r="N74" s="2">
        <f>VLOOKUP($M$71&amp;$L74,'định lượng suất 25k'!$B:$K,10,0)</f>
        <v>1939.655172413793</v>
      </c>
      <c r="P74" s="2">
        <f>M74*SUM($G$23:$G$24)</f>
        <v>23.27586206896552</v>
      </c>
      <c r="Q74" s="2">
        <v>0</v>
      </c>
      <c r="R74" s="13" t="s">
        <v>354</v>
      </c>
      <c r="S74" s="2">
        <f>VLOOKUP($M$71&amp;$L74,'định lượng suất 25k'!$B:$H,7,0)</f>
        <v>25000</v>
      </c>
      <c r="T74" s="2" t="e">
        <f>R74*S74</f>
        <v>#VALUE!</v>
      </c>
    </row>
    <row r="75" spans="2:20" x14ac:dyDescent="0.35">
      <c r="B75"/>
      <c r="L75" s="6" t="s">
        <v>79</v>
      </c>
      <c r="M75" s="3">
        <f>VLOOKUP($M$71&amp;$L75,'định lượng suất 25k'!$B:$J,9,0)</f>
        <v>1.0392609699769053</v>
      </c>
      <c r="N75" s="2">
        <f>VLOOKUP($M$71&amp;$L75,'định lượng suất 25k'!$B:$K,10,0)</f>
        <v>1558.891454965358</v>
      </c>
      <c r="P75" s="2">
        <f>M75*SUM($G$23:$G$24)</f>
        <v>311.77829099307161</v>
      </c>
      <c r="Q75" s="2">
        <v>0</v>
      </c>
      <c r="R75" s="2">
        <f>P75-Q75</f>
        <v>311.77829099307161</v>
      </c>
      <c r="S75" s="2">
        <f>VLOOKUP($M$71&amp;$L75,'định lượng suất 25k'!$B:$H,7,0)</f>
        <v>1500</v>
      </c>
      <c r="T75" s="2">
        <f>R75*S75</f>
        <v>467667.43648960738</v>
      </c>
    </row>
    <row r="76" spans="2:20" x14ac:dyDescent="0.35">
      <c r="B76"/>
      <c r="L76" s="6" t="s">
        <v>102</v>
      </c>
      <c r="M76" s="3">
        <f>VLOOKUP($M$71&amp;$L76,'định lượng suất 25k'!$B:$J,9,0)</f>
        <v>0.10084033613445378</v>
      </c>
      <c r="N76" s="2">
        <f>VLOOKUP($M$71&amp;$L76,'định lượng suất 25k'!$B:$K,10,0)</f>
        <v>1210.0840336134454</v>
      </c>
      <c r="P76" s="2">
        <f>M76*SUM($G$23:$G$24)</f>
        <v>30.252100840336134</v>
      </c>
      <c r="Q76" s="2">
        <v>0</v>
      </c>
      <c r="R76" s="2">
        <f>P76-Q76</f>
        <v>30.252100840336134</v>
      </c>
      <c r="S76" s="2">
        <f>VLOOKUP($M$71&amp;$L76,'định lượng suất 25k'!$B:$H,7,0)</f>
        <v>12000</v>
      </c>
      <c r="T76" s="2">
        <f>R76*S76</f>
        <v>363025.21008403361</v>
      </c>
    </row>
    <row r="77" spans="2:20" x14ac:dyDescent="0.35">
      <c r="B77"/>
      <c r="L77" s="6" t="s">
        <v>41</v>
      </c>
      <c r="M77" s="3">
        <f>VLOOKUP($M$71&amp;$L77,'định lượng suất 25k'!$B:$J,9,0)</f>
        <v>7.2289156626506021E-2</v>
      </c>
      <c r="N77" s="2">
        <f>VLOOKUP($M$71&amp;$L77,'định lượng suất 25k'!$B:$K,10,0)</f>
        <v>1228.9156626506024</v>
      </c>
      <c r="P77" s="2">
        <f>M77*SUM($G$23:$G$24)</f>
        <v>21.686746987951807</v>
      </c>
      <c r="Q77" s="2">
        <v>0</v>
      </c>
      <c r="R77" s="2">
        <f>P77-Q77</f>
        <v>21.686746987951807</v>
      </c>
      <c r="S77" s="2">
        <f>VLOOKUP($M$71&amp;$L77,'định lượng suất 25k'!$B:$H,7,0)</f>
        <v>17000</v>
      </c>
      <c r="T77" s="2">
        <f>R77*S77</f>
        <v>368674.69879518071</v>
      </c>
    </row>
    <row r="78" spans="2:20" x14ac:dyDescent="0.35">
      <c r="B78"/>
      <c r="L78" s="6" t="s">
        <v>27</v>
      </c>
      <c r="M78" s="3">
        <f>VLOOKUP($M$71&amp;$L78,'định lượng suất 25k'!$B:$J,9,0)</f>
        <v>0.10835913312693499</v>
      </c>
      <c r="N78" s="2">
        <f>VLOOKUP($M$71&amp;$L78,'định lượng suất 25k'!$B:$K,10,0)</f>
        <v>2167.1826625386998</v>
      </c>
      <c r="P78" s="2">
        <f>M78*SUM($G$23:$G$24)</f>
        <v>32.507739938080498</v>
      </c>
      <c r="Q78" s="2">
        <v>0</v>
      </c>
      <c r="R78" s="2">
        <f>P78-Q78</f>
        <v>32.507739938080498</v>
      </c>
      <c r="S78" s="2">
        <f>VLOOKUP($M$71&amp;$L78,'định lượng suất 25k'!$B:$H,7,0)</f>
        <v>20000</v>
      </c>
      <c r="T78" s="2">
        <f>R78*S78</f>
        <v>650154.79876160994</v>
      </c>
    </row>
    <row r="79" spans="2:20" x14ac:dyDescent="0.35">
      <c r="L79" s="6" t="s">
        <v>149</v>
      </c>
    </row>
  </sheetData>
  <mergeCells count="2">
    <mergeCell ref="C2:H2"/>
    <mergeCell ref="J2:O2"/>
  </mergeCells>
  <phoneticPr fontId="24" type="noConversion"/>
  <pageMargins left="0.7" right="0.7" top="0.75" bottom="0.75" header="0.3" footer="0.3"/>
  <pageSetup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666"/>
  <sheetViews>
    <sheetView zoomScale="87" zoomScaleNormal="87" workbookViewId="0">
      <pane ySplit="2" topLeftCell="A3" activePane="bottomLeft" state="frozen"/>
      <selection activeCell="R77" sqref="R77"/>
      <selection pane="bottomLeft" activeCell="I669" sqref="I669"/>
    </sheetView>
  </sheetViews>
  <sheetFormatPr defaultRowHeight="14.5" x14ac:dyDescent="0.35"/>
  <cols>
    <col min="1" max="1" width="13.26953125" customWidth="1"/>
    <col min="2" max="2" width="31.1796875" bestFit="1" customWidth="1"/>
    <col min="3" max="3" width="13.26953125" customWidth="1"/>
    <col min="4" max="4" width="21.26953125" bestFit="1" customWidth="1"/>
    <col min="5" max="5" width="21.54296875" customWidth="1"/>
    <col min="6" max="6" width="21" customWidth="1"/>
    <col min="7" max="7" width="19.7265625" style="17" customWidth="1"/>
    <col min="8" max="9" width="19.7265625" style="18" customWidth="1"/>
    <col min="10" max="10" width="27.26953125" style="17" bestFit="1" customWidth="1"/>
    <col min="11" max="11" width="20.26953125" style="18" customWidth="1"/>
    <col min="12" max="12" width="16.1796875" hidden="1" customWidth="1"/>
    <col min="13" max="13" width="13.54296875" hidden="1" customWidth="1"/>
    <col min="15" max="15" width="13" customWidth="1"/>
  </cols>
  <sheetData>
    <row r="1" spans="1:12" x14ac:dyDescent="0.35">
      <c r="I1" s="19"/>
      <c r="J1" s="20"/>
    </row>
    <row r="2" spans="1:12" ht="15.75" customHeight="1" x14ac:dyDescent="0.35">
      <c r="A2" s="21" t="s">
        <v>231</v>
      </c>
      <c r="B2" s="21" t="s">
        <v>140</v>
      </c>
      <c r="C2" s="21" t="s">
        <v>7</v>
      </c>
      <c r="D2" s="21" t="s">
        <v>0</v>
      </c>
      <c r="E2" s="21" t="s">
        <v>1</v>
      </c>
      <c r="F2" s="21" t="s">
        <v>9</v>
      </c>
      <c r="G2" s="22" t="s">
        <v>6</v>
      </c>
      <c r="H2" s="23" t="s">
        <v>2</v>
      </c>
      <c r="I2" s="23" t="s">
        <v>5</v>
      </c>
      <c r="J2" s="22" t="s">
        <v>138</v>
      </c>
      <c r="K2" s="23" t="s">
        <v>3</v>
      </c>
      <c r="L2" s="21" t="s">
        <v>42</v>
      </c>
    </row>
    <row r="3" spans="1:12" x14ac:dyDescent="0.35">
      <c r="A3" s="24" t="s">
        <v>232</v>
      </c>
      <c r="B3" s="24" t="str">
        <f t="shared" ref="B3:B61" si="0">E3&amp;F3</f>
        <v>Bún mọcNạc đùi mông</v>
      </c>
      <c r="C3" s="24" t="s">
        <v>8</v>
      </c>
      <c r="D3" t="s">
        <v>20</v>
      </c>
      <c r="E3" t="s">
        <v>29</v>
      </c>
      <c r="F3" t="s">
        <v>475</v>
      </c>
      <c r="G3" s="17">
        <v>3.5</v>
      </c>
      <c r="H3" s="18">
        <v>100000</v>
      </c>
      <c r="I3" s="18">
        <v>100</v>
      </c>
      <c r="J3" s="17">
        <f t="shared" ref="J3:J61" si="1">G3/I3</f>
        <v>3.5000000000000003E-2</v>
      </c>
      <c r="K3" s="18">
        <f t="shared" ref="K3:K61" si="2">(G3*H3)/I3</f>
        <v>3500</v>
      </c>
      <c r="L3" s="103">
        <f>SUM(K3:K15)</f>
        <v>13603</v>
      </c>
    </row>
    <row r="4" spans="1:12" x14ac:dyDescent="0.35">
      <c r="A4" s="24" t="s">
        <v>232</v>
      </c>
      <c r="B4" s="24" t="str">
        <f t="shared" si="0"/>
        <v>Bún mọcChả quết</v>
      </c>
      <c r="C4" s="24" t="s">
        <v>8</v>
      </c>
      <c r="D4" t="s">
        <v>20</v>
      </c>
      <c r="E4" t="s">
        <v>29</v>
      </c>
      <c r="F4" t="s">
        <v>166</v>
      </c>
      <c r="G4" s="17">
        <v>1.8</v>
      </c>
      <c r="H4" s="18">
        <v>120000</v>
      </c>
      <c r="I4" s="18">
        <v>100</v>
      </c>
      <c r="J4" s="17">
        <f t="shared" si="1"/>
        <v>1.8000000000000002E-2</v>
      </c>
      <c r="K4" s="18">
        <f t="shared" si="2"/>
        <v>2160</v>
      </c>
      <c r="L4" s="103"/>
    </row>
    <row r="5" spans="1:12" x14ac:dyDescent="0.35">
      <c r="A5" s="24" t="s">
        <v>232</v>
      </c>
      <c r="B5" s="24" t="str">
        <f t="shared" si="0"/>
        <v>Bún mọcThịt xay</v>
      </c>
      <c r="C5" s="24" t="s">
        <v>8</v>
      </c>
      <c r="D5" t="s">
        <v>20</v>
      </c>
      <c r="E5" t="s">
        <v>29</v>
      </c>
      <c r="F5" t="s">
        <v>31</v>
      </c>
      <c r="G5" s="17">
        <v>1</v>
      </c>
      <c r="H5" s="18">
        <v>80000</v>
      </c>
      <c r="I5" s="18">
        <v>100</v>
      </c>
      <c r="J5" s="17">
        <f t="shared" si="1"/>
        <v>0.01</v>
      </c>
      <c r="K5" s="18">
        <f t="shared" si="2"/>
        <v>800</v>
      </c>
      <c r="L5" s="103"/>
    </row>
    <row r="6" spans="1:12" x14ac:dyDescent="0.35">
      <c r="A6" s="24" t="s">
        <v>232</v>
      </c>
      <c r="B6" s="24" t="str">
        <f t="shared" si="0"/>
        <v>Bún mọcChả heo chín</v>
      </c>
      <c r="C6" s="24" t="s">
        <v>8</v>
      </c>
      <c r="D6" t="s">
        <v>20</v>
      </c>
      <c r="E6" t="s">
        <v>29</v>
      </c>
      <c r="F6" t="s">
        <v>32</v>
      </c>
      <c r="G6" s="17">
        <v>1.3</v>
      </c>
      <c r="H6" s="18">
        <v>120000</v>
      </c>
      <c r="I6" s="18">
        <v>100</v>
      </c>
      <c r="J6" s="17">
        <f t="shared" si="1"/>
        <v>1.3000000000000001E-2</v>
      </c>
      <c r="K6" s="18">
        <f t="shared" si="2"/>
        <v>1560</v>
      </c>
      <c r="L6" s="103"/>
    </row>
    <row r="7" spans="1:12" x14ac:dyDescent="0.35">
      <c r="A7" s="24" t="s">
        <v>233</v>
      </c>
      <c r="B7" s="24" t="str">
        <f t="shared" ref="B7" si="3">E7&amp;F7</f>
        <v>Bún mọcNấm mèo</v>
      </c>
      <c r="C7" s="24" t="s">
        <v>8</v>
      </c>
      <c r="D7" t="s">
        <v>20</v>
      </c>
      <c r="E7" t="s">
        <v>29</v>
      </c>
      <c r="F7" t="s">
        <v>28</v>
      </c>
      <c r="G7" s="17">
        <v>0.3</v>
      </c>
      <c r="H7" s="18">
        <v>55000</v>
      </c>
      <c r="I7" s="18">
        <v>100</v>
      </c>
      <c r="J7" s="17">
        <f t="shared" ref="J7" si="4">G7/I7</f>
        <v>3.0000000000000001E-3</v>
      </c>
      <c r="K7" s="18">
        <f t="shared" ref="K7" si="5">(G7*H7)/I7</f>
        <v>165</v>
      </c>
      <c r="L7" s="103"/>
    </row>
    <row r="8" spans="1:12" x14ac:dyDescent="0.35">
      <c r="A8" s="24" t="s">
        <v>232</v>
      </c>
      <c r="B8" s="24" t="str">
        <f t="shared" si="0"/>
        <v>Bún mọcDa heo</v>
      </c>
      <c r="C8" s="24" t="s">
        <v>8</v>
      </c>
      <c r="D8" t="s">
        <v>20</v>
      </c>
      <c r="E8" t="s">
        <v>29</v>
      </c>
      <c r="F8" t="s">
        <v>33</v>
      </c>
      <c r="G8" s="17">
        <v>2</v>
      </c>
      <c r="H8" s="18">
        <v>30000</v>
      </c>
      <c r="I8" s="18">
        <v>100</v>
      </c>
      <c r="J8" s="17">
        <f t="shared" si="1"/>
        <v>0.02</v>
      </c>
      <c r="K8" s="18">
        <f t="shared" si="2"/>
        <v>600</v>
      </c>
      <c r="L8" s="103"/>
    </row>
    <row r="9" spans="1:12" x14ac:dyDescent="0.35">
      <c r="A9" s="24" t="s">
        <v>232</v>
      </c>
      <c r="B9" s="24" t="str">
        <f t="shared" si="0"/>
        <v>Bún mọcxương ống</v>
      </c>
      <c r="C9" s="24" t="s">
        <v>8</v>
      </c>
      <c r="D9" t="s">
        <v>20</v>
      </c>
      <c r="E9" t="s">
        <v>29</v>
      </c>
      <c r="F9" t="s">
        <v>474</v>
      </c>
      <c r="G9" s="17">
        <v>1.5</v>
      </c>
      <c r="H9" s="18">
        <v>30000</v>
      </c>
      <c r="I9" s="18">
        <v>100</v>
      </c>
      <c r="J9" s="17">
        <f t="shared" si="1"/>
        <v>1.4999999999999999E-2</v>
      </c>
      <c r="K9" s="18">
        <f t="shared" si="2"/>
        <v>450</v>
      </c>
      <c r="L9" s="103"/>
    </row>
    <row r="10" spans="1:12" x14ac:dyDescent="0.35">
      <c r="A10" s="24" t="s">
        <v>233</v>
      </c>
      <c r="B10" s="24" t="str">
        <f t="shared" si="0"/>
        <v>Bún mọcBún</v>
      </c>
      <c r="C10" s="24" t="s">
        <v>8</v>
      </c>
      <c r="D10" t="s">
        <v>20</v>
      </c>
      <c r="E10" t="s">
        <v>29</v>
      </c>
      <c r="F10" t="s">
        <v>34</v>
      </c>
      <c r="G10" s="17">
        <v>33</v>
      </c>
      <c r="H10" s="18">
        <v>10000</v>
      </c>
      <c r="I10" s="18">
        <v>100</v>
      </c>
      <c r="J10" s="17">
        <f t="shared" si="1"/>
        <v>0.33</v>
      </c>
      <c r="K10" s="18">
        <f t="shared" si="2"/>
        <v>3300</v>
      </c>
      <c r="L10" s="103"/>
    </row>
    <row r="11" spans="1:12" x14ac:dyDescent="0.35">
      <c r="A11" s="24" t="s">
        <v>233</v>
      </c>
      <c r="B11" s="24" t="str">
        <f t="shared" si="0"/>
        <v>Bún mọcRau quế</v>
      </c>
      <c r="C11" s="24" t="s">
        <v>8</v>
      </c>
      <c r="D11" t="s">
        <v>20</v>
      </c>
      <c r="E11" t="s">
        <v>29</v>
      </c>
      <c r="F11" t="s">
        <v>23</v>
      </c>
      <c r="G11" s="17">
        <v>0.3</v>
      </c>
      <c r="H11" s="18">
        <v>30000</v>
      </c>
      <c r="I11" s="18">
        <v>100</v>
      </c>
      <c r="J11" s="17">
        <f t="shared" si="1"/>
        <v>3.0000000000000001E-3</v>
      </c>
      <c r="K11" s="18">
        <f t="shared" si="2"/>
        <v>90</v>
      </c>
      <c r="L11" s="103"/>
    </row>
    <row r="12" spans="1:12" x14ac:dyDescent="0.35">
      <c r="A12" s="24" t="s">
        <v>233</v>
      </c>
      <c r="B12" s="24" t="str">
        <f t="shared" si="0"/>
        <v>Bún mọcGiá</v>
      </c>
      <c r="C12" s="24" t="s">
        <v>8</v>
      </c>
      <c r="D12" t="s">
        <v>20</v>
      </c>
      <c r="E12" t="s">
        <v>29</v>
      </c>
      <c r="F12" t="s">
        <v>26</v>
      </c>
      <c r="G12" s="17">
        <v>2.5</v>
      </c>
      <c r="H12" s="18">
        <v>10000</v>
      </c>
      <c r="I12" s="18">
        <v>100</v>
      </c>
      <c r="J12" s="17">
        <f t="shared" si="1"/>
        <v>2.5000000000000001E-2</v>
      </c>
      <c r="K12" s="18">
        <f t="shared" si="2"/>
        <v>250</v>
      </c>
      <c r="L12" s="103"/>
    </row>
    <row r="13" spans="1:12" x14ac:dyDescent="0.35">
      <c r="A13" s="24" t="s">
        <v>233</v>
      </c>
      <c r="B13" s="24" t="str">
        <f t="shared" si="0"/>
        <v>Bún mọcHành lá</v>
      </c>
      <c r="C13" s="24" t="s">
        <v>8</v>
      </c>
      <c r="D13" t="s">
        <v>20</v>
      </c>
      <c r="E13" t="s">
        <v>29</v>
      </c>
      <c r="F13" t="s">
        <v>24</v>
      </c>
      <c r="G13" s="17">
        <v>0.4</v>
      </c>
      <c r="H13" s="18">
        <v>20000</v>
      </c>
      <c r="I13" s="18">
        <v>100</v>
      </c>
      <c r="J13" s="17">
        <f t="shared" si="1"/>
        <v>4.0000000000000001E-3</v>
      </c>
      <c r="K13" s="18">
        <f t="shared" si="2"/>
        <v>80</v>
      </c>
      <c r="L13" s="103"/>
    </row>
    <row r="14" spans="1:12" x14ac:dyDescent="0.35">
      <c r="A14" s="24" t="s">
        <v>233</v>
      </c>
      <c r="B14" s="24" t="str">
        <f t="shared" si="0"/>
        <v xml:space="preserve">Bún mọcChanh </v>
      </c>
      <c r="C14" s="24" t="s">
        <v>8</v>
      </c>
      <c r="D14" t="s">
        <v>20</v>
      </c>
      <c r="E14" t="s">
        <v>29</v>
      </c>
      <c r="F14" t="s">
        <v>36</v>
      </c>
      <c r="G14" s="17">
        <v>0.8</v>
      </c>
      <c r="H14" s="18">
        <v>26000</v>
      </c>
      <c r="I14" s="18">
        <v>100</v>
      </c>
      <c r="J14" s="17">
        <f t="shared" si="1"/>
        <v>8.0000000000000002E-3</v>
      </c>
      <c r="K14" s="18">
        <f t="shared" si="2"/>
        <v>208</v>
      </c>
      <c r="L14" s="103"/>
    </row>
    <row r="15" spans="1:12" x14ac:dyDescent="0.35">
      <c r="A15" s="24" t="s">
        <v>233</v>
      </c>
      <c r="B15" s="24" t="str">
        <f t="shared" si="0"/>
        <v xml:space="preserve">Bún mọcXà lách </v>
      </c>
      <c r="C15" s="24" t="s">
        <v>8</v>
      </c>
      <c r="D15" t="s">
        <v>20</v>
      </c>
      <c r="E15" t="s">
        <v>29</v>
      </c>
      <c r="F15" t="s">
        <v>38</v>
      </c>
      <c r="G15" s="17">
        <v>2</v>
      </c>
      <c r="H15" s="18">
        <v>22000</v>
      </c>
      <c r="I15" s="18">
        <v>100</v>
      </c>
      <c r="J15" s="17">
        <f t="shared" si="1"/>
        <v>0.02</v>
      </c>
      <c r="K15" s="18">
        <f t="shared" si="2"/>
        <v>440</v>
      </c>
      <c r="L15" s="103"/>
    </row>
    <row r="16" spans="1:12" x14ac:dyDescent="0.35">
      <c r="A16" s="24" t="s">
        <v>232</v>
      </c>
      <c r="B16" s="24" t="str">
        <f t="shared" si="0"/>
        <v>Mỳ Quảng Tôm ThịtHeo đùi mông</v>
      </c>
      <c r="C16" s="24" t="s">
        <v>8</v>
      </c>
      <c r="D16" t="s">
        <v>20</v>
      </c>
      <c r="E16" t="s">
        <v>296</v>
      </c>
      <c r="F16" t="s">
        <v>30</v>
      </c>
      <c r="G16" s="17">
        <v>4.5</v>
      </c>
      <c r="H16" s="18">
        <v>100000</v>
      </c>
      <c r="I16" s="18">
        <v>100</v>
      </c>
      <c r="J16" s="17">
        <f>G16/I16</f>
        <v>4.4999999999999998E-2</v>
      </c>
      <c r="K16" s="18">
        <f t="shared" si="2"/>
        <v>4500</v>
      </c>
      <c r="L16" s="101">
        <f>SUM(K16:K27)</f>
        <v>12238</v>
      </c>
    </row>
    <row r="17" spans="1:15" x14ac:dyDescent="0.35">
      <c r="A17" s="24" t="s">
        <v>232</v>
      </c>
      <c r="B17" s="24" t="str">
        <f t="shared" si="0"/>
        <v>Mỳ Quảng Tôm ThịtTrứng cút lột sẵn</v>
      </c>
      <c r="C17" s="24" t="s">
        <v>8</v>
      </c>
      <c r="D17" t="s">
        <v>20</v>
      </c>
      <c r="E17" t="s">
        <v>296</v>
      </c>
      <c r="F17" t="s">
        <v>390</v>
      </c>
      <c r="G17" s="17">
        <v>200</v>
      </c>
      <c r="H17" s="18">
        <v>600</v>
      </c>
      <c r="I17" s="18">
        <v>100</v>
      </c>
      <c r="J17" s="17">
        <f t="shared" si="1"/>
        <v>2</v>
      </c>
      <c r="K17" s="18">
        <f t="shared" si="2"/>
        <v>1200</v>
      </c>
      <c r="L17" s="102"/>
    </row>
    <row r="18" spans="1:15" x14ac:dyDescent="0.35">
      <c r="A18" s="24" t="s">
        <v>232</v>
      </c>
      <c r="B18" s="24" t="str">
        <f t="shared" si="0"/>
        <v>Mỳ Quảng Tôm ThịtTôm</v>
      </c>
      <c r="C18" s="24" t="s">
        <v>8</v>
      </c>
      <c r="D18" t="s">
        <v>20</v>
      </c>
      <c r="E18" t="s">
        <v>296</v>
      </c>
      <c r="F18" t="s">
        <v>37</v>
      </c>
      <c r="G18" s="17">
        <v>1.7</v>
      </c>
      <c r="H18" s="18">
        <v>100000</v>
      </c>
      <c r="I18" s="18">
        <v>100</v>
      </c>
      <c r="J18" s="17">
        <f t="shared" si="1"/>
        <v>1.7000000000000001E-2</v>
      </c>
      <c r="K18" s="18">
        <f t="shared" si="2"/>
        <v>1700</v>
      </c>
      <c r="L18" s="102"/>
    </row>
    <row r="19" spans="1:15" x14ac:dyDescent="0.35">
      <c r="A19" s="24" t="s">
        <v>233</v>
      </c>
      <c r="B19" s="24" t="str">
        <f t="shared" si="0"/>
        <v>Mỳ Quảng Tôm ThịtBánh phồng tôm</v>
      </c>
      <c r="C19" s="24" t="s">
        <v>8</v>
      </c>
      <c r="D19" t="s">
        <v>20</v>
      </c>
      <c r="E19" t="s">
        <v>296</v>
      </c>
      <c r="F19" t="s">
        <v>426</v>
      </c>
      <c r="G19" s="17">
        <v>3</v>
      </c>
      <c r="H19" s="18">
        <v>10000</v>
      </c>
      <c r="I19" s="18">
        <v>100</v>
      </c>
      <c r="J19" s="17">
        <f t="shared" si="1"/>
        <v>0.03</v>
      </c>
      <c r="K19" s="18">
        <f t="shared" si="2"/>
        <v>300</v>
      </c>
      <c r="L19" s="102"/>
    </row>
    <row r="20" spans="1:15" x14ac:dyDescent="0.35">
      <c r="A20" s="24" t="s">
        <v>233</v>
      </c>
      <c r="B20" s="24" t="str">
        <f t="shared" si="0"/>
        <v xml:space="preserve">Mỳ Quảng Tôm ThịtXà lách </v>
      </c>
      <c r="C20" s="24" t="s">
        <v>8</v>
      </c>
      <c r="D20" t="s">
        <v>20</v>
      </c>
      <c r="E20" t="s">
        <v>296</v>
      </c>
      <c r="F20" t="s">
        <v>38</v>
      </c>
      <c r="G20" s="17">
        <v>2</v>
      </c>
      <c r="H20" s="18">
        <v>22000</v>
      </c>
      <c r="I20" s="18">
        <v>100</v>
      </c>
      <c r="J20" s="17">
        <f t="shared" si="1"/>
        <v>0.02</v>
      </c>
      <c r="K20" s="18">
        <f t="shared" si="2"/>
        <v>440</v>
      </c>
      <c r="L20" s="102"/>
    </row>
    <row r="21" spans="1:15" x14ac:dyDescent="0.35">
      <c r="A21" s="24" t="s">
        <v>233</v>
      </c>
      <c r="B21" s="24" t="str">
        <f t="shared" si="0"/>
        <v>Mỳ Quảng Tôm ThịtSu trắng</v>
      </c>
      <c r="C21" s="24" t="s">
        <v>8</v>
      </c>
      <c r="D21" t="s">
        <v>20</v>
      </c>
      <c r="E21" t="s">
        <v>296</v>
      </c>
      <c r="F21" t="s">
        <v>39</v>
      </c>
      <c r="G21" s="17">
        <v>1</v>
      </c>
      <c r="H21" s="18">
        <v>10000</v>
      </c>
      <c r="I21" s="18">
        <v>100</v>
      </c>
      <c r="J21" s="17">
        <f t="shared" si="1"/>
        <v>0.01</v>
      </c>
      <c r="K21" s="18">
        <f t="shared" si="2"/>
        <v>100</v>
      </c>
      <c r="L21" s="102"/>
      <c r="N21" s="30"/>
    </row>
    <row r="22" spans="1:15" x14ac:dyDescent="0.35">
      <c r="A22" s="24" t="s">
        <v>233</v>
      </c>
      <c r="B22" s="24" t="str">
        <f t="shared" si="0"/>
        <v>Mỳ Quảng Tôm ThịtGiá</v>
      </c>
      <c r="C22" s="24" t="s">
        <v>8</v>
      </c>
      <c r="D22" t="s">
        <v>20</v>
      </c>
      <c r="E22" t="s">
        <v>296</v>
      </c>
      <c r="F22" s="24" t="s">
        <v>26</v>
      </c>
      <c r="G22" s="17">
        <v>2.5</v>
      </c>
      <c r="H22" s="18">
        <v>10000</v>
      </c>
      <c r="I22" s="18">
        <v>100</v>
      </c>
      <c r="J22" s="17">
        <f t="shared" si="1"/>
        <v>2.5000000000000001E-2</v>
      </c>
      <c r="K22" s="18">
        <f t="shared" si="2"/>
        <v>250</v>
      </c>
      <c r="L22" s="102"/>
    </row>
    <row r="23" spans="1:15" x14ac:dyDescent="0.35">
      <c r="A23" s="24" t="s">
        <v>233</v>
      </c>
      <c r="B23" s="24" t="str">
        <f t="shared" si="0"/>
        <v>Mỳ Quảng Tôm ThịtHành lá</v>
      </c>
      <c r="C23" s="24" t="s">
        <v>8</v>
      </c>
      <c r="D23" t="s">
        <v>20</v>
      </c>
      <c r="E23" t="s">
        <v>296</v>
      </c>
      <c r="F23" t="s">
        <v>24</v>
      </c>
      <c r="G23" s="17">
        <v>0.4</v>
      </c>
      <c r="H23" s="18">
        <v>20000</v>
      </c>
      <c r="I23" s="18">
        <v>100</v>
      </c>
      <c r="J23" s="17">
        <f t="shared" si="1"/>
        <v>4.0000000000000001E-3</v>
      </c>
      <c r="K23" s="18">
        <f t="shared" si="2"/>
        <v>80</v>
      </c>
      <c r="L23" s="102"/>
    </row>
    <row r="24" spans="1:15" x14ac:dyDescent="0.35">
      <c r="A24" s="24" t="s">
        <v>233</v>
      </c>
      <c r="B24" s="24" t="str">
        <f t="shared" si="0"/>
        <v>Mỳ Quảng Tôm ThịtNgò gai</v>
      </c>
      <c r="C24" s="24" t="s">
        <v>8</v>
      </c>
      <c r="D24" t="s">
        <v>20</v>
      </c>
      <c r="E24" t="s">
        <v>296</v>
      </c>
      <c r="F24" t="s">
        <v>101</v>
      </c>
      <c r="G24" s="17">
        <v>0.2</v>
      </c>
      <c r="H24" s="18">
        <v>35000</v>
      </c>
      <c r="I24" s="18">
        <v>100</v>
      </c>
      <c r="J24" s="17">
        <f t="shared" si="1"/>
        <v>2E-3</v>
      </c>
      <c r="K24" s="18">
        <f t="shared" si="2"/>
        <v>70</v>
      </c>
      <c r="L24" s="102"/>
    </row>
    <row r="25" spans="1:15" x14ac:dyDescent="0.35">
      <c r="A25" s="24" t="s">
        <v>233</v>
      </c>
      <c r="B25" s="24" t="str">
        <f t="shared" si="0"/>
        <v>Mỳ Quảng Tôm ThịtQuế</v>
      </c>
      <c r="C25" s="24" t="s">
        <v>8</v>
      </c>
      <c r="D25" t="s">
        <v>20</v>
      </c>
      <c r="E25" t="s">
        <v>296</v>
      </c>
      <c r="F25" t="s">
        <v>40</v>
      </c>
      <c r="G25" s="17">
        <v>0.3</v>
      </c>
      <c r="H25" s="18">
        <v>30000</v>
      </c>
      <c r="I25" s="18">
        <v>100</v>
      </c>
      <c r="J25" s="17">
        <f t="shared" si="1"/>
        <v>3.0000000000000001E-3</v>
      </c>
      <c r="K25" s="18">
        <f t="shared" si="2"/>
        <v>90</v>
      </c>
      <c r="L25" s="102"/>
    </row>
    <row r="26" spans="1:15" x14ac:dyDescent="0.35">
      <c r="A26" s="24" t="s">
        <v>233</v>
      </c>
      <c r="B26" s="24" t="str">
        <f t="shared" si="0"/>
        <v>Mỳ Quảng Tôm ThịtChanh</v>
      </c>
      <c r="C26" s="24" t="s">
        <v>8</v>
      </c>
      <c r="D26" t="s">
        <v>20</v>
      </c>
      <c r="E26" t="s">
        <v>296</v>
      </c>
      <c r="F26" t="s">
        <v>25</v>
      </c>
      <c r="G26" s="17">
        <v>0.8</v>
      </c>
      <c r="H26" s="18">
        <v>26000</v>
      </c>
      <c r="I26" s="18">
        <v>100</v>
      </c>
      <c r="J26" s="17">
        <f t="shared" si="1"/>
        <v>8.0000000000000002E-3</v>
      </c>
      <c r="K26" s="18">
        <f t="shared" si="2"/>
        <v>208</v>
      </c>
      <c r="L26" s="102"/>
    </row>
    <row r="27" spans="1:15" x14ac:dyDescent="0.35">
      <c r="A27" s="24" t="s">
        <v>233</v>
      </c>
      <c r="B27" s="24" t="str">
        <f t="shared" si="0"/>
        <v>Mỳ Quảng Tôm ThịtMỳ tươi</v>
      </c>
      <c r="C27" s="24" t="s">
        <v>8</v>
      </c>
      <c r="D27" t="s">
        <v>20</v>
      </c>
      <c r="E27" t="s">
        <v>296</v>
      </c>
      <c r="F27" t="s">
        <v>389</v>
      </c>
      <c r="G27" s="17">
        <v>33</v>
      </c>
      <c r="H27" s="18">
        <v>10000</v>
      </c>
      <c r="I27" s="18">
        <v>100</v>
      </c>
      <c r="J27" s="17">
        <f t="shared" si="1"/>
        <v>0.33</v>
      </c>
      <c r="K27" s="18">
        <f t="shared" si="2"/>
        <v>3300</v>
      </c>
      <c r="L27" s="102"/>
    </row>
    <row r="28" spans="1:15" ht="15.5" x14ac:dyDescent="0.35">
      <c r="A28" s="24" t="s">
        <v>232</v>
      </c>
      <c r="B28" s="24" t="str">
        <f t="shared" si="0"/>
        <v>Mỳ Quảng Tôm Thịtcua đồng</v>
      </c>
      <c r="C28" s="24" t="s">
        <v>8</v>
      </c>
      <c r="D28" t="s">
        <v>20</v>
      </c>
      <c r="E28" t="s">
        <v>296</v>
      </c>
      <c r="F28" t="s">
        <v>476</v>
      </c>
      <c r="G28" s="17">
        <v>0.5</v>
      </c>
      <c r="H28" s="18">
        <v>50000</v>
      </c>
      <c r="I28" s="18">
        <v>100</v>
      </c>
      <c r="J28" s="17">
        <f t="shared" si="1"/>
        <v>5.0000000000000001E-3</v>
      </c>
      <c r="K28" s="18">
        <f t="shared" si="2"/>
        <v>250</v>
      </c>
      <c r="L28" s="100"/>
    </row>
    <row r="29" spans="1:15" x14ac:dyDescent="0.35">
      <c r="A29" s="24" t="s">
        <v>232</v>
      </c>
      <c r="B29" s="24" t="str">
        <f t="shared" si="0"/>
        <v>Cá kình kho thơmCá kình</v>
      </c>
      <c r="C29" s="24" t="s">
        <v>8</v>
      </c>
      <c r="D29" t="s">
        <v>18</v>
      </c>
      <c r="E29" t="s">
        <v>43</v>
      </c>
      <c r="F29" t="s">
        <v>44</v>
      </c>
      <c r="G29" s="17">
        <v>12</v>
      </c>
      <c r="H29" s="18">
        <v>40000</v>
      </c>
      <c r="I29" s="18">
        <v>100</v>
      </c>
      <c r="J29" s="17">
        <f t="shared" si="1"/>
        <v>0.12</v>
      </c>
      <c r="K29" s="18">
        <f t="shared" si="2"/>
        <v>4800</v>
      </c>
      <c r="L29" s="104" t="e">
        <f>SUM(K29:K36,#REF!)</f>
        <v>#REF!</v>
      </c>
      <c r="M29" s="106" t="s">
        <v>65</v>
      </c>
    </row>
    <row r="30" spans="1:15" x14ac:dyDescent="0.35">
      <c r="A30" s="24" t="s">
        <v>233</v>
      </c>
      <c r="B30" s="24" t="str">
        <f t="shared" si="0"/>
        <v>Cá kình kho thơmThơm</v>
      </c>
      <c r="C30" s="24" t="s">
        <v>8</v>
      </c>
      <c r="D30" t="s">
        <v>18</v>
      </c>
      <c r="E30" t="s">
        <v>43</v>
      </c>
      <c r="F30" t="s">
        <v>4</v>
      </c>
      <c r="G30" s="17">
        <v>7</v>
      </c>
      <c r="H30" s="18">
        <v>18000</v>
      </c>
      <c r="I30" s="18">
        <v>300</v>
      </c>
      <c r="J30" s="17">
        <f t="shared" si="1"/>
        <v>2.3333333333333334E-2</v>
      </c>
      <c r="K30" s="18">
        <f t="shared" si="2"/>
        <v>420</v>
      </c>
      <c r="L30" s="105"/>
      <c r="M30" s="106"/>
    </row>
    <row r="31" spans="1:15" x14ac:dyDescent="0.35">
      <c r="A31" s="24" t="s">
        <v>232</v>
      </c>
      <c r="B31" s="24" t="str">
        <f t="shared" si="0"/>
        <v>Thịt heo luộc giá chuaThịt đùi mông</v>
      </c>
      <c r="C31" s="24" t="s">
        <v>8</v>
      </c>
      <c r="D31" t="s">
        <v>45</v>
      </c>
      <c r="E31" t="s">
        <v>176</v>
      </c>
      <c r="F31" t="s">
        <v>46</v>
      </c>
      <c r="G31" s="17">
        <v>4.5</v>
      </c>
      <c r="H31" s="18">
        <v>100000</v>
      </c>
      <c r="I31" s="18">
        <v>100</v>
      </c>
      <c r="J31" s="17">
        <f t="shared" si="1"/>
        <v>4.4999999999999998E-2</v>
      </c>
      <c r="K31" s="18">
        <f t="shared" si="2"/>
        <v>4500</v>
      </c>
      <c r="L31" s="105"/>
      <c r="M31" s="106"/>
      <c r="N31" s="26"/>
      <c r="O31" s="26"/>
    </row>
    <row r="32" spans="1:15" x14ac:dyDescent="0.35">
      <c r="A32" s="24" t="s">
        <v>233</v>
      </c>
      <c r="B32" s="24" t="str">
        <f t="shared" si="0"/>
        <v>Thịt heo luộc giá chuaHành lá</v>
      </c>
      <c r="C32" s="24" t="s">
        <v>8</v>
      </c>
      <c r="D32" t="s">
        <v>45</v>
      </c>
      <c r="E32" t="s">
        <v>176</v>
      </c>
      <c r="F32" t="s">
        <v>24</v>
      </c>
      <c r="G32" s="17">
        <v>0.3</v>
      </c>
      <c r="H32" s="18">
        <v>18000</v>
      </c>
      <c r="I32" s="18">
        <v>100</v>
      </c>
      <c r="J32" s="17">
        <f t="shared" si="1"/>
        <v>3.0000000000000001E-3</v>
      </c>
      <c r="K32" s="18">
        <f t="shared" si="2"/>
        <v>54</v>
      </c>
      <c r="L32" s="105"/>
      <c r="M32" s="106"/>
      <c r="N32" s="26"/>
      <c r="O32" s="26"/>
    </row>
    <row r="33" spans="1:15" x14ac:dyDescent="0.35">
      <c r="A33" s="24" t="s">
        <v>233</v>
      </c>
      <c r="B33" s="24" t="str">
        <f t="shared" si="0"/>
        <v>Thịt heo luộc giá chuaGiá</v>
      </c>
      <c r="C33" s="24" t="s">
        <v>8</v>
      </c>
      <c r="D33" t="s">
        <v>45</v>
      </c>
      <c r="E33" t="s">
        <v>176</v>
      </c>
      <c r="F33" t="s">
        <v>26</v>
      </c>
      <c r="G33" s="17">
        <v>4</v>
      </c>
      <c r="H33" s="18">
        <v>10000</v>
      </c>
      <c r="I33" s="18">
        <v>100</v>
      </c>
      <c r="J33" s="17">
        <f t="shared" si="1"/>
        <v>0.04</v>
      </c>
      <c r="K33" s="18">
        <f t="shared" si="2"/>
        <v>400</v>
      </c>
      <c r="L33" s="105"/>
      <c r="M33" s="106"/>
      <c r="N33" s="79"/>
      <c r="O33" s="26"/>
    </row>
    <row r="34" spans="1:15" x14ac:dyDescent="0.35">
      <c r="A34" s="24" t="s">
        <v>233</v>
      </c>
      <c r="B34" s="24" t="str">
        <f t="shared" si="0"/>
        <v>Thịt heo luộc giá chuaCà rốt</v>
      </c>
      <c r="C34" s="24" t="s">
        <v>8</v>
      </c>
      <c r="D34" t="s">
        <v>45</v>
      </c>
      <c r="E34" t="s">
        <v>176</v>
      </c>
      <c r="F34" t="s">
        <v>78</v>
      </c>
      <c r="G34" s="17">
        <v>1</v>
      </c>
      <c r="H34" s="18">
        <v>15000</v>
      </c>
      <c r="I34" s="18">
        <v>100</v>
      </c>
      <c r="J34" s="17">
        <f t="shared" si="1"/>
        <v>0.01</v>
      </c>
      <c r="K34" s="18">
        <f t="shared" si="2"/>
        <v>150</v>
      </c>
      <c r="L34" s="105"/>
      <c r="M34" s="106"/>
    </row>
    <row r="35" spans="1:15" x14ac:dyDescent="0.35">
      <c r="A35" s="24" t="s">
        <v>233</v>
      </c>
      <c r="B35" s="24" t="str">
        <f t="shared" si="0"/>
        <v>Rau xào thập cẩmRau thập cẩm</v>
      </c>
      <c r="C35" s="24" t="s">
        <v>8</v>
      </c>
      <c r="D35" t="s">
        <v>47</v>
      </c>
      <c r="E35" t="s">
        <v>10</v>
      </c>
      <c r="F35" t="s">
        <v>11</v>
      </c>
      <c r="G35" s="17">
        <v>35</v>
      </c>
      <c r="H35" s="18">
        <v>16000</v>
      </c>
      <c r="I35" s="18">
        <v>438</v>
      </c>
      <c r="J35" s="17">
        <f t="shared" si="1"/>
        <v>7.9908675799086754E-2</v>
      </c>
      <c r="K35" s="18">
        <f t="shared" si="2"/>
        <v>1278.538812785388</v>
      </c>
      <c r="L35" s="105"/>
      <c r="M35" s="106"/>
    </row>
    <row r="36" spans="1:15" x14ac:dyDescent="0.35">
      <c r="A36" s="24" t="s">
        <v>233</v>
      </c>
      <c r="B36" s="24" t="str">
        <f t="shared" si="0"/>
        <v>Sữa chuaSữa chua</v>
      </c>
      <c r="C36" s="24" t="s">
        <v>8</v>
      </c>
      <c r="D36" t="s">
        <v>52</v>
      </c>
      <c r="E36" t="s">
        <v>51</v>
      </c>
      <c r="F36" t="s">
        <v>51</v>
      </c>
      <c r="G36" s="17">
        <v>290</v>
      </c>
      <c r="H36" s="18">
        <v>4620</v>
      </c>
      <c r="I36" s="18">
        <v>290</v>
      </c>
      <c r="J36" s="17">
        <f t="shared" si="1"/>
        <v>1</v>
      </c>
      <c r="K36" s="18">
        <f t="shared" si="2"/>
        <v>4620</v>
      </c>
      <c r="L36" s="105"/>
      <c r="M36" s="106"/>
    </row>
    <row r="37" spans="1:15" x14ac:dyDescent="0.35">
      <c r="A37" s="24" t="s">
        <v>232</v>
      </c>
      <c r="B37" s="24" t="str">
        <f t="shared" si="0"/>
        <v>Cá nục kho xì dầuCá nục</v>
      </c>
      <c r="C37" s="24" t="s">
        <v>8</v>
      </c>
      <c r="D37" t="s">
        <v>53</v>
      </c>
      <c r="E37" t="s">
        <v>54</v>
      </c>
      <c r="F37" t="s">
        <v>55</v>
      </c>
      <c r="G37" s="17">
        <v>10</v>
      </c>
      <c r="H37" s="18">
        <v>43000</v>
      </c>
      <c r="I37" s="18">
        <v>75</v>
      </c>
      <c r="J37" s="17">
        <f t="shared" si="1"/>
        <v>0.13333333333333333</v>
      </c>
      <c r="K37" s="18">
        <f t="shared" si="2"/>
        <v>5733.333333333333</v>
      </c>
      <c r="L37" s="27" t="e">
        <f>SUM(K31:K37,#REF!)</f>
        <v>#REF!</v>
      </c>
      <c r="M37" t="s">
        <v>66</v>
      </c>
    </row>
    <row r="38" spans="1:15" ht="15" customHeight="1" x14ac:dyDescent="0.35">
      <c r="A38" s="24" t="s">
        <v>232</v>
      </c>
      <c r="B38" s="24" t="str">
        <f t="shared" si="0"/>
        <v>Cá chim kho càCá chim</v>
      </c>
      <c r="C38" s="24" t="s">
        <v>8</v>
      </c>
      <c r="D38" t="s">
        <v>18</v>
      </c>
      <c r="E38" t="s">
        <v>56</v>
      </c>
      <c r="F38" t="s">
        <v>57</v>
      </c>
      <c r="G38" s="17">
        <v>23</v>
      </c>
      <c r="H38" s="18">
        <v>37000</v>
      </c>
      <c r="I38" s="18">
        <v>134</v>
      </c>
      <c r="J38" s="17">
        <f t="shared" si="1"/>
        <v>0.17164179104477612</v>
      </c>
      <c r="K38" s="18">
        <f t="shared" si="2"/>
        <v>6350.746268656716</v>
      </c>
      <c r="L38" s="107">
        <f>SUM(K36,K38:K45)</f>
        <v>18183.598770851622</v>
      </c>
      <c r="M38" s="106" t="s">
        <v>67</v>
      </c>
    </row>
    <row r="39" spans="1:15" x14ac:dyDescent="0.35">
      <c r="A39" s="24" t="s">
        <v>233</v>
      </c>
      <c r="B39" s="24" t="str">
        <f t="shared" si="0"/>
        <v>Cá chim kho càCà chua</v>
      </c>
      <c r="C39" s="24" t="s">
        <v>8</v>
      </c>
      <c r="D39" t="s">
        <v>18</v>
      </c>
      <c r="E39" t="s">
        <v>56</v>
      </c>
      <c r="F39" t="s">
        <v>14</v>
      </c>
      <c r="G39" s="17">
        <v>3</v>
      </c>
      <c r="H39" s="18">
        <v>20000</v>
      </c>
      <c r="I39" s="18">
        <v>134</v>
      </c>
      <c r="J39" s="17">
        <f t="shared" si="1"/>
        <v>2.2388059701492536E-2</v>
      </c>
      <c r="K39" s="18">
        <f t="shared" si="2"/>
        <v>447.76119402985074</v>
      </c>
      <c r="L39" s="107"/>
      <c r="M39" s="106"/>
    </row>
    <row r="40" spans="1:15" x14ac:dyDescent="0.35">
      <c r="A40" s="24" t="s">
        <v>232</v>
      </c>
      <c r="B40" s="24" t="str">
        <f t="shared" si="0"/>
        <v>Tôm thịt rimTôm</v>
      </c>
      <c r="C40" s="24" t="s">
        <v>8</v>
      </c>
      <c r="D40" t="s">
        <v>18</v>
      </c>
      <c r="E40" t="s">
        <v>58</v>
      </c>
      <c r="F40" t="s">
        <v>37</v>
      </c>
      <c r="G40" s="17">
        <v>2.5</v>
      </c>
      <c r="H40" s="18">
        <v>115000</v>
      </c>
      <c r="I40" s="18">
        <v>134</v>
      </c>
      <c r="J40" s="17">
        <f t="shared" si="1"/>
        <v>1.8656716417910446E-2</v>
      </c>
      <c r="K40" s="18">
        <f t="shared" si="2"/>
        <v>2145.5223880597014</v>
      </c>
      <c r="L40" s="107"/>
      <c r="M40" s="106"/>
    </row>
    <row r="41" spans="1:15" x14ac:dyDescent="0.35">
      <c r="A41" s="24" t="s">
        <v>232</v>
      </c>
      <c r="B41" s="24" t="str">
        <f t="shared" si="0"/>
        <v>Tôm thịt rimThịt nọng</v>
      </c>
      <c r="C41" s="24" t="s">
        <v>8</v>
      </c>
      <c r="D41" t="s">
        <v>18</v>
      </c>
      <c r="E41" t="s">
        <v>58</v>
      </c>
      <c r="F41" t="s">
        <v>59</v>
      </c>
      <c r="G41" s="17">
        <v>1.5</v>
      </c>
      <c r="H41" s="18">
        <v>60000</v>
      </c>
      <c r="I41" s="18">
        <v>134</v>
      </c>
      <c r="J41" s="17">
        <f t="shared" si="1"/>
        <v>1.1194029850746268E-2</v>
      </c>
      <c r="K41" s="18">
        <f t="shared" si="2"/>
        <v>671.64179104477614</v>
      </c>
      <c r="L41" s="107"/>
      <c r="M41" s="106"/>
    </row>
    <row r="42" spans="1:15" x14ac:dyDescent="0.35">
      <c r="A42" s="24" t="s">
        <v>232</v>
      </c>
      <c r="B42" s="24" t="str">
        <f t="shared" si="0"/>
        <v>Tôm thịt rimNạc vai</v>
      </c>
      <c r="C42" s="24" t="s">
        <v>8</v>
      </c>
      <c r="D42" t="s">
        <v>18</v>
      </c>
      <c r="E42" t="s">
        <v>58</v>
      </c>
      <c r="F42" t="s">
        <v>60</v>
      </c>
      <c r="G42" s="17">
        <v>3.5</v>
      </c>
      <c r="H42" s="18">
        <v>100000</v>
      </c>
      <c r="I42" s="18">
        <v>134</v>
      </c>
      <c r="J42" s="17">
        <f t="shared" si="1"/>
        <v>2.6119402985074626E-2</v>
      </c>
      <c r="K42" s="18">
        <f t="shared" si="2"/>
        <v>2611.9402985074626</v>
      </c>
      <c r="L42" s="107"/>
      <c r="M42" s="106"/>
    </row>
    <row r="43" spans="1:15" x14ac:dyDescent="0.35">
      <c r="A43" s="24" t="s">
        <v>233</v>
      </c>
      <c r="B43" s="24" t="str">
        <f t="shared" si="0"/>
        <v>Bí đao nấu tômBí đao</v>
      </c>
      <c r="C43" s="24" t="s">
        <v>8</v>
      </c>
      <c r="D43" t="s">
        <v>48</v>
      </c>
      <c r="E43" t="s">
        <v>61</v>
      </c>
      <c r="F43" t="s">
        <v>62</v>
      </c>
      <c r="G43" s="17">
        <v>5</v>
      </c>
      <c r="H43" s="18">
        <v>9000</v>
      </c>
      <c r="I43" s="18">
        <v>136</v>
      </c>
      <c r="J43" s="17">
        <f t="shared" si="1"/>
        <v>3.6764705882352942E-2</v>
      </c>
      <c r="K43" s="18">
        <f t="shared" si="2"/>
        <v>330.88235294117646</v>
      </c>
      <c r="L43" s="107"/>
      <c r="M43" s="106"/>
    </row>
    <row r="44" spans="1:15" x14ac:dyDescent="0.35">
      <c r="A44" s="24" t="s">
        <v>232</v>
      </c>
      <c r="B44" s="24" t="str">
        <f t="shared" si="0"/>
        <v>Bí đao nấu tômTôm</v>
      </c>
      <c r="C44" s="24" t="s">
        <v>8</v>
      </c>
      <c r="D44" t="s">
        <v>48</v>
      </c>
      <c r="E44" t="s">
        <v>61</v>
      </c>
      <c r="F44" t="s">
        <v>37</v>
      </c>
      <c r="G44" s="17">
        <v>0.5</v>
      </c>
      <c r="H44" s="18">
        <v>115000</v>
      </c>
      <c r="I44" s="18">
        <v>134</v>
      </c>
      <c r="J44" s="17">
        <f t="shared" si="1"/>
        <v>3.7313432835820895E-3</v>
      </c>
      <c r="K44" s="18">
        <f t="shared" si="2"/>
        <v>429.1044776119403</v>
      </c>
      <c r="L44" s="107"/>
      <c r="M44" s="106"/>
    </row>
    <row r="45" spans="1:15" x14ac:dyDescent="0.35">
      <c r="A45" s="24" t="s">
        <v>233</v>
      </c>
      <c r="B45" s="24" t="str">
        <f t="shared" si="0"/>
        <v>Rau muống xào tỏiRau muống</v>
      </c>
      <c r="C45" s="24" t="s">
        <v>8</v>
      </c>
      <c r="D45" t="s">
        <v>47</v>
      </c>
      <c r="E45" t="s">
        <v>63</v>
      </c>
      <c r="F45" t="s">
        <v>64</v>
      </c>
      <c r="G45" s="17">
        <v>12</v>
      </c>
      <c r="H45" s="18">
        <v>6000</v>
      </c>
      <c r="I45" s="18">
        <v>125</v>
      </c>
      <c r="J45" s="17">
        <f t="shared" si="1"/>
        <v>9.6000000000000002E-2</v>
      </c>
      <c r="K45" s="18">
        <f t="shared" si="2"/>
        <v>576</v>
      </c>
      <c r="L45" s="107"/>
      <c r="M45" s="106"/>
    </row>
    <row r="46" spans="1:15" x14ac:dyDescent="0.35">
      <c r="A46" s="24" t="s">
        <v>232</v>
      </c>
      <c r="B46" s="24" t="str">
        <f t="shared" si="0"/>
        <v>Gỏi gà xéMá đùi gà</v>
      </c>
      <c r="C46" s="24" t="s">
        <v>8</v>
      </c>
      <c r="D46" t="s">
        <v>53</v>
      </c>
      <c r="E46" t="s">
        <v>68</v>
      </c>
      <c r="F46" t="s">
        <v>456</v>
      </c>
      <c r="G46" s="17">
        <v>8.5</v>
      </c>
      <c r="H46" s="18">
        <v>40000</v>
      </c>
      <c r="I46" s="18">
        <v>100</v>
      </c>
      <c r="J46" s="17">
        <f t="shared" si="1"/>
        <v>8.5000000000000006E-2</v>
      </c>
      <c r="K46" s="18">
        <f t="shared" si="2"/>
        <v>3400</v>
      </c>
      <c r="L46" s="104">
        <f>SUM(K46:K52,K55,K56,K57,K58,K59,K60)</f>
        <v>10069.49999032591</v>
      </c>
      <c r="M46" s="108" t="s">
        <v>80</v>
      </c>
    </row>
    <row r="47" spans="1:15" x14ac:dyDescent="0.35">
      <c r="A47" s="24" t="s">
        <v>233</v>
      </c>
      <c r="B47" s="24" t="str">
        <f t="shared" si="0"/>
        <v>Gỏi gà xéSu tím</v>
      </c>
      <c r="C47" s="24" t="s">
        <v>8</v>
      </c>
      <c r="D47" t="s">
        <v>53</v>
      </c>
      <c r="E47" t="s">
        <v>68</v>
      </c>
      <c r="F47" t="s">
        <v>22</v>
      </c>
      <c r="G47" s="17">
        <v>8</v>
      </c>
      <c r="H47" s="18">
        <v>14000</v>
      </c>
      <c r="I47" s="18">
        <v>404</v>
      </c>
      <c r="J47" s="17">
        <f t="shared" si="1"/>
        <v>1.9801980198019802E-2</v>
      </c>
      <c r="K47" s="18">
        <f t="shared" si="2"/>
        <v>277.22772277227722</v>
      </c>
      <c r="L47" s="105"/>
      <c r="M47" s="108"/>
    </row>
    <row r="48" spans="1:15" x14ac:dyDescent="0.35">
      <c r="A48" s="24" t="s">
        <v>233</v>
      </c>
      <c r="B48" s="24" t="str">
        <f t="shared" si="0"/>
        <v>Gỏi gà xéSu trắng</v>
      </c>
      <c r="C48" s="24" t="s">
        <v>8</v>
      </c>
      <c r="D48" t="s">
        <v>53</v>
      </c>
      <c r="E48" t="s">
        <v>68</v>
      </c>
      <c r="F48" t="s">
        <v>39</v>
      </c>
      <c r="G48" s="17">
        <v>10</v>
      </c>
      <c r="H48" s="18">
        <v>10000</v>
      </c>
      <c r="I48" s="18">
        <v>404</v>
      </c>
      <c r="J48" s="17">
        <f t="shared" si="1"/>
        <v>2.4752475247524754E-2</v>
      </c>
      <c r="K48" s="18">
        <f t="shared" si="2"/>
        <v>247.52475247524754</v>
      </c>
      <c r="L48" s="105"/>
      <c r="M48" s="108"/>
    </row>
    <row r="49" spans="1:13" x14ac:dyDescent="0.35">
      <c r="A49" s="24" t="s">
        <v>233</v>
      </c>
      <c r="B49" s="24" t="str">
        <f t="shared" si="0"/>
        <v>Gỏi gà xéRau răm</v>
      </c>
      <c r="C49" s="24" t="s">
        <v>8</v>
      </c>
      <c r="D49" t="s">
        <v>53</v>
      </c>
      <c r="E49" t="s">
        <v>68</v>
      </c>
      <c r="F49" t="s">
        <v>69</v>
      </c>
      <c r="G49" s="17">
        <v>1.5</v>
      </c>
      <c r="H49" s="18">
        <v>20000</v>
      </c>
      <c r="I49" s="18">
        <v>404</v>
      </c>
      <c r="J49" s="17">
        <f t="shared" si="1"/>
        <v>3.7128712871287127E-3</v>
      </c>
      <c r="K49" s="18">
        <f t="shared" si="2"/>
        <v>74.257425742574256</v>
      </c>
      <c r="L49" s="105"/>
      <c r="M49" s="108"/>
    </row>
    <row r="50" spans="1:13" x14ac:dyDescent="0.35">
      <c r="A50" s="24" t="s">
        <v>233</v>
      </c>
      <c r="B50" s="24" t="str">
        <f t="shared" si="0"/>
        <v>Gỏi gà xéCà Rốt</v>
      </c>
      <c r="C50" s="24" t="s">
        <v>8</v>
      </c>
      <c r="D50" t="s">
        <v>53</v>
      </c>
      <c r="E50" t="s">
        <v>68</v>
      </c>
      <c r="F50" t="s">
        <v>70</v>
      </c>
      <c r="G50" s="17">
        <v>10</v>
      </c>
      <c r="H50" s="18">
        <v>15000</v>
      </c>
      <c r="I50" s="18">
        <v>404</v>
      </c>
      <c r="J50" s="17">
        <f t="shared" si="1"/>
        <v>2.4752475247524754E-2</v>
      </c>
      <c r="K50" s="18">
        <f t="shared" si="2"/>
        <v>371.28712871287127</v>
      </c>
      <c r="L50" s="105"/>
      <c r="M50" s="108"/>
    </row>
    <row r="51" spans="1:13" x14ac:dyDescent="0.35">
      <c r="A51" s="24" t="s">
        <v>233</v>
      </c>
      <c r="B51" s="24" t="str">
        <f t="shared" si="0"/>
        <v>Mướp xào giáMướp</v>
      </c>
      <c r="C51" s="24" t="s">
        <v>8</v>
      </c>
      <c r="D51" t="s">
        <v>47</v>
      </c>
      <c r="E51" t="s">
        <v>71</v>
      </c>
      <c r="F51" t="s">
        <v>72</v>
      </c>
      <c r="G51" s="17">
        <v>32</v>
      </c>
      <c r="H51" s="18">
        <v>10000</v>
      </c>
      <c r="I51" s="18">
        <v>433</v>
      </c>
      <c r="J51" s="17">
        <f t="shared" si="1"/>
        <v>7.3903002309468821E-2</v>
      </c>
      <c r="K51" s="18">
        <f t="shared" si="2"/>
        <v>739.0300230946882</v>
      </c>
      <c r="L51" s="105"/>
      <c r="M51" s="108"/>
    </row>
    <row r="52" spans="1:13" x14ac:dyDescent="0.35">
      <c r="A52" s="24" t="s">
        <v>233</v>
      </c>
      <c r="B52" s="24" t="str">
        <f t="shared" si="0"/>
        <v>Mướp xào giáGiá</v>
      </c>
      <c r="C52" s="24" t="s">
        <v>8</v>
      </c>
      <c r="D52" t="s">
        <v>47</v>
      </c>
      <c r="E52" t="s">
        <v>71</v>
      </c>
      <c r="F52" t="s">
        <v>26</v>
      </c>
      <c r="G52" s="17">
        <v>17</v>
      </c>
      <c r="H52" s="18">
        <v>10000</v>
      </c>
      <c r="I52" s="18">
        <v>433</v>
      </c>
      <c r="J52" s="17">
        <f t="shared" si="1"/>
        <v>3.9260969976905313E-2</v>
      </c>
      <c r="K52" s="18">
        <f t="shared" si="2"/>
        <v>392.60969976905312</v>
      </c>
      <c r="L52" s="105"/>
      <c r="M52" s="108"/>
    </row>
    <row r="53" spans="1:13" x14ac:dyDescent="0.35">
      <c r="A53" s="24" t="s">
        <v>232</v>
      </c>
      <c r="B53" s="24" t="str">
        <f t="shared" si="0"/>
        <v>Chả cá sốt càChả cá</v>
      </c>
      <c r="C53" s="24" t="s">
        <v>8</v>
      </c>
      <c r="D53" t="s">
        <v>19</v>
      </c>
      <c r="E53" t="s">
        <v>73</v>
      </c>
      <c r="F53" t="s">
        <v>74</v>
      </c>
      <c r="G53" s="17">
        <v>270</v>
      </c>
      <c r="H53" s="18">
        <v>1000</v>
      </c>
      <c r="I53" s="18">
        <v>113</v>
      </c>
      <c r="J53" s="17">
        <f t="shared" si="1"/>
        <v>2.3893805309734515</v>
      </c>
      <c r="K53" s="18">
        <f t="shared" si="2"/>
        <v>2389.3805309734512</v>
      </c>
      <c r="L53" s="105"/>
      <c r="M53" s="108"/>
    </row>
    <row r="54" spans="1:13" x14ac:dyDescent="0.35">
      <c r="A54" s="24" t="s">
        <v>233</v>
      </c>
      <c r="B54" s="24" t="str">
        <f t="shared" si="0"/>
        <v>Chả cá sốt càCà chua</v>
      </c>
      <c r="C54" s="24" t="s">
        <v>8</v>
      </c>
      <c r="D54" t="s">
        <v>19</v>
      </c>
      <c r="E54" t="s">
        <v>73</v>
      </c>
      <c r="F54" t="s">
        <v>14</v>
      </c>
      <c r="G54" s="17">
        <v>3</v>
      </c>
      <c r="H54" s="18">
        <v>20000</v>
      </c>
      <c r="I54" s="18">
        <v>113</v>
      </c>
      <c r="J54" s="17">
        <f t="shared" si="1"/>
        <v>2.6548672566371681E-2</v>
      </c>
      <c r="K54" s="18">
        <f t="shared" si="2"/>
        <v>530.97345132743362</v>
      </c>
      <c r="L54" s="101">
        <f>SUM(K46:K60)</f>
        <v>12989.853972626797</v>
      </c>
      <c r="M54" s="106" t="s">
        <v>81</v>
      </c>
    </row>
    <row r="55" spans="1:13" x14ac:dyDescent="0.35">
      <c r="A55" s="24" t="s">
        <v>233</v>
      </c>
      <c r="B55" s="24" t="str">
        <f t="shared" si="0"/>
        <v>Dưa mónDưa món</v>
      </c>
      <c r="C55" s="24" t="s">
        <v>8</v>
      </c>
      <c r="D55" t="s">
        <v>157</v>
      </c>
      <c r="E55" t="s">
        <v>75</v>
      </c>
      <c r="F55" t="s">
        <v>75</v>
      </c>
      <c r="G55" s="17">
        <v>3</v>
      </c>
      <c r="H55" s="18">
        <v>18000</v>
      </c>
      <c r="I55" s="18">
        <v>100</v>
      </c>
      <c r="J55" s="17">
        <f t="shared" si="1"/>
        <v>0.03</v>
      </c>
      <c r="K55" s="18">
        <f t="shared" si="2"/>
        <v>540</v>
      </c>
      <c r="L55" s="102"/>
      <c r="M55" s="106"/>
    </row>
    <row r="56" spans="1:13" x14ac:dyDescent="0.35">
      <c r="A56" s="24" t="s">
        <v>233</v>
      </c>
      <c r="B56" s="24" t="str">
        <f t="shared" si="0"/>
        <v>Canh củ quảKhoai tây</v>
      </c>
      <c r="C56" s="24" t="s">
        <v>8</v>
      </c>
      <c r="D56" t="s">
        <v>12</v>
      </c>
      <c r="E56" t="s">
        <v>76</v>
      </c>
      <c r="F56" t="s">
        <v>77</v>
      </c>
      <c r="G56" s="17">
        <v>4</v>
      </c>
      <c r="H56" s="18">
        <v>17000</v>
      </c>
      <c r="I56" s="18">
        <v>433</v>
      </c>
      <c r="J56" s="17">
        <f t="shared" si="1"/>
        <v>9.2378752886836026E-3</v>
      </c>
      <c r="K56" s="18">
        <f t="shared" si="2"/>
        <v>157.04387990762126</v>
      </c>
      <c r="L56" s="102"/>
      <c r="M56" s="106"/>
    </row>
    <row r="57" spans="1:13" x14ac:dyDescent="0.35">
      <c r="A57" s="24" t="s">
        <v>233</v>
      </c>
      <c r="B57" s="24" t="str">
        <f t="shared" si="0"/>
        <v>Canh củ quảCà rốt</v>
      </c>
      <c r="C57" s="24" t="s">
        <v>8</v>
      </c>
      <c r="D57" t="s">
        <v>12</v>
      </c>
      <c r="E57" t="s">
        <v>76</v>
      </c>
      <c r="F57" t="s">
        <v>78</v>
      </c>
      <c r="G57" s="17">
        <v>5.5</v>
      </c>
      <c r="H57" s="18">
        <v>15000</v>
      </c>
      <c r="I57" s="18">
        <v>433</v>
      </c>
      <c r="J57" s="17">
        <f t="shared" si="1"/>
        <v>1.2702078521939953E-2</v>
      </c>
      <c r="K57" s="18">
        <f t="shared" si="2"/>
        <v>190.53117782909931</v>
      </c>
      <c r="L57" s="102"/>
      <c r="M57" s="106"/>
    </row>
    <row r="58" spans="1:13" x14ac:dyDescent="0.35">
      <c r="A58" s="24" t="s">
        <v>232</v>
      </c>
      <c r="B58" s="24" t="str">
        <f t="shared" si="0"/>
        <v>Canh củ quảThịt xay</v>
      </c>
      <c r="C58" s="24" t="s">
        <v>8</v>
      </c>
      <c r="D58" t="s">
        <v>12</v>
      </c>
      <c r="E58" t="s">
        <v>76</v>
      </c>
      <c r="F58" t="s">
        <v>31</v>
      </c>
      <c r="G58" s="17">
        <v>1</v>
      </c>
      <c r="H58" s="18">
        <v>80000</v>
      </c>
      <c r="I58" s="18">
        <v>404</v>
      </c>
      <c r="J58" s="17">
        <f t="shared" si="1"/>
        <v>2.4752475247524753E-3</v>
      </c>
      <c r="K58" s="18">
        <f t="shared" si="2"/>
        <v>198.01980198019803</v>
      </c>
      <c r="L58" s="102"/>
      <c r="M58" s="106"/>
    </row>
    <row r="59" spans="1:13" x14ac:dyDescent="0.35">
      <c r="A59" s="24" t="s">
        <v>233</v>
      </c>
      <c r="B59" s="24" t="str">
        <f t="shared" si="0"/>
        <v>Trái câyChuối</v>
      </c>
      <c r="C59" s="24" t="s">
        <v>8</v>
      </c>
      <c r="D59" t="s">
        <v>52</v>
      </c>
      <c r="E59" t="s">
        <v>17</v>
      </c>
      <c r="F59" t="s">
        <v>79</v>
      </c>
      <c r="G59" s="17">
        <v>450</v>
      </c>
      <c r="H59" s="18">
        <v>1500</v>
      </c>
      <c r="I59" s="18">
        <v>433</v>
      </c>
      <c r="J59" s="17">
        <f t="shared" si="1"/>
        <v>1.0392609699769053</v>
      </c>
      <c r="K59" s="18">
        <f t="shared" si="2"/>
        <v>1558.891454965358</v>
      </c>
      <c r="L59" s="102"/>
      <c r="M59" s="106"/>
    </row>
    <row r="60" spans="1:13" x14ac:dyDescent="0.35">
      <c r="A60" s="24" t="s">
        <v>233</v>
      </c>
      <c r="B60" s="24" t="str">
        <f t="shared" si="0"/>
        <v>CơmGạo</v>
      </c>
      <c r="C60" s="24" t="s">
        <v>8</v>
      </c>
      <c r="D60" t="s">
        <v>15</v>
      </c>
      <c r="E60" t="s">
        <v>15</v>
      </c>
      <c r="F60" t="s">
        <v>16</v>
      </c>
      <c r="G60" s="17">
        <v>10</v>
      </c>
      <c r="H60" s="18">
        <v>12500</v>
      </c>
      <c r="I60" s="18">
        <v>65</v>
      </c>
      <c r="J60" s="17">
        <f t="shared" si="1"/>
        <v>0.15384615384615385</v>
      </c>
      <c r="K60" s="18">
        <f t="shared" si="2"/>
        <v>1923.0769230769231</v>
      </c>
      <c r="L60" s="102"/>
      <c r="M60" s="106"/>
    </row>
    <row r="61" spans="1:13" x14ac:dyDescent="0.35">
      <c r="A61" s="24" t="s">
        <v>232</v>
      </c>
      <c r="B61" s="24" t="str">
        <f t="shared" si="0"/>
        <v>Cá phèn khoCá phèn</v>
      </c>
      <c r="C61" s="24" t="s">
        <v>8</v>
      </c>
      <c r="D61" t="s">
        <v>53</v>
      </c>
      <c r="E61" t="s">
        <v>82</v>
      </c>
      <c r="F61" t="s">
        <v>84</v>
      </c>
      <c r="G61" s="17">
        <v>4.2</v>
      </c>
      <c r="H61" s="18">
        <v>37000</v>
      </c>
      <c r="I61" s="18">
        <v>36</v>
      </c>
      <c r="J61" s="17">
        <f t="shared" si="1"/>
        <v>0.11666666666666667</v>
      </c>
      <c r="K61" s="18">
        <f t="shared" si="2"/>
        <v>4316.666666666667</v>
      </c>
      <c r="L61" s="103" t="e">
        <f>SUM(K61:K66,#REF!)</f>
        <v>#REF!</v>
      </c>
      <c r="M61" s="106" t="s">
        <v>89</v>
      </c>
    </row>
    <row r="62" spans="1:13" x14ac:dyDescent="0.35">
      <c r="A62" s="24" t="s">
        <v>232</v>
      </c>
      <c r="B62" s="24" t="str">
        <f t="shared" ref="B62:B118" si="6">E62&amp;F62</f>
        <v>Thịt heo kho sả ruốcThịt heo nọng nạc</v>
      </c>
      <c r="C62" s="24" t="s">
        <v>8</v>
      </c>
      <c r="D62" t="s">
        <v>53</v>
      </c>
      <c r="E62" t="s">
        <v>83</v>
      </c>
      <c r="F62" t="s">
        <v>281</v>
      </c>
      <c r="G62" s="17">
        <v>5.5</v>
      </c>
      <c r="H62" s="18">
        <v>70000</v>
      </c>
      <c r="I62" s="18">
        <v>100</v>
      </c>
      <c r="J62" s="17">
        <f t="shared" ref="J62:J118" si="7">G62/I62</f>
        <v>5.5E-2</v>
      </c>
      <c r="K62" s="18">
        <f t="shared" ref="K62:K104" si="8">(G62*H62)/I62</f>
        <v>3850</v>
      </c>
      <c r="L62" s="109"/>
      <c r="M62" s="106"/>
    </row>
    <row r="63" spans="1:13" x14ac:dyDescent="0.35">
      <c r="A63" s="24" t="s">
        <v>232</v>
      </c>
      <c r="B63" s="24" t="str">
        <f t="shared" si="6"/>
        <v>Thịt heo kho sả ruốcSả</v>
      </c>
      <c r="C63" s="24" t="s">
        <v>8</v>
      </c>
      <c r="D63" t="s">
        <v>53</v>
      </c>
      <c r="E63" t="s">
        <v>83</v>
      </c>
      <c r="F63" t="s">
        <v>207</v>
      </c>
      <c r="G63" s="17">
        <v>1</v>
      </c>
      <c r="H63" s="18">
        <v>10000</v>
      </c>
      <c r="I63" s="18">
        <v>100</v>
      </c>
      <c r="J63" s="17">
        <f t="shared" si="7"/>
        <v>0.01</v>
      </c>
      <c r="K63" s="18">
        <f t="shared" si="8"/>
        <v>100</v>
      </c>
      <c r="L63" s="109"/>
      <c r="M63" s="106"/>
    </row>
    <row r="64" spans="1:13" x14ac:dyDescent="0.35">
      <c r="A64" s="24" t="s">
        <v>232</v>
      </c>
      <c r="B64" s="24" t="str">
        <f t="shared" si="6"/>
        <v>Thịt heo kho sả ruốcMắm ruốc</v>
      </c>
      <c r="C64" s="24" t="s">
        <v>8</v>
      </c>
      <c r="D64" t="s">
        <v>53</v>
      </c>
      <c r="E64" t="s">
        <v>83</v>
      </c>
      <c r="F64" t="s">
        <v>282</v>
      </c>
      <c r="G64" s="17">
        <v>0.5</v>
      </c>
      <c r="H64" s="18">
        <v>40000</v>
      </c>
      <c r="I64" s="18">
        <v>100</v>
      </c>
      <c r="J64" s="17">
        <f t="shared" si="7"/>
        <v>5.0000000000000001E-3</v>
      </c>
      <c r="K64" s="18">
        <f t="shared" si="8"/>
        <v>200</v>
      </c>
      <c r="L64" s="109"/>
      <c r="M64" s="106"/>
    </row>
    <row r="65" spans="1:18" x14ac:dyDescent="0.35">
      <c r="A65" s="24" t="s">
        <v>232</v>
      </c>
      <c r="B65" s="24" t="str">
        <f t="shared" si="6"/>
        <v>Canh cải ngọt thịt bằmThịt xay</v>
      </c>
      <c r="C65" s="24" t="s">
        <v>8</v>
      </c>
      <c r="D65" t="s">
        <v>12</v>
      </c>
      <c r="E65" t="s">
        <v>86</v>
      </c>
      <c r="F65" t="s">
        <v>31</v>
      </c>
      <c r="G65" s="17">
        <v>0.3</v>
      </c>
      <c r="H65" s="18">
        <v>80000</v>
      </c>
      <c r="I65" s="18">
        <v>100</v>
      </c>
      <c r="J65" s="17">
        <f t="shared" si="7"/>
        <v>3.0000000000000001E-3</v>
      </c>
      <c r="K65" s="18">
        <f t="shared" si="8"/>
        <v>240</v>
      </c>
      <c r="L65" s="109"/>
      <c r="M65" s="106"/>
    </row>
    <row r="66" spans="1:18" x14ac:dyDescent="0.35">
      <c r="A66" s="24" t="s">
        <v>233</v>
      </c>
      <c r="B66" s="24" t="str">
        <f t="shared" si="6"/>
        <v>Canh cải ngọt thịt bằmCải ngọt</v>
      </c>
      <c r="C66" s="24" t="s">
        <v>8</v>
      </c>
      <c r="D66" t="s">
        <v>12</v>
      </c>
      <c r="E66" t="s">
        <v>86</v>
      </c>
      <c r="F66" t="s">
        <v>49</v>
      </c>
      <c r="G66" s="17">
        <v>3.5</v>
      </c>
      <c r="H66" s="18">
        <v>8000</v>
      </c>
      <c r="I66" s="18">
        <v>100</v>
      </c>
      <c r="J66" s="17">
        <f t="shared" si="7"/>
        <v>3.5000000000000003E-2</v>
      </c>
      <c r="K66" s="18">
        <f t="shared" si="8"/>
        <v>280</v>
      </c>
      <c r="L66" s="110" t="e">
        <f>SUM(K67:K69,#REF!)</f>
        <v>#REF!</v>
      </c>
      <c r="M66" s="106" t="s">
        <v>88</v>
      </c>
    </row>
    <row r="67" spans="1:18" x14ac:dyDescent="0.35">
      <c r="A67" s="24" t="s">
        <v>233</v>
      </c>
      <c r="B67" s="24" t="str">
        <f t="shared" si="6"/>
        <v>cốt lết nướngCốt lết</v>
      </c>
      <c r="C67" s="24" t="s">
        <v>8</v>
      </c>
      <c r="D67" t="s">
        <v>18</v>
      </c>
      <c r="E67" t="s">
        <v>461</v>
      </c>
      <c r="F67" t="s">
        <v>87</v>
      </c>
      <c r="G67" s="17">
        <v>11</v>
      </c>
      <c r="H67" s="18">
        <v>100000</v>
      </c>
      <c r="I67" s="18">
        <v>100</v>
      </c>
      <c r="J67" s="17">
        <f t="shared" si="7"/>
        <v>0.11</v>
      </c>
      <c r="K67" s="18">
        <f t="shared" si="8"/>
        <v>11000</v>
      </c>
      <c r="L67" s="111"/>
      <c r="M67" s="106"/>
    </row>
    <row r="68" spans="1:18" x14ac:dyDescent="0.35">
      <c r="A68" s="24" t="s">
        <v>233</v>
      </c>
      <c r="B68" s="24" t="str">
        <f t="shared" si="6"/>
        <v>cốt lết nướngsả</v>
      </c>
      <c r="C68" s="24" t="s">
        <v>8</v>
      </c>
      <c r="D68" t="s">
        <v>18</v>
      </c>
      <c r="E68" t="s">
        <v>461</v>
      </c>
      <c r="F68" t="s">
        <v>452</v>
      </c>
      <c r="G68" s="17">
        <v>0.7</v>
      </c>
      <c r="H68" s="18">
        <v>30000</v>
      </c>
      <c r="I68" s="18">
        <v>100</v>
      </c>
      <c r="J68" s="17">
        <f t="shared" si="7"/>
        <v>6.9999999999999993E-3</v>
      </c>
      <c r="K68" s="18">
        <f t="shared" si="8"/>
        <v>210</v>
      </c>
      <c r="L68" s="111"/>
      <c r="M68" s="106"/>
    </row>
    <row r="69" spans="1:18" ht="15.5" x14ac:dyDescent="0.35">
      <c r="A69" s="24" t="s">
        <v>232</v>
      </c>
      <c r="B69" s="24" t="str">
        <f t="shared" si="6"/>
        <v>trứng ốp laTrứng gà</v>
      </c>
      <c r="C69" s="24" t="s">
        <v>8</v>
      </c>
      <c r="D69" t="s">
        <v>18</v>
      </c>
      <c r="E69" t="s">
        <v>509</v>
      </c>
      <c r="F69" t="s">
        <v>13</v>
      </c>
      <c r="G69" s="17">
        <v>100</v>
      </c>
      <c r="H69" s="18">
        <v>2000</v>
      </c>
      <c r="I69" s="18">
        <v>100</v>
      </c>
      <c r="J69" s="17">
        <f t="shared" si="7"/>
        <v>1</v>
      </c>
      <c r="K69" s="18">
        <f t="shared" si="8"/>
        <v>2000</v>
      </c>
      <c r="L69" s="111"/>
      <c r="M69" s="106"/>
      <c r="P69" t="s">
        <v>444</v>
      </c>
      <c r="Q69">
        <v>1</v>
      </c>
      <c r="R69" s="95" t="s">
        <v>447</v>
      </c>
    </row>
    <row r="70" spans="1:18" ht="15" customHeight="1" x14ac:dyDescent="0.35">
      <c r="A70" s="24" t="s">
        <v>232</v>
      </c>
      <c r="B70" s="24" t="str">
        <f t="shared" si="6"/>
        <v>Cá basa kho nghệCá basa</v>
      </c>
      <c r="C70" s="24" t="s">
        <v>8</v>
      </c>
      <c r="D70" t="s">
        <v>18</v>
      </c>
      <c r="E70" t="s">
        <v>90</v>
      </c>
      <c r="F70" t="s">
        <v>92</v>
      </c>
      <c r="G70" s="17">
        <v>37</v>
      </c>
      <c r="H70" s="18">
        <v>35000</v>
      </c>
      <c r="I70" s="18">
        <v>300</v>
      </c>
      <c r="J70" s="17">
        <f t="shared" si="7"/>
        <v>0.12333333333333334</v>
      </c>
      <c r="K70" s="18">
        <f t="shared" si="8"/>
        <v>4316.666666666667</v>
      </c>
      <c r="L70" s="104"/>
      <c r="M70" s="108"/>
      <c r="Q70">
        <v>1</v>
      </c>
    </row>
    <row r="71" spans="1:18" ht="15" customHeight="1" x14ac:dyDescent="0.35">
      <c r="A71" s="24" t="s">
        <v>232</v>
      </c>
      <c r="B71" s="24" t="str">
        <f t="shared" si="6"/>
        <v>Gỏi tai heoTai mui heo</v>
      </c>
      <c r="C71" s="24" t="s">
        <v>8</v>
      </c>
      <c r="D71" t="s">
        <v>19</v>
      </c>
      <c r="E71" t="s">
        <v>91</v>
      </c>
      <c r="F71" t="s">
        <v>93</v>
      </c>
      <c r="G71" s="17">
        <v>4</v>
      </c>
      <c r="H71" s="18">
        <v>70000</v>
      </c>
      <c r="I71" s="18">
        <v>100</v>
      </c>
      <c r="J71" s="17">
        <f t="shared" si="7"/>
        <v>0.04</v>
      </c>
      <c r="K71" s="18">
        <f t="shared" si="8"/>
        <v>2800</v>
      </c>
      <c r="L71" s="104"/>
      <c r="M71" s="108"/>
      <c r="Q71">
        <v>0.5</v>
      </c>
    </row>
    <row r="72" spans="1:18" ht="15" customHeight="1" x14ac:dyDescent="0.35">
      <c r="A72" s="24" t="s">
        <v>233</v>
      </c>
      <c r="B72" s="24" t="str">
        <f t="shared" si="6"/>
        <v xml:space="preserve">Gỏi tai heoSu tím </v>
      </c>
      <c r="C72" s="24" t="s">
        <v>8</v>
      </c>
      <c r="D72" t="s">
        <v>19</v>
      </c>
      <c r="E72" t="s">
        <v>91</v>
      </c>
      <c r="F72" t="s">
        <v>94</v>
      </c>
      <c r="G72" s="17">
        <v>2</v>
      </c>
      <c r="H72" s="18">
        <v>14000</v>
      </c>
      <c r="I72" s="18">
        <v>100</v>
      </c>
      <c r="J72" s="17">
        <f t="shared" si="7"/>
        <v>0.02</v>
      </c>
      <c r="K72" s="18">
        <f t="shared" si="8"/>
        <v>280</v>
      </c>
      <c r="L72" s="104"/>
      <c r="M72" s="108"/>
      <c r="O72" t="s">
        <v>328</v>
      </c>
      <c r="Q72">
        <v>0.5</v>
      </c>
    </row>
    <row r="73" spans="1:18" ht="15" customHeight="1" x14ac:dyDescent="0.35">
      <c r="A73" s="24" t="s">
        <v>233</v>
      </c>
      <c r="B73" s="24" t="str">
        <f t="shared" si="6"/>
        <v>Gỏi tai heoSu trắng</v>
      </c>
      <c r="C73" s="24" t="s">
        <v>8</v>
      </c>
      <c r="D73" t="s">
        <v>19</v>
      </c>
      <c r="E73" t="s">
        <v>91</v>
      </c>
      <c r="F73" t="s">
        <v>39</v>
      </c>
      <c r="G73" s="17">
        <v>2</v>
      </c>
      <c r="H73" s="18">
        <v>10000</v>
      </c>
      <c r="I73" s="18">
        <v>100</v>
      </c>
      <c r="J73" s="17">
        <f t="shared" si="7"/>
        <v>0.02</v>
      </c>
      <c r="K73" s="18">
        <f t="shared" si="8"/>
        <v>200</v>
      </c>
      <c r="L73" s="104"/>
      <c r="M73" s="108"/>
      <c r="O73" t="s">
        <v>328</v>
      </c>
      <c r="P73" t="s">
        <v>394</v>
      </c>
      <c r="Q73">
        <v>15</v>
      </c>
      <c r="R73" t="s">
        <v>392</v>
      </c>
    </row>
    <row r="74" spans="1:18" ht="15" customHeight="1" x14ac:dyDescent="0.35">
      <c r="A74" s="24" t="s">
        <v>233</v>
      </c>
      <c r="B74" s="24" t="str">
        <f t="shared" si="6"/>
        <v>Gỏi tai heoCà rốt</v>
      </c>
      <c r="C74" s="24" t="s">
        <v>8</v>
      </c>
      <c r="D74" t="s">
        <v>19</v>
      </c>
      <c r="E74" t="s">
        <v>91</v>
      </c>
      <c r="F74" t="s">
        <v>78</v>
      </c>
      <c r="G74" s="17">
        <v>1</v>
      </c>
      <c r="H74" s="18">
        <v>15000</v>
      </c>
      <c r="I74" s="18">
        <v>100</v>
      </c>
      <c r="J74" s="17">
        <f t="shared" si="7"/>
        <v>0.01</v>
      </c>
      <c r="K74" s="18">
        <f t="shared" si="8"/>
        <v>150</v>
      </c>
      <c r="L74" s="104"/>
      <c r="M74" s="108"/>
      <c r="R74" t="s">
        <v>354</v>
      </c>
    </row>
    <row r="75" spans="1:18" ht="15" customHeight="1" x14ac:dyDescent="0.35">
      <c r="A75" s="24" t="s">
        <v>233</v>
      </c>
      <c r="B75" s="24" t="str">
        <f t="shared" si="6"/>
        <v>Gỏi tai heoRau quế</v>
      </c>
      <c r="C75" s="24" t="s">
        <v>8</v>
      </c>
      <c r="D75" t="s">
        <v>19</v>
      </c>
      <c r="E75" t="s">
        <v>91</v>
      </c>
      <c r="F75" t="s">
        <v>23</v>
      </c>
      <c r="G75" s="17">
        <v>0.3</v>
      </c>
      <c r="H75" s="18">
        <v>30000</v>
      </c>
      <c r="I75" s="18">
        <v>100</v>
      </c>
      <c r="J75" s="17">
        <f t="shared" si="7"/>
        <v>3.0000000000000001E-3</v>
      </c>
      <c r="K75" s="18">
        <f t="shared" si="8"/>
        <v>90</v>
      </c>
      <c r="L75" s="104"/>
      <c r="M75" s="108"/>
    </row>
    <row r="76" spans="1:18" ht="15" customHeight="1" x14ac:dyDescent="0.35">
      <c r="A76" s="24" t="s">
        <v>233</v>
      </c>
      <c r="B76" s="24" t="str">
        <f t="shared" si="6"/>
        <v>Bầu xào giáGiá</v>
      </c>
      <c r="C76" s="24" t="s">
        <v>8</v>
      </c>
      <c r="D76" t="s">
        <v>47</v>
      </c>
      <c r="E76" t="s">
        <v>95</v>
      </c>
      <c r="F76" t="s">
        <v>26</v>
      </c>
      <c r="G76" s="17">
        <v>13</v>
      </c>
      <c r="H76" s="18">
        <v>10000</v>
      </c>
      <c r="I76" s="18">
        <v>323</v>
      </c>
      <c r="J76" s="17">
        <f t="shared" si="7"/>
        <v>4.0247678018575851E-2</v>
      </c>
      <c r="K76" s="18">
        <f t="shared" si="8"/>
        <v>402.47678018575851</v>
      </c>
      <c r="L76" s="104"/>
      <c r="M76" s="108"/>
    </row>
    <row r="77" spans="1:18" ht="15" customHeight="1" x14ac:dyDescent="0.35">
      <c r="A77" s="24" t="s">
        <v>233</v>
      </c>
      <c r="B77" s="24" t="str">
        <f t="shared" si="6"/>
        <v>Bầu xào giáBầu</v>
      </c>
      <c r="C77" s="24" t="s">
        <v>8</v>
      </c>
      <c r="D77" t="s">
        <v>47</v>
      </c>
      <c r="E77" t="s">
        <v>95</v>
      </c>
      <c r="F77" t="s">
        <v>96</v>
      </c>
      <c r="G77" s="17">
        <v>15</v>
      </c>
      <c r="H77" s="18">
        <v>11000</v>
      </c>
      <c r="I77" s="18">
        <v>323</v>
      </c>
      <c r="J77" s="17">
        <f t="shared" si="7"/>
        <v>4.6439628482972138E-2</v>
      </c>
      <c r="K77" s="18">
        <f t="shared" si="8"/>
        <v>510.83591331269349</v>
      </c>
      <c r="L77" s="104"/>
      <c r="M77" s="108"/>
    </row>
    <row r="78" spans="1:18" ht="15" customHeight="1" x14ac:dyDescent="0.35">
      <c r="A78" s="24" t="s">
        <v>233</v>
      </c>
      <c r="B78" s="24" t="str">
        <f t="shared" si="6"/>
        <v>Bồ ngốt nấu tômBồ ngót</v>
      </c>
      <c r="C78" s="24" t="s">
        <v>8</v>
      </c>
      <c r="D78" t="s">
        <v>12</v>
      </c>
      <c r="E78" t="s">
        <v>97</v>
      </c>
      <c r="F78" t="s">
        <v>98</v>
      </c>
      <c r="G78" s="17">
        <v>10</v>
      </c>
      <c r="H78" s="18">
        <v>12000</v>
      </c>
      <c r="I78" s="18">
        <v>323</v>
      </c>
      <c r="J78" s="17">
        <f t="shared" si="7"/>
        <v>3.0959752321981424E-2</v>
      </c>
      <c r="K78" s="18">
        <f t="shared" si="8"/>
        <v>371.51702786377712</v>
      </c>
      <c r="L78" s="104"/>
      <c r="M78" s="108"/>
    </row>
    <row r="79" spans="1:18" ht="17.25" customHeight="1" x14ac:dyDescent="0.35">
      <c r="A79" s="24" t="s">
        <v>232</v>
      </c>
      <c r="B79" s="24" t="str">
        <f t="shared" si="6"/>
        <v>Bồ ngốt nấu tômTôm</v>
      </c>
      <c r="C79" s="24" t="s">
        <v>8</v>
      </c>
      <c r="D79" t="s">
        <v>12</v>
      </c>
      <c r="E79" t="s">
        <v>97</v>
      </c>
      <c r="F79" t="s">
        <v>37</v>
      </c>
      <c r="G79" s="17">
        <v>1.5</v>
      </c>
      <c r="H79" s="18">
        <v>115000</v>
      </c>
      <c r="I79" s="18">
        <v>500</v>
      </c>
      <c r="J79" s="17">
        <f t="shared" si="7"/>
        <v>3.0000000000000001E-3</v>
      </c>
      <c r="K79" s="18">
        <f t="shared" si="8"/>
        <v>345</v>
      </c>
      <c r="L79" s="104"/>
      <c r="M79" s="108"/>
    </row>
    <row r="80" spans="1:18" ht="15" customHeight="1" x14ac:dyDescent="0.35">
      <c r="A80" s="24" t="s">
        <v>233</v>
      </c>
      <c r="B80" s="24" t="str">
        <f t="shared" si="6"/>
        <v>Trái câyThanh long</v>
      </c>
      <c r="C80" s="24" t="s">
        <v>8</v>
      </c>
      <c r="D80" t="s">
        <v>52</v>
      </c>
      <c r="E80" t="s">
        <v>17</v>
      </c>
      <c r="F80" t="s">
        <v>27</v>
      </c>
      <c r="G80" s="17">
        <v>35</v>
      </c>
      <c r="H80" s="18">
        <v>20000</v>
      </c>
      <c r="I80" s="18">
        <v>323</v>
      </c>
      <c r="J80" s="17">
        <f t="shared" si="7"/>
        <v>0.10835913312693499</v>
      </c>
      <c r="K80" s="18">
        <f t="shared" si="8"/>
        <v>2167.1826625386998</v>
      </c>
      <c r="L80" s="28">
        <f>SUM(K70:K81)</f>
        <v>15758.679050567598</v>
      </c>
      <c r="M80" t="s">
        <v>81</v>
      </c>
    </row>
    <row r="81" spans="1:14" ht="15" customHeight="1" x14ac:dyDescent="0.35">
      <c r="A81" s="24" t="s">
        <v>233</v>
      </c>
      <c r="B81" s="24" t="str">
        <f t="shared" si="6"/>
        <v>Sữa chuaSữa chua</v>
      </c>
      <c r="C81" s="24" t="s">
        <v>8</v>
      </c>
      <c r="D81" t="s">
        <v>51</v>
      </c>
      <c r="E81" t="s">
        <v>51</v>
      </c>
      <c r="F81" t="s">
        <v>51</v>
      </c>
      <c r="G81" s="17">
        <v>91</v>
      </c>
      <c r="H81" s="18">
        <v>4125</v>
      </c>
      <c r="I81" s="18">
        <v>91</v>
      </c>
      <c r="J81" s="17">
        <f t="shared" si="7"/>
        <v>1</v>
      </c>
      <c r="K81" s="18">
        <f t="shared" si="8"/>
        <v>4125</v>
      </c>
      <c r="L81" s="104">
        <f>SUM(K82:K90)</f>
        <v>10793.401606425703</v>
      </c>
    </row>
    <row r="82" spans="1:14" ht="15" customHeight="1" x14ac:dyDescent="0.35">
      <c r="A82" s="24" t="s">
        <v>232</v>
      </c>
      <c r="B82" s="24" t="str">
        <f t="shared" si="6"/>
        <v>Phở gàMá đùi gà</v>
      </c>
      <c r="C82" s="24" t="s">
        <v>8</v>
      </c>
      <c r="D82" t="s">
        <v>20</v>
      </c>
      <c r="E82" t="s">
        <v>99</v>
      </c>
      <c r="F82" t="s">
        <v>456</v>
      </c>
      <c r="G82" s="17">
        <v>14</v>
      </c>
      <c r="H82" s="18">
        <v>40000</v>
      </c>
      <c r="I82" s="18">
        <v>100</v>
      </c>
      <c r="J82" s="17">
        <f t="shared" si="7"/>
        <v>0.14000000000000001</v>
      </c>
      <c r="K82" s="18">
        <f t="shared" si="8"/>
        <v>5600</v>
      </c>
      <c r="L82" s="105"/>
    </row>
    <row r="83" spans="1:14" ht="15" customHeight="1" x14ac:dyDescent="0.35">
      <c r="A83" s="24" t="s">
        <v>233</v>
      </c>
      <c r="B83" s="24" t="str">
        <f t="shared" si="6"/>
        <v>Phở gàPhở</v>
      </c>
      <c r="C83" s="24" t="s">
        <v>8</v>
      </c>
      <c r="D83" t="s">
        <v>20</v>
      </c>
      <c r="E83" t="s">
        <v>99</v>
      </c>
      <c r="F83" t="s">
        <v>100</v>
      </c>
      <c r="G83" s="17">
        <v>33</v>
      </c>
      <c r="H83" s="18">
        <v>12000</v>
      </c>
      <c r="I83" s="18">
        <v>100</v>
      </c>
      <c r="J83" s="17">
        <f t="shared" si="7"/>
        <v>0.33</v>
      </c>
      <c r="K83" s="18">
        <f t="shared" si="8"/>
        <v>3960</v>
      </c>
      <c r="L83" s="105"/>
    </row>
    <row r="84" spans="1:14" ht="15" customHeight="1" x14ac:dyDescent="0.35">
      <c r="A84" s="24" t="s">
        <v>233</v>
      </c>
      <c r="B84" s="24" t="str">
        <f t="shared" si="6"/>
        <v>Phở gàHành tây</v>
      </c>
      <c r="C84" s="24" t="s">
        <v>8</v>
      </c>
      <c r="D84" t="s">
        <v>20</v>
      </c>
      <c r="E84" t="s">
        <v>99</v>
      </c>
      <c r="F84" t="s">
        <v>35</v>
      </c>
      <c r="G84" s="17">
        <v>1.2</v>
      </c>
      <c r="H84" s="18">
        <v>15000</v>
      </c>
      <c r="I84" s="18">
        <v>100</v>
      </c>
      <c r="J84" s="17">
        <f t="shared" si="7"/>
        <v>1.2E-2</v>
      </c>
      <c r="K84" s="18">
        <f t="shared" si="8"/>
        <v>180</v>
      </c>
      <c r="L84" s="105"/>
    </row>
    <row r="85" spans="1:14" ht="15" customHeight="1" x14ac:dyDescent="0.35">
      <c r="A85" s="24" t="s">
        <v>233</v>
      </c>
      <c r="B85" s="24" t="str">
        <f t="shared" si="6"/>
        <v>Phở gàHành lá</v>
      </c>
      <c r="C85" s="24" t="s">
        <v>8</v>
      </c>
      <c r="D85" t="s">
        <v>20</v>
      </c>
      <c r="E85" t="s">
        <v>99</v>
      </c>
      <c r="F85" t="s">
        <v>24</v>
      </c>
      <c r="G85" s="17">
        <v>0.4</v>
      </c>
      <c r="H85" s="18">
        <v>20000</v>
      </c>
      <c r="I85" s="18">
        <v>100</v>
      </c>
      <c r="J85" s="17">
        <f t="shared" si="7"/>
        <v>4.0000000000000001E-3</v>
      </c>
      <c r="K85" s="18">
        <f t="shared" si="8"/>
        <v>80</v>
      </c>
      <c r="L85" s="105"/>
      <c r="M85" t="s">
        <v>80</v>
      </c>
    </row>
    <row r="86" spans="1:14" ht="15" customHeight="1" x14ac:dyDescent="0.35">
      <c r="A86" s="24" t="s">
        <v>233</v>
      </c>
      <c r="B86" s="24" t="str">
        <f t="shared" si="6"/>
        <v>Phở gàChanh</v>
      </c>
      <c r="C86" s="24" t="s">
        <v>8</v>
      </c>
      <c r="D86" t="s">
        <v>20</v>
      </c>
      <c r="E86" t="s">
        <v>99</v>
      </c>
      <c r="F86" t="s">
        <v>25</v>
      </c>
      <c r="G86" s="17">
        <v>0.8</v>
      </c>
      <c r="H86" s="18">
        <v>26000</v>
      </c>
      <c r="I86" s="18">
        <v>100</v>
      </c>
      <c r="J86" s="17">
        <f t="shared" si="7"/>
        <v>8.0000000000000002E-3</v>
      </c>
      <c r="K86" s="18">
        <f t="shared" si="8"/>
        <v>208</v>
      </c>
      <c r="L86" s="105"/>
      <c r="N86" s="30"/>
    </row>
    <row r="87" spans="1:14" ht="15" customHeight="1" x14ac:dyDescent="0.35">
      <c r="A87" s="24" t="s">
        <v>233</v>
      </c>
      <c r="B87" s="24" t="str">
        <f t="shared" si="6"/>
        <v>Phở gàNgò gai</v>
      </c>
      <c r="C87" s="24" t="s">
        <v>8</v>
      </c>
      <c r="D87" t="s">
        <v>20</v>
      </c>
      <c r="E87" t="s">
        <v>99</v>
      </c>
      <c r="F87" t="s">
        <v>101</v>
      </c>
      <c r="G87" s="17">
        <v>0.3</v>
      </c>
      <c r="H87" s="18">
        <v>35000</v>
      </c>
      <c r="I87" s="18">
        <v>100</v>
      </c>
      <c r="J87" s="17">
        <f t="shared" si="7"/>
        <v>3.0000000000000001E-3</v>
      </c>
      <c r="K87" s="18">
        <f t="shared" si="8"/>
        <v>105</v>
      </c>
      <c r="L87" s="105"/>
    </row>
    <row r="88" spans="1:14" x14ac:dyDescent="0.35">
      <c r="A88" s="24" t="s">
        <v>233</v>
      </c>
      <c r="B88" s="24" t="str">
        <f t="shared" si="6"/>
        <v>Phở gàRau quế</v>
      </c>
      <c r="C88" s="24" t="s">
        <v>8</v>
      </c>
      <c r="D88" t="s">
        <v>20</v>
      </c>
      <c r="E88" t="s">
        <v>99</v>
      </c>
      <c r="F88" t="s">
        <v>23</v>
      </c>
      <c r="G88" s="17">
        <v>0.4</v>
      </c>
      <c r="H88" s="18">
        <v>30000</v>
      </c>
      <c r="I88" s="18">
        <v>100</v>
      </c>
      <c r="J88" s="17">
        <f t="shared" si="7"/>
        <v>4.0000000000000001E-3</v>
      </c>
      <c r="K88" s="18">
        <f t="shared" si="8"/>
        <v>120</v>
      </c>
      <c r="L88" s="105"/>
    </row>
    <row r="89" spans="1:14" x14ac:dyDescent="0.35">
      <c r="A89" s="24" t="s">
        <v>233</v>
      </c>
      <c r="B89" s="24" t="str">
        <f t="shared" si="6"/>
        <v xml:space="preserve">Phở gàXà lách </v>
      </c>
      <c r="C89" s="24" t="s">
        <v>8</v>
      </c>
      <c r="D89" t="s">
        <v>20</v>
      </c>
      <c r="E89" t="s">
        <v>99</v>
      </c>
      <c r="F89" t="s">
        <v>38</v>
      </c>
      <c r="G89" s="17">
        <v>2</v>
      </c>
      <c r="H89" s="18">
        <v>22000</v>
      </c>
      <c r="I89" s="18">
        <v>100</v>
      </c>
      <c r="J89" s="17">
        <f t="shared" si="7"/>
        <v>0.02</v>
      </c>
      <c r="K89" s="18">
        <f t="shared" si="8"/>
        <v>440</v>
      </c>
      <c r="L89" s="25"/>
    </row>
    <row r="90" spans="1:14" ht="15" customHeight="1" x14ac:dyDescent="0.35">
      <c r="A90" s="24" t="s">
        <v>233</v>
      </c>
      <c r="B90" s="24" t="str">
        <f t="shared" si="6"/>
        <v>Phở gàGiá</v>
      </c>
      <c r="C90" s="24" t="s">
        <v>8</v>
      </c>
      <c r="D90" t="s">
        <v>20</v>
      </c>
      <c r="E90" t="s">
        <v>99</v>
      </c>
      <c r="F90" t="s">
        <v>26</v>
      </c>
      <c r="G90" s="17">
        <v>2.5</v>
      </c>
      <c r="H90" s="18">
        <v>10000</v>
      </c>
      <c r="I90" s="18">
        <v>249</v>
      </c>
      <c r="J90" s="17">
        <f t="shared" si="7"/>
        <v>1.0040160642570281E-2</v>
      </c>
      <c r="K90" s="18">
        <f t="shared" si="8"/>
        <v>100.40160642570281</v>
      </c>
      <c r="L90" s="115"/>
    </row>
    <row r="91" spans="1:14" ht="15" customHeight="1" x14ac:dyDescent="0.35">
      <c r="A91" s="24" t="s">
        <v>232</v>
      </c>
      <c r="B91" s="24" t="str">
        <f t="shared" si="6"/>
        <v>Cá đù khoCá đù</v>
      </c>
      <c r="C91" s="24" t="s">
        <v>8</v>
      </c>
      <c r="D91" t="s">
        <v>18</v>
      </c>
      <c r="E91" t="s">
        <v>104</v>
      </c>
      <c r="F91" t="s">
        <v>105</v>
      </c>
      <c r="G91" s="17">
        <v>12</v>
      </c>
      <c r="H91" s="18">
        <v>45000</v>
      </c>
      <c r="I91" s="18">
        <v>100</v>
      </c>
      <c r="J91" s="17">
        <f t="shared" si="7"/>
        <v>0.12</v>
      </c>
      <c r="K91" s="18">
        <f t="shared" si="8"/>
        <v>5400</v>
      </c>
      <c r="L91" s="115"/>
    </row>
    <row r="92" spans="1:14" ht="15" customHeight="1" x14ac:dyDescent="0.35">
      <c r="A92" s="24" t="s">
        <v>232</v>
      </c>
      <c r="B92" s="24" t="str">
        <f t="shared" si="6"/>
        <v>Heo xíu xào giáHeo đùi mông</v>
      </c>
      <c r="C92" s="24" t="s">
        <v>8</v>
      </c>
      <c r="D92" t="s">
        <v>19</v>
      </c>
      <c r="E92" t="s">
        <v>106</v>
      </c>
      <c r="F92" t="s">
        <v>30</v>
      </c>
      <c r="G92" s="17">
        <v>3.5</v>
      </c>
      <c r="H92" s="18">
        <v>100000</v>
      </c>
      <c r="I92" s="18">
        <v>100</v>
      </c>
      <c r="J92" s="17">
        <f t="shared" si="7"/>
        <v>3.5000000000000003E-2</v>
      </c>
      <c r="K92" s="18">
        <f t="shared" si="8"/>
        <v>3500</v>
      </c>
      <c r="L92" s="115"/>
    </row>
    <row r="93" spans="1:14" ht="15" customHeight="1" x14ac:dyDescent="0.35">
      <c r="A93" s="24" t="s">
        <v>233</v>
      </c>
      <c r="B93" s="24" t="str">
        <f t="shared" si="6"/>
        <v>Heo xíu xào giáGiá</v>
      </c>
      <c r="C93" s="24" t="s">
        <v>8</v>
      </c>
      <c r="D93" t="s">
        <v>19</v>
      </c>
      <c r="E93" t="s">
        <v>106</v>
      </c>
      <c r="F93" t="s">
        <v>26</v>
      </c>
      <c r="G93" s="17">
        <v>6</v>
      </c>
      <c r="H93" s="18">
        <v>10000</v>
      </c>
      <c r="I93" s="18">
        <v>100</v>
      </c>
      <c r="J93" s="17">
        <f t="shared" si="7"/>
        <v>0.06</v>
      </c>
      <c r="K93" s="18">
        <f t="shared" si="8"/>
        <v>600</v>
      </c>
      <c r="L93" s="115"/>
    </row>
    <row r="94" spans="1:14" ht="15" customHeight="1" x14ac:dyDescent="0.35">
      <c r="A94" s="24" t="s">
        <v>233</v>
      </c>
      <c r="B94" s="24" t="str">
        <f t="shared" si="6"/>
        <v>Củ quả luộcCà rốt</v>
      </c>
      <c r="C94" s="24" t="s">
        <v>8</v>
      </c>
      <c r="D94" t="s">
        <v>47</v>
      </c>
      <c r="E94" t="s">
        <v>107</v>
      </c>
      <c r="F94" t="s">
        <v>78</v>
      </c>
      <c r="G94" s="17">
        <v>3</v>
      </c>
      <c r="H94" s="18">
        <v>15000</v>
      </c>
      <c r="I94" s="18">
        <v>119</v>
      </c>
      <c r="J94" s="17">
        <f t="shared" si="7"/>
        <v>2.5210084033613446E-2</v>
      </c>
      <c r="K94" s="18">
        <f t="shared" si="8"/>
        <v>378.15126050420167</v>
      </c>
      <c r="L94" s="115"/>
      <c r="M94" t="s">
        <v>109</v>
      </c>
    </row>
    <row r="95" spans="1:14" ht="15" customHeight="1" x14ac:dyDescent="0.35">
      <c r="A95" s="24" t="s">
        <v>233</v>
      </c>
      <c r="B95" s="24" t="str">
        <f t="shared" si="6"/>
        <v>Củ quả luộcKhoai tây</v>
      </c>
      <c r="C95" s="24" t="s">
        <v>8</v>
      </c>
      <c r="D95" t="s">
        <v>47</v>
      </c>
      <c r="E95" t="s">
        <v>107</v>
      </c>
      <c r="F95" t="s">
        <v>77</v>
      </c>
      <c r="G95" s="17">
        <v>3</v>
      </c>
      <c r="H95" s="18">
        <v>17000</v>
      </c>
      <c r="I95" s="18">
        <v>119</v>
      </c>
      <c r="J95" s="17">
        <f t="shared" si="7"/>
        <v>2.5210084033613446E-2</v>
      </c>
      <c r="K95" s="18">
        <f t="shared" si="8"/>
        <v>428.57142857142856</v>
      </c>
      <c r="L95" s="115"/>
    </row>
    <row r="96" spans="1:14" ht="15" customHeight="1" x14ac:dyDescent="0.35">
      <c r="A96" s="24" t="s">
        <v>233</v>
      </c>
      <c r="B96" s="24" t="str">
        <f t="shared" si="6"/>
        <v>Củ quả luộcĐậu bắp</v>
      </c>
      <c r="C96" s="24" t="s">
        <v>8</v>
      </c>
      <c r="D96" t="s">
        <v>47</v>
      </c>
      <c r="E96" t="s">
        <v>107</v>
      </c>
      <c r="F96" t="s">
        <v>108</v>
      </c>
      <c r="G96" s="17">
        <v>3.5</v>
      </c>
      <c r="H96" s="18">
        <v>12000</v>
      </c>
      <c r="I96" s="18">
        <v>119</v>
      </c>
      <c r="J96" s="17">
        <f t="shared" si="7"/>
        <v>2.9411764705882353E-2</v>
      </c>
      <c r="K96" s="18">
        <f t="shared" si="8"/>
        <v>352.94117647058823</v>
      </c>
      <c r="L96" s="115"/>
    </row>
    <row r="97" spans="1:14" ht="15" customHeight="1" x14ac:dyDescent="0.35">
      <c r="A97" s="24" t="s">
        <v>233</v>
      </c>
      <c r="B97" s="24" t="str">
        <f t="shared" si="6"/>
        <v>Bí đao nấu tômBí đao</v>
      </c>
      <c r="C97" s="24" t="s">
        <v>8</v>
      </c>
      <c r="D97" t="s">
        <v>48</v>
      </c>
      <c r="E97" t="s">
        <v>61</v>
      </c>
      <c r="F97" t="s">
        <v>62</v>
      </c>
      <c r="G97" s="17">
        <v>4.5</v>
      </c>
      <c r="H97" s="18">
        <v>10000</v>
      </c>
      <c r="I97" s="18">
        <v>119</v>
      </c>
      <c r="J97" s="17">
        <f t="shared" si="7"/>
        <v>3.7815126050420166E-2</v>
      </c>
      <c r="K97" s="18">
        <f t="shared" si="8"/>
        <v>378.15126050420167</v>
      </c>
      <c r="L97" s="115"/>
    </row>
    <row r="98" spans="1:14" ht="17.25" customHeight="1" x14ac:dyDescent="0.35">
      <c r="A98" s="24" t="s">
        <v>232</v>
      </c>
      <c r="B98" s="24" t="str">
        <f t="shared" si="6"/>
        <v>Bí đao nấu tômTôm</v>
      </c>
      <c r="C98" s="24" t="s">
        <v>8</v>
      </c>
      <c r="D98" t="s">
        <v>48</v>
      </c>
      <c r="E98" t="s">
        <v>61</v>
      </c>
      <c r="F98" t="s">
        <v>37</v>
      </c>
      <c r="G98" s="17">
        <v>0.5</v>
      </c>
      <c r="H98" s="18">
        <v>110000</v>
      </c>
      <c r="I98" s="18">
        <v>119</v>
      </c>
      <c r="J98" s="17">
        <f t="shared" si="7"/>
        <v>4.2016806722689074E-3</v>
      </c>
      <c r="K98" s="18">
        <f t="shared" si="8"/>
        <v>462.18487394957981</v>
      </c>
      <c r="L98" s="115"/>
    </row>
    <row r="99" spans="1:14" ht="15" customHeight="1" x14ac:dyDescent="0.35">
      <c r="A99" s="24" t="s">
        <v>233</v>
      </c>
      <c r="B99" s="24" t="str">
        <f t="shared" si="6"/>
        <v>Trái câyDưa hấu</v>
      </c>
      <c r="C99" s="24" t="s">
        <v>8</v>
      </c>
      <c r="D99" t="s">
        <v>52</v>
      </c>
      <c r="E99" t="s">
        <v>17</v>
      </c>
      <c r="F99" t="s">
        <v>102</v>
      </c>
      <c r="G99" s="17">
        <v>12</v>
      </c>
      <c r="H99" s="18">
        <v>12000</v>
      </c>
      <c r="I99" s="18">
        <v>119</v>
      </c>
      <c r="J99" s="17">
        <f t="shared" si="7"/>
        <v>0.10084033613445378</v>
      </c>
      <c r="K99" s="18">
        <f t="shared" si="8"/>
        <v>1210.0840336134454</v>
      </c>
      <c r="L99" s="115"/>
    </row>
    <row r="100" spans="1:14" x14ac:dyDescent="0.35">
      <c r="A100" s="24" t="s">
        <v>233</v>
      </c>
      <c r="B100" s="24" t="str">
        <f t="shared" si="6"/>
        <v>Sữa chuaSữa chua</v>
      </c>
      <c r="C100" s="24" t="s">
        <v>8</v>
      </c>
      <c r="D100" t="s">
        <v>51</v>
      </c>
      <c r="E100" t="s">
        <v>51</v>
      </c>
      <c r="F100" t="s">
        <v>51</v>
      </c>
      <c r="G100" s="17">
        <v>119</v>
      </c>
      <c r="H100" s="18">
        <v>4375</v>
      </c>
      <c r="I100" s="18">
        <v>119</v>
      </c>
      <c r="J100" s="17">
        <f t="shared" si="7"/>
        <v>1</v>
      </c>
      <c r="K100" s="18">
        <f t="shared" si="8"/>
        <v>4375</v>
      </c>
      <c r="L100" s="105"/>
    </row>
    <row r="101" spans="1:14" x14ac:dyDescent="0.35">
      <c r="A101" s="24" t="s">
        <v>232</v>
      </c>
      <c r="B101" s="24" t="str">
        <f t="shared" si="6"/>
        <v>Cá hố khoCá hố</v>
      </c>
      <c r="C101" s="24" t="s">
        <v>8</v>
      </c>
      <c r="D101" t="s">
        <v>18</v>
      </c>
      <c r="E101" t="s">
        <v>115</v>
      </c>
      <c r="F101" t="s">
        <v>116</v>
      </c>
      <c r="G101" s="17">
        <v>40</v>
      </c>
      <c r="H101" s="18">
        <v>60000</v>
      </c>
      <c r="I101" s="18">
        <v>325</v>
      </c>
      <c r="J101" s="17">
        <f t="shared" si="7"/>
        <v>0.12307692307692308</v>
      </c>
      <c r="K101" s="18">
        <f t="shared" si="8"/>
        <v>7384.6153846153848</v>
      </c>
      <c r="L101" s="105"/>
    </row>
    <row r="102" spans="1:14" x14ac:dyDescent="0.35">
      <c r="A102" s="24" t="s">
        <v>233</v>
      </c>
      <c r="B102" s="24" t="str">
        <f t="shared" si="6"/>
        <v>Mướp xào giáMướp</v>
      </c>
      <c r="C102" s="24" t="s">
        <v>8</v>
      </c>
      <c r="D102" t="s">
        <v>47</v>
      </c>
      <c r="E102" t="s">
        <v>71</v>
      </c>
      <c r="F102" t="s">
        <v>72</v>
      </c>
      <c r="G102" s="17">
        <v>20</v>
      </c>
      <c r="H102" s="18">
        <v>10000</v>
      </c>
      <c r="I102" s="18">
        <v>325</v>
      </c>
      <c r="J102" s="17">
        <f t="shared" si="7"/>
        <v>6.1538461538461542E-2</v>
      </c>
      <c r="K102" s="18">
        <f t="shared" si="8"/>
        <v>615.38461538461536</v>
      </c>
      <c r="L102" s="105"/>
    </row>
    <row r="103" spans="1:14" x14ac:dyDescent="0.35">
      <c r="A103" s="24" t="s">
        <v>233</v>
      </c>
      <c r="B103" s="24" t="str">
        <f t="shared" si="6"/>
        <v>Mướp xào giáGiá</v>
      </c>
      <c r="C103" s="24" t="s">
        <v>8</v>
      </c>
      <c r="D103" t="s">
        <v>47</v>
      </c>
      <c r="E103" t="s">
        <v>71</v>
      </c>
      <c r="F103" t="s">
        <v>26</v>
      </c>
      <c r="G103" s="17">
        <v>20</v>
      </c>
      <c r="H103" s="18">
        <v>10000</v>
      </c>
      <c r="I103" s="18">
        <v>325</v>
      </c>
      <c r="J103" s="17">
        <f t="shared" si="7"/>
        <v>6.1538461538461542E-2</v>
      </c>
      <c r="K103" s="18">
        <f t="shared" si="8"/>
        <v>615.38461538461536</v>
      </c>
      <c r="L103" s="105"/>
    </row>
    <row r="104" spans="1:14" ht="15.5" x14ac:dyDescent="0.35">
      <c r="A104" s="24" t="s">
        <v>233</v>
      </c>
      <c r="B104" s="24" t="str">
        <f t="shared" si="6"/>
        <v>Trái câyỔi</v>
      </c>
      <c r="C104" s="24" t="s">
        <v>8</v>
      </c>
      <c r="D104" t="s">
        <v>52</v>
      </c>
      <c r="E104" t="s">
        <v>17</v>
      </c>
      <c r="F104" t="s">
        <v>41</v>
      </c>
      <c r="G104" s="17">
        <v>30</v>
      </c>
      <c r="H104" s="18">
        <v>17000</v>
      </c>
      <c r="I104" s="18">
        <v>415</v>
      </c>
      <c r="J104" s="17">
        <f t="shared" si="7"/>
        <v>7.2289156626506021E-2</v>
      </c>
      <c r="K104" s="18">
        <f t="shared" si="8"/>
        <v>1228.9156626506024</v>
      </c>
      <c r="L104" s="29">
        <f>SUM(K101:K104)</f>
        <v>9844.3002780352181</v>
      </c>
      <c r="M104" t="s">
        <v>121</v>
      </c>
    </row>
    <row r="105" spans="1:14" x14ac:dyDescent="0.35">
      <c r="A105" s="24" t="s">
        <v>232</v>
      </c>
      <c r="B105" s="24" t="str">
        <f t="shared" si="6"/>
        <v>Cơm sườn queSườn</v>
      </c>
      <c r="C105" s="24" t="s">
        <v>8</v>
      </c>
      <c r="D105" t="s">
        <v>18</v>
      </c>
      <c r="E105" t="s">
        <v>122</v>
      </c>
      <c r="F105" t="s">
        <v>123</v>
      </c>
      <c r="G105" s="17">
        <v>9</v>
      </c>
      <c r="H105" s="18">
        <v>95000</v>
      </c>
      <c r="I105" s="18">
        <v>100</v>
      </c>
      <c r="J105" s="17">
        <f t="shared" si="7"/>
        <v>0.09</v>
      </c>
      <c r="K105" s="18">
        <f t="shared" ref="K105:K183" si="9">(G105*H105)/I105</f>
        <v>8550</v>
      </c>
      <c r="L105" s="113"/>
    </row>
    <row r="106" spans="1:14" x14ac:dyDescent="0.35">
      <c r="A106" s="24" t="s">
        <v>233</v>
      </c>
      <c r="B106" s="24" t="str">
        <f t="shared" si="6"/>
        <v>Cơm sườn queSả</v>
      </c>
      <c r="C106" s="24" t="s">
        <v>8</v>
      </c>
      <c r="D106" t="s">
        <v>18</v>
      </c>
      <c r="E106" t="s">
        <v>122</v>
      </c>
      <c r="F106" t="s">
        <v>207</v>
      </c>
      <c r="G106" s="17">
        <v>0.6</v>
      </c>
      <c r="H106" s="18">
        <v>10000</v>
      </c>
      <c r="I106" s="18">
        <v>100</v>
      </c>
      <c r="J106" s="17">
        <f t="shared" si="7"/>
        <v>6.0000000000000001E-3</v>
      </c>
      <c r="K106" s="18">
        <f t="shared" si="9"/>
        <v>60</v>
      </c>
      <c r="L106" s="113"/>
    </row>
    <row r="107" spans="1:14" x14ac:dyDescent="0.35">
      <c r="A107" s="24" t="s">
        <v>233</v>
      </c>
      <c r="B107" s="24" t="str">
        <f t="shared" si="6"/>
        <v xml:space="preserve">Cơm sườn queCải thảo </v>
      </c>
      <c r="C107" s="24" t="s">
        <v>8</v>
      </c>
      <c r="D107" t="s">
        <v>18</v>
      </c>
      <c r="E107" t="s">
        <v>122</v>
      </c>
      <c r="F107" t="s">
        <v>186</v>
      </c>
      <c r="G107" s="17">
        <v>3</v>
      </c>
      <c r="H107" s="18">
        <v>14000</v>
      </c>
      <c r="I107" s="18">
        <v>100</v>
      </c>
      <c r="J107" s="17">
        <f t="shared" si="7"/>
        <v>0.03</v>
      </c>
      <c r="K107" s="18">
        <f t="shared" si="9"/>
        <v>420</v>
      </c>
      <c r="L107" s="113"/>
    </row>
    <row r="108" spans="1:14" x14ac:dyDescent="0.35">
      <c r="A108" s="24" t="s">
        <v>233</v>
      </c>
      <c r="B108" s="24" t="str">
        <f t="shared" si="6"/>
        <v>Cơm sườn queCà rốt</v>
      </c>
      <c r="C108" s="24" t="s">
        <v>8</v>
      </c>
      <c r="D108" t="s">
        <v>18</v>
      </c>
      <c r="E108" t="s">
        <v>122</v>
      </c>
      <c r="F108" t="s">
        <v>78</v>
      </c>
      <c r="G108" s="17">
        <v>2</v>
      </c>
      <c r="H108" s="18">
        <v>15000</v>
      </c>
      <c r="I108" s="18">
        <v>100</v>
      </c>
      <c r="J108" s="17">
        <f t="shared" si="7"/>
        <v>0.02</v>
      </c>
      <c r="K108" s="18">
        <f t="shared" si="9"/>
        <v>300</v>
      </c>
      <c r="L108" s="114">
        <f>SUM(K114:K122)</f>
        <v>15929.91525423729</v>
      </c>
      <c r="N108" s="30"/>
    </row>
    <row r="109" spans="1:14" x14ac:dyDescent="0.35">
      <c r="A109" s="24" t="s">
        <v>233</v>
      </c>
      <c r="B109" s="24" t="str">
        <f t="shared" si="6"/>
        <v>Cơm sườn quecủ cải</v>
      </c>
      <c r="C109" s="24" t="s">
        <v>8</v>
      </c>
      <c r="D109" t="s">
        <v>18</v>
      </c>
      <c r="E109" t="s">
        <v>122</v>
      </c>
      <c r="F109" t="s">
        <v>175</v>
      </c>
      <c r="G109" s="17">
        <v>3</v>
      </c>
      <c r="H109" s="18">
        <v>8000</v>
      </c>
      <c r="I109" s="18">
        <v>100</v>
      </c>
      <c r="J109" s="17">
        <f t="shared" si="7"/>
        <v>0.03</v>
      </c>
      <c r="K109" s="18">
        <f t="shared" si="9"/>
        <v>240</v>
      </c>
      <c r="L109" s="115"/>
    </row>
    <row r="110" spans="1:14" x14ac:dyDescent="0.35">
      <c r="A110" s="24" t="s">
        <v>233</v>
      </c>
      <c r="B110" s="24" t="str">
        <f t="shared" si="6"/>
        <v>Cơm sườn queỚt sừng</v>
      </c>
      <c r="C110" s="24" t="s">
        <v>8</v>
      </c>
      <c r="D110" t="s">
        <v>18</v>
      </c>
      <c r="E110" t="s">
        <v>122</v>
      </c>
      <c r="F110" t="s">
        <v>203</v>
      </c>
      <c r="G110" s="17">
        <v>0.5</v>
      </c>
      <c r="H110" s="18">
        <v>40000</v>
      </c>
      <c r="I110" s="18">
        <v>100</v>
      </c>
      <c r="J110" s="17">
        <f t="shared" si="7"/>
        <v>5.0000000000000001E-3</v>
      </c>
      <c r="K110" s="18">
        <f t="shared" si="9"/>
        <v>200</v>
      </c>
      <c r="L110" s="115"/>
    </row>
    <row r="111" spans="1:14" x14ac:dyDescent="0.35">
      <c r="A111" s="24" t="s">
        <v>232</v>
      </c>
      <c r="B111" s="24" t="str">
        <f t="shared" si="6"/>
        <v>Trứng xào cà chuaTrứng gà</v>
      </c>
      <c r="C111" s="24" t="s">
        <v>8</v>
      </c>
      <c r="D111" t="s">
        <v>19</v>
      </c>
      <c r="E111" t="s">
        <v>124</v>
      </c>
      <c r="F111" t="s">
        <v>13</v>
      </c>
      <c r="G111" s="17">
        <v>230</v>
      </c>
      <c r="H111" s="18">
        <v>2400</v>
      </c>
      <c r="I111" s="18">
        <v>262</v>
      </c>
      <c r="J111" s="17">
        <f t="shared" si="7"/>
        <v>0.87786259541984735</v>
      </c>
      <c r="K111" s="18">
        <f t="shared" si="9"/>
        <v>2106.8702290076335</v>
      </c>
      <c r="L111" s="115"/>
    </row>
    <row r="112" spans="1:14" x14ac:dyDescent="0.35">
      <c r="A112" s="24" t="s">
        <v>233</v>
      </c>
      <c r="B112" s="24" t="str">
        <f t="shared" si="6"/>
        <v>Trứng xào cà chuaCà chua</v>
      </c>
      <c r="C112" s="24" t="s">
        <v>8</v>
      </c>
      <c r="D112" t="s">
        <v>19</v>
      </c>
      <c r="E112" t="s">
        <v>124</v>
      </c>
      <c r="F112" t="s">
        <v>14</v>
      </c>
      <c r="G112" s="17">
        <v>5</v>
      </c>
      <c r="H112" s="18">
        <v>20000</v>
      </c>
      <c r="I112" s="18">
        <v>262</v>
      </c>
      <c r="J112" s="17">
        <f t="shared" si="7"/>
        <v>1.9083969465648856E-2</v>
      </c>
      <c r="K112" s="18">
        <f t="shared" si="9"/>
        <v>381.67938931297709</v>
      </c>
      <c r="L112" s="115"/>
    </row>
    <row r="113" spans="1:14" x14ac:dyDescent="0.35">
      <c r="A113" s="24" t="s">
        <v>233</v>
      </c>
      <c r="B113" s="24" t="str">
        <f t="shared" si="6"/>
        <v>Trái câyChuối</v>
      </c>
      <c r="C113" s="24" t="s">
        <v>8</v>
      </c>
      <c r="D113" t="s">
        <v>52</v>
      </c>
      <c r="E113" t="s">
        <v>17</v>
      </c>
      <c r="F113" t="s">
        <v>79</v>
      </c>
      <c r="G113" s="17">
        <v>262</v>
      </c>
      <c r="H113" s="18">
        <v>1500</v>
      </c>
      <c r="I113" s="18">
        <v>262</v>
      </c>
      <c r="J113" s="17">
        <f t="shared" si="7"/>
        <v>1</v>
      </c>
      <c r="K113" s="18">
        <f t="shared" si="9"/>
        <v>1500</v>
      </c>
      <c r="L113" s="115"/>
    </row>
    <row r="114" spans="1:14" x14ac:dyDescent="0.35">
      <c r="A114" s="24" t="s">
        <v>232</v>
      </c>
      <c r="B114" s="24" t="str">
        <f t="shared" si="6"/>
        <v>Cá lóc khoCá lóc</v>
      </c>
      <c r="C114" s="24" t="s">
        <v>8</v>
      </c>
      <c r="D114" t="s">
        <v>53</v>
      </c>
      <c r="E114" t="s">
        <v>110</v>
      </c>
      <c r="F114" t="s">
        <v>111</v>
      </c>
      <c r="G114" s="17">
        <v>15</v>
      </c>
      <c r="H114" s="18">
        <v>58000</v>
      </c>
      <c r="I114" s="18">
        <v>125</v>
      </c>
      <c r="J114" s="17">
        <f t="shared" si="7"/>
        <v>0.12</v>
      </c>
      <c r="K114" s="18">
        <f t="shared" si="9"/>
        <v>6960</v>
      </c>
      <c r="L114" s="115"/>
      <c r="M114" t="s">
        <v>121</v>
      </c>
    </row>
    <row r="115" spans="1:14" x14ac:dyDescent="0.35">
      <c r="A115" s="24" t="s">
        <v>233</v>
      </c>
      <c r="B115" s="24" t="str">
        <f t="shared" si="6"/>
        <v>Đậu khuôn thịt bằmĐậu khuôn</v>
      </c>
      <c r="C115" s="24" t="s">
        <v>8</v>
      </c>
      <c r="D115" t="s">
        <v>19</v>
      </c>
      <c r="E115" t="s">
        <v>128</v>
      </c>
      <c r="F115" t="s">
        <v>114</v>
      </c>
      <c r="G115" s="17">
        <v>118</v>
      </c>
      <c r="H115" s="18">
        <v>1600</v>
      </c>
      <c r="I115" s="18">
        <v>118</v>
      </c>
      <c r="J115" s="17">
        <f t="shared" si="7"/>
        <v>1</v>
      </c>
      <c r="K115" s="18">
        <f t="shared" si="9"/>
        <v>1600</v>
      </c>
      <c r="L115" s="115"/>
    </row>
    <row r="116" spans="1:14" x14ac:dyDescent="0.35">
      <c r="A116" s="24" t="s">
        <v>232</v>
      </c>
      <c r="B116" s="24" t="str">
        <f t="shared" si="6"/>
        <v>Đậu khuôn thịt bằmThịt bằm</v>
      </c>
      <c r="C116" s="24" t="s">
        <v>8</v>
      </c>
      <c r="D116" t="s">
        <v>19</v>
      </c>
      <c r="E116" t="s">
        <v>128</v>
      </c>
      <c r="F116" t="s">
        <v>50</v>
      </c>
      <c r="G116" s="17">
        <v>1</v>
      </c>
      <c r="H116" s="18">
        <v>80000</v>
      </c>
      <c r="I116" s="18">
        <v>100</v>
      </c>
      <c r="J116" s="17">
        <f t="shared" si="7"/>
        <v>0.01</v>
      </c>
      <c r="K116" s="18">
        <f t="shared" si="9"/>
        <v>800</v>
      </c>
      <c r="L116" s="115"/>
    </row>
    <row r="117" spans="1:14" x14ac:dyDescent="0.35">
      <c r="A117" s="24" t="s">
        <v>298</v>
      </c>
      <c r="B117" s="24" t="str">
        <f t="shared" si="6"/>
        <v>Đậu khuôn thịt bằmNấm mèo</v>
      </c>
      <c r="C117" s="24" t="s">
        <v>8</v>
      </c>
      <c r="D117" t="s">
        <v>19</v>
      </c>
      <c r="E117" t="s">
        <v>128</v>
      </c>
      <c r="F117" t="s">
        <v>28</v>
      </c>
      <c r="G117" s="17">
        <v>0.2</v>
      </c>
      <c r="H117" s="18">
        <v>110000</v>
      </c>
      <c r="I117" s="18">
        <v>118</v>
      </c>
      <c r="J117" s="17">
        <f t="shared" si="7"/>
        <v>1.6949152542372883E-3</v>
      </c>
      <c r="K117" s="18">
        <f t="shared" si="9"/>
        <v>186.4406779661017</v>
      </c>
      <c r="L117" s="112"/>
    </row>
    <row r="118" spans="1:14" x14ac:dyDescent="0.35">
      <c r="A118" s="24" t="s">
        <v>298</v>
      </c>
      <c r="B118" s="24" t="str">
        <f t="shared" si="6"/>
        <v>Đậu khuôn thịt bằmCà rốt</v>
      </c>
      <c r="C118" s="24" t="s">
        <v>8</v>
      </c>
      <c r="D118" t="s">
        <v>19</v>
      </c>
      <c r="E118" t="s">
        <v>128</v>
      </c>
      <c r="F118" t="s">
        <v>78</v>
      </c>
      <c r="G118" s="17">
        <v>2</v>
      </c>
      <c r="H118" s="18">
        <v>15000</v>
      </c>
      <c r="I118" s="18">
        <v>118</v>
      </c>
      <c r="J118" s="17">
        <f t="shared" si="7"/>
        <v>1.6949152542372881E-2</v>
      </c>
      <c r="K118" s="18">
        <f t="shared" si="9"/>
        <v>254.23728813559322</v>
      </c>
      <c r="L118" s="112"/>
    </row>
    <row r="119" spans="1:14" x14ac:dyDescent="0.35">
      <c r="A119" s="24" t="s">
        <v>233</v>
      </c>
      <c r="B119" s="24" t="str">
        <f t="shared" ref="B119:B196" si="10">E119&amp;F119</f>
        <v>Dưa cải xàoDưa cải</v>
      </c>
      <c r="C119" s="24" t="s">
        <v>8</v>
      </c>
      <c r="D119" t="s">
        <v>47</v>
      </c>
      <c r="E119" t="s">
        <v>112</v>
      </c>
      <c r="F119" t="s">
        <v>113</v>
      </c>
      <c r="G119" s="17">
        <v>9</v>
      </c>
      <c r="H119" s="18">
        <v>15000</v>
      </c>
      <c r="I119" s="18">
        <v>118</v>
      </c>
      <c r="J119" s="17">
        <f t="shared" ref="J119:J196" si="11">G119/I119</f>
        <v>7.6271186440677971E-2</v>
      </c>
      <c r="K119" s="18">
        <f t="shared" si="9"/>
        <v>1144.0677966101696</v>
      </c>
      <c r="L119" s="112"/>
      <c r="N119" s="30"/>
    </row>
    <row r="120" spans="1:14" x14ac:dyDescent="0.35">
      <c r="A120" s="24" t="s">
        <v>233</v>
      </c>
      <c r="B120" s="24" t="str">
        <f t="shared" si="10"/>
        <v>Bí đỏ thịt bằmBí đỏ</v>
      </c>
      <c r="C120" s="24" t="s">
        <v>8</v>
      </c>
      <c r="D120" t="s">
        <v>48</v>
      </c>
      <c r="E120" t="s">
        <v>127</v>
      </c>
      <c r="F120" t="s">
        <v>103</v>
      </c>
      <c r="G120" s="17">
        <v>4</v>
      </c>
      <c r="H120" s="18">
        <v>12000</v>
      </c>
      <c r="I120" s="18">
        <v>118</v>
      </c>
      <c r="J120" s="17">
        <f t="shared" si="11"/>
        <v>3.3898305084745763E-2</v>
      </c>
      <c r="K120" s="18">
        <f t="shared" si="9"/>
        <v>406.77966101694915</v>
      </c>
      <c r="L120" s="112"/>
      <c r="N120" s="30">
        <f>SUM(K123:K127)</f>
        <v>3611.3360323886641</v>
      </c>
    </row>
    <row r="121" spans="1:14" x14ac:dyDescent="0.35">
      <c r="A121" s="24" t="s">
        <v>232</v>
      </c>
      <c r="B121" s="24" t="str">
        <f t="shared" si="10"/>
        <v>Bí đỏ thịt bằmThịt bằm</v>
      </c>
      <c r="C121" s="24" t="s">
        <v>8</v>
      </c>
      <c r="D121" t="s">
        <v>48</v>
      </c>
      <c r="E121" t="s">
        <v>127</v>
      </c>
      <c r="F121" t="s">
        <v>50</v>
      </c>
      <c r="G121" s="17">
        <v>0.3</v>
      </c>
      <c r="H121" s="18">
        <v>80000</v>
      </c>
      <c r="I121" s="18">
        <v>118</v>
      </c>
      <c r="J121" s="17">
        <f t="shared" si="11"/>
        <v>2.542372881355932E-3</v>
      </c>
      <c r="K121" s="18">
        <f t="shared" si="9"/>
        <v>203.38983050847457</v>
      </c>
      <c r="L121" s="112"/>
      <c r="M121" t="s">
        <v>120</v>
      </c>
    </row>
    <row r="122" spans="1:14" x14ac:dyDescent="0.35">
      <c r="A122" s="24" t="s">
        <v>233</v>
      </c>
      <c r="B122" s="24" t="str">
        <f t="shared" si="10"/>
        <v>Sữa chuaSữa chua</v>
      </c>
      <c r="C122" s="24" t="s">
        <v>51</v>
      </c>
      <c r="D122" t="s">
        <v>51</v>
      </c>
      <c r="E122" t="s">
        <v>51</v>
      </c>
      <c r="F122" t="s">
        <v>51</v>
      </c>
      <c r="G122" s="17">
        <v>118</v>
      </c>
      <c r="H122" s="18">
        <v>4375</v>
      </c>
      <c r="I122" s="18">
        <v>118</v>
      </c>
      <c r="J122" s="17">
        <f t="shared" si="11"/>
        <v>1</v>
      </c>
      <c r="K122" s="18">
        <f t="shared" si="9"/>
        <v>4375</v>
      </c>
      <c r="L122" s="112"/>
    </row>
    <row r="123" spans="1:14" x14ac:dyDescent="0.35">
      <c r="A123" s="24" t="s">
        <v>232</v>
      </c>
      <c r="B123" s="24" t="str">
        <f t="shared" si="10"/>
        <v xml:space="preserve">Gỏi bòBò </v>
      </c>
      <c r="C123" t="s">
        <v>8</v>
      </c>
      <c r="D123" t="s">
        <v>19</v>
      </c>
      <c r="E123" t="s">
        <v>129</v>
      </c>
      <c r="F123" t="s">
        <v>130</v>
      </c>
      <c r="G123" s="17">
        <v>8</v>
      </c>
      <c r="H123" s="18">
        <v>80000</v>
      </c>
      <c r="I123" s="18">
        <v>247</v>
      </c>
      <c r="J123" s="17">
        <f t="shared" si="11"/>
        <v>3.2388663967611336E-2</v>
      </c>
      <c r="K123" s="18">
        <f t="shared" si="9"/>
        <v>2591.0931174089069</v>
      </c>
      <c r="L123" s="112"/>
    </row>
    <row r="124" spans="1:14" x14ac:dyDescent="0.35">
      <c r="A124" s="24" t="s">
        <v>233</v>
      </c>
      <c r="B124" s="24" t="str">
        <f t="shared" si="10"/>
        <v>Gỏi bòSu trắng</v>
      </c>
      <c r="C124" t="s">
        <v>8</v>
      </c>
      <c r="D124" t="s">
        <v>19</v>
      </c>
      <c r="E124" t="s">
        <v>129</v>
      </c>
      <c r="F124" t="s">
        <v>39</v>
      </c>
      <c r="G124" s="17">
        <v>6</v>
      </c>
      <c r="H124" s="18">
        <v>10000</v>
      </c>
      <c r="I124" s="18">
        <v>247</v>
      </c>
      <c r="J124" s="17">
        <f t="shared" si="11"/>
        <v>2.4291497975708502E-2</v>
      </c>
      <c r="K124" s="18">
        <f t="shared" si="9"/>
        <v>242.91497975708501</v>
      </c>
      <c r="L124" s="112"/>
    </row>
    <row r="125" spans="1:14" ht="15.75" customHeight="1" x14ac:dyDescent="0.35">
      <c r="A125" s="24" t="s">
        <v>233</v>
      </c>
      <c r="B125" s="24" t="str">
        <f t="shared" si="10"/>
        <v>Gỏi bòSu tím</v>
      </c>
      <c r="C125" t="s">
        <v>8</v>
      </c>
      <c r="D125" t="s">
        <v>19</v>
      </c>
      <c r="E125" t="s">
        <v>129</v>
      </c>
      <c r="F125" t="s">
        <v>22</v>
      </c>
      <c r="G125" s="17">
        <v>6</v>
      </c>
      <c r="H125" s="18">
        <v>14000</v>
      </c>
      <c r="I125" s="18">
        <v>247</v>
      </c>
      <c r="J125" s="17">
        <f t="shared" si="11"/>
        <v>2.4291497975708502E-2</v>
      </c>
      <c r="K125" s="18">
        <f t="shared" si="9"/>
        <v>340.08097165991904</v>
      </c>
      <c r="L125" s="29">
        <f>SUM(K123:K131)</f>
        <v>9314.2712550607284</v>
      </c>
      <c r="M125" t="s">
        <v>121</v>
      </c>
    </row>
    <row r="126" spans="1:14" x14ac:dyDescent="0.35">
      <c r="A126" s="24" t="s">
        <v>233</v>
      </c>
      <c r="B126" s="24" t="str">
        <f t="shared" si="10"/>
        <v>Gỏi bòCà rốt</v>
      </c>
      <c r="C126" t="s">
        <v>8</v>
      </c>
      <c r="D126" t="s">
        <v>19</v>
      </c>
      <c r="E126" t="s">
        <v>129</v>
      </c>
      <c r="F126" t="s">
        <v>78</v>
      </c>
      <c r="G126" s="17">
        <v>4</v>
      </c>
      <c r="H126" s="18">
        <v>18000</v>
      </c>
      <c r="I126" s="18">
        <v>247</v>
      </c>
      <c r="J126" s="17">
        <f t="shared" si="11"/>
        <v>1.6194331983805668E-2</v>
      </c>
      <c r="K126" s="18">
        <f t="shared" si="9"/>
        <v>291.497975708502</v>
      </c>
      <c r="L126" s="104">
        <f>SUM(K132:K140)</f>
        <v>14494.827586206895</v>
      </c>
    </row>
    <row r="127" spans="1:14" x14ac:dyDescent="0.35">
      <c r="A127" s="24" t="s">
        <v>233</v>
      </c>
      <c r="B127" s="24" t="str">
        <f t="shared" si="10"/>
        <v>Gỏi bòQuế</v>
      </c>
      <c r="C127" t="s">
        <v>8</v>
      </c>
      <c r="D127" t="s">
        <v>19</v>
      </c>
      <c r="E127" t="s">
        <v>129</v>
      </c>
      <c r="F127" t="s">
        <v>40</v>
      </c>
      <c r="G127" s="17">
        <v>1.2</v>
      </c>
      <c r="H127" s="18">
        <v>30000</v>
      </c>
      <c r="I127" s="18">
        <v>247</v>
      </c>
      <c r="J127" s="17">
        <f t="shared" si="11"/>
        <v>4.8582995951417006E-3</v>
      </c>
      <c r="K127" s="18">
        <f t="shared" si="9"/>
        <v>145.748987854251</v>
      </c>
      <c r="L127" s="105"/>
    </row>
    <row r="128" spans="1:14" x14ac:dyDescent="0.35">
      <c r="A128" s="24" t="s">
        <v>233</v>
      </c>
      <c r="B128" s="24" t="str">
        <f t="shared" si="10"/>
        <v>Đậu bắp hấpĐậu bắp</v>
      </c>
      <c r="C128" t="s">
        <v>8</v>
      </c>
      <c r="D128" t="s">
        <v>47</v>
      </c>
      <c r="E128" t="s">
        <v>131</v>
      </c>
      <c r="F128" t="s">
        <v>108</v>
      </c>
      <c r="G128" s="17">
        <v>16</v>
      </c>
      <c r="H128" s="18">
        <v>12000</v>
      </c>
      <c r="I128" s="18">
        <v>247</v>
      </c>
      <c r="J128" s="17">
        <f t="shared" si="11"/>
        <v>6.4777327935222673E-2</v>
      </c>
      <c r="K128" s="18">
        <f t="shared" si="9"/>
        <v>777.32793522267207</v>
      </c>
      <c r="L128" s="105"/>
    </row>
    <row r="129" spans="1:14" x14ac:dyDescent="0.35">
      <c r="A129" s="24" t="s">
        <v>233</v>
      </c>
      <c r="B129" s="24" t="str">
        <f t="shared" si="10"/>
        <v>Su thịt bằmSu trắng</v>
      </c>
      <c r="C129" t="s">
        <v>8</v>
      </c>
      <c r="D129" t="s">
        <v>48</v>
      </c>
      <c r="E129" t="s">
        <v>132</v>
      </c>
      <c r="F129" t="s">
        <v>39</v>
      </c>
      <c r="G129" s="17">
        <v>8</v>
      </c>
      <c r="H129" s="18">
        <v>10000</v>
      </c>
      <c r="I129" s="18">
        <v>247</v>
      </c>
      <c r="J129" s="17">
        <f t="shared" si="11"/>
        <v>3.2388663967611336E-2</v>
      </c>
      <c r="K129" s="18">
        <f t="shared" si="9"/>
        <v>323.88663967611336</v>
      </c>
      <c r="L129" s="105"/>
    </row>
    <row r="130" spans="1:14" x14ac:dyDescent="0.35">
      <c r="A130" s="24" t="s">
        <v>232</v>
      </c>
      <c r="B130" s="24" t="str">
        <f t="shared" si="10"/>
        <v>Su thịt bằmThịt bằm</v>
      </c>
      <c r="C130" t="s">
        <v>8</v>
      </c>
      <c r="D130" t="s">
        <v>48</v>
      </c>
      <c r="E130" t="s">
        <v>132</v>
      </c>
      <c r="F130" t="s">
        <v>50</v>
      </c>
      <c r="G130" s="17">
        <v>0.7</v>
      </c>
      <c r="H130" s="18">
        <v>80000</v>
      </c>
      <c r="I130" s="18">
        <v>247</v>
      </c>
      <c r="J130" s="17">
        <f t="shared" si="11"/>
        <v>2.8340080971659917E-3</v>
      </c>
      <c r="K130" s="18">
        <f t="shared" si="9"/>
        <v>226.72064777327935</v>
      </c>
      <c r="L130" s="105"/>
      <c r="M130" t="s">
        <v>88</v>
      </c>
    </row>
    <row r="131" spans="1:14" x14ac:dyDescent="0.35">
      <c r="A131" s="24" t="s">
        <v>233</v>
      </c>
      <c r="B131" s="24" t="str">
        <f t="shared" si="10"/>
        <v>Sữa chuaSữa chua</v>
      </c>
      <c r="C131" t="s">
        <v>8</v>
      </c>
      <c r="D131" t="s">
        <v>51</v>
      </c>
      <c r="E131" t="s">
        <v>51</v>
      </c>
      <c r="F131" t="s">
        <v>51</v>
      </c>
      <c r="G131" s="17">
        <v>247</v>
      </c>
      <c r="H131" s="18">
        <v>4375</v>
      </c>
      <c r="I131" s="18">
        <v>247</v>
      </c>
      <c r="J131" s="17">
        <f t="shared" si="11"/>
        <v>1</v>
      </c>
      <c r="K131" s="18">
        <f t="shared" si="9"/>
        <v>4375</v>
      </c>
      <c r="L131" s="105"/>
    </row>
    <row r="132" spans="1:14" x14ac:dyDescent="0.35">
      <c r="A132" s="24" t="s">
        <v>232</v>
      </c>
      <c r="B132" s="24" t="str">
        <f t="shared" si="10"/>
        <v>Cá hố khoCá hố</v>
      </c>
      <c r="C132" t="s">
        <v>8</v>
      </c>
      <c r="D132" t="s">
        <v>18</v>
      </c>
      <c r="E132" t="s">
        <v>115</v>
      </c>
      <c r="F132" t="s">
        <v>116</v>
      </c>
      <c r="G132" s="17">
        <v>12</v>
      </c>
      <c r="H132" s="18">
        <v>60000</v>
      </c>
      <c r="I132" s="18">
        <v>116</v>
      </c>
      <c r="J132" s="17">
        <f t="shared" si="11"/>
        <v>0.10344827586206896</v>
      </c>
      <c r="K132" s="18">
        <f t="shared" si="9"/>
        <v>6206.8965517241377</v>
      </c>
      <c r="L132" s="105"/>
    </row>
    <row r="133" spans="1:14" x14ac:dyDescent="0.35">
      <c r="A133" s="24" t="s">
        <v>232</v>
      </c>
      <c r="B133" s="24" t="str">
        <f t="shared" si="10"/>
        <v>Heo xào măngba chỉ lóc sườn</v>
      </c>
      <c r="C133" t="s">
        <v>8</v>
      </c>
      <c r="D133" t="s">
        <v>491</v>
      </c>
      <c r="E133" t="s">
        <v>134</v>
      </c>
      <c r="F133" t="s">
        <v>460</v>
      </c>
      <c r="G133" s="17">
        <v>1.5</v>
      </c>
      <c r="H133" s="18">
        <v>85000</v>
      </c>
      <c r="I133" s="18">
        <v>100</v>
      </c>
      <c r="J133" s="17">
        <f t="shared" si="11"/>
        <v>1.4999999999999999E-2</v>
      </c>
      <c r="K133" s="18">
        <f t="shared" si="9"/>
        <v>1275</v>
      </c>
      <c r="L133" s="105"/>
    </row>
    <row r="134" spans="1:14" x14ac:dyDescent="0.35">
      <c r="A134" s="24" t="s">
        <v>232</v>
      </c>
      <c r="B134" s="24" t="str">
        <f t="shared" si="10"/>
        <v>Heo xào măngNạc vai</v>
      </c>
      <c r="C134" t="s">
        <v>8</v>
      </c>
      <c r="D134" t="s">
        <v>491</v>
      </c>
      <c r="E134" t="s">
        <v>134</v>
      </c>
      <c r="F134" t="s">
        <v>60</v>
      </c>
      <c r="G134" s="17">
        <v>2</v>
      </c>
      <c r="H134" s="18">
        <v>100000</v>
      </c>
      <c r="I134" s="18">
        <v>100</v>
      </c>
      <c r="J134" s="17">
        <f t="shared" si="11"/>
        <v>0.02</v>
      </c>
      <c r="K134" s="18">
        <f t="shared" si="9"/>
        <v>2000</v>
      </c>
      <c r="L134" s="25"/>
    </row>
    <row r="135" spans="1:14" ht="15.5" x14ac:dyDescent="0.35">
      <c r="A135" s="24" t="s">
        <v>233</v>
      </c>
      <c r="B135" s="24" t="str">
        <f t="shared" si="10"/>
        <v>Heo xào măngMăng vàng</v>
      </c>
      <c r="C135" t="s">
        <v>8</v>
      </c>
      <c r="D135" t="s">
        <v>491</v>
      </c>
      <c r="E135" t="s">
        <v>134</v>
      </c>
      <c r="F135" t="s">
        <v>136</v>
      </c>
      <c r="G135" s="17">
        <v>4.5</v>
      </c>
      <c r="H135" s="18">
        <v>25000</v>
      </c>
      <c r="I135" s="18">
        <v>100</v>
      </c>
      <c r="J135" s="17">
        <f t="shared" si="11"/>
        <v>4.4999999999999998E-2</v>
      </c>
      <c r="K135" s="18">
        <f t="shared" si="9"/>
        <v>1125</v>
      </c>
      <c r="L135" s="29">
        <f>SUM(K132:K141)</f>
        <v>18869.827586206895</v>
      </c>
      <c r="M135" t="s">
        <v>89</v>
      </c>
    </row>
    <row r="136" spans="1:14" x14ac:dyDescent="0.35">
      <c r="A136" s="24" t="s">
        <v>233</v>
      </c>
      <c r="B136" s="24" t="str">
        <f t="shared" si="10"/>
        <v>Mướp xào giáMướp</v>
      </c>
      <c r="C136" t="s">
        <v>8</v>
      </c>
      <c r="D136" t="s">
        <v>47</v>
      </c>
      <c r="E136" t="s">
        <v>71</v>
      </c>
      <c r="F136" t="s">
        <v>72</v>
      </c>
      <c r="G136" s="17">
        <v>7</v>
      </c>
      <c r="H136" s="18">
        <v>10000</v>
      </c>
      <c r="I136" s="18">
        <v>116</v>
      </c>
      <c r="J136" s="17">
        <f t="shared" si="11"/>
        <v>6.0344827586206899E-2</v>
      </c>
      <c r="K136" s="18">
        <f t="shared" si="9"/>
        <v>603.44827586206895</v>
      </c>
      <c r="L136" s="104">
        <f>SUM(K142:K158)</f>
        <v>15354.538461538461</v>
      </c>
    </row>
    <row r="137" spans="1:14" x14ac:dyDescent="0.35">
      <c r="A137" s="24" t="s">
        <v>233</v>
      </c>
      <c r="B137" s="24" t="str">
        <f t="shared" si="10"/>
        <v>Mướp xào giáGiá</v>
      </c>
      <c r="C137" t="s">
        <v>8</v>
      </c>
      <c r="D137" t="s">
        <v>47</v>
      </c>
      <c r="E137" t="s">
        <v>71</v>
      </c>
      <c r="F137" t="s">
        <v>26</v>
      </c>
      <c r="G137" s="17">
        <v>6</v>
      </c>
      <c r="H137" s="18">
        <v>10000</v>
      </c>
      <c r="I137" s="18">
        <v>116</v>
      </c>
      <c r="J137" s="17">
        <f t="shared" si="11"/>
        <v>5.1724137931034482E-2</v>
      </c>
      <c r="K137" s="18">
        <f t="shared" si="9"/>
        <v>517.24137931034488</v>
      </c>
      <c r="L137" s="104"/>
    </row>
    <row r="138" spans="1:14" x14ac:dyDescent="0.35">
      <c r="A138" s="24" t="s">
        <v>233</v>
      </c>
      <c r="B138" s="24" t="str">
        <f t="shared" si="10"/>
        <v>Rau má thịt bằmRau má</v>
      </c>
      <c r="C138" t="s">
        <v>8</v>
      </c>
      <c r="D138" t="s">
        <v>48</v>
      </c>
      <c r="E138" t="s">
        <v>118</v>
      </c>
      <c r="F138" t="s">
        <v>119</v>
      </c>
      <c r="G138" s="17">
        <v>4</v>
      </c>
      <c r="H138" s="18">
        <v>18000</v>
      </c>
      <c r="I138" s="18">
        <v>116</v>
      </c>
      <c r="J138" s="17">
        <f t="shared" si="11"/>
        <v>3.4482758620689655E-2</v>
      </c>
      <c r="K138" s="18">
        <f t="shared" si="9"/>
        <v>620.68965517241384</v>
      </c>
      <c r="L138" s="104"/>
    </row>
    <row r="139" spans="1:14" x14ac:dyDescent="0.35">
      <c r="A139" s="24" t="s">
        <v>232</v>
      </c>
      <c r="B139" s="24" t="str">
        <f t="shared" si="10"/>
        <v>Rau má thịt bằmThịt bằm</v>
      </c>
      <c r="C139" t="s">
        <v>8</v>
      </c>
      <c r="D139" t="s">
        <v>48</v>
      </c>
      <c r="E139" t="s">
        <v>118</v>
      </c>
      <c r="F139" t="s">
        <v>50</v>
      </c>
      <c r="G139" s="17">
        <v>0.3</v>
      </c>
      <c r="H139" s="18">
        <v>80000</v>
      </c>
      <c r="I139" s="18">
        <v>116</v>
      </c>
      <c r="J139" s="17">
        <f t="shared" si="11"/>
        <v>2.5862068965517241E-3</v>
      </c>
      <c r="K139" s="18">
        <f t="shared" si="9"/>
        <v>206.89655172413794</v>
      </c>
      <c r="L139" s="105"/>
    </row>
    <row r="140" spans="1:14" x14ac:dyDescent="0.35">
      <c r="A140" s="24" t="s">
        <v>233</v>
      </c>
      <c r="B140" s="24" t="str">
        <f t="shared" si="10"/>
        <v>Trái câyChôm chôm</v>
      </c>
      <c r="C140" t="s">
        <v>8</v>
      </c>
      <c r="D140" t="s">
        <v>52</v>
      </c>
      <c r="E140" t="s">
        <v>17</v>
      </c>
      <c r="F140" t="s">
        <v>133</v>
      </c>
      <c r="G140" s="17">
        <v>9</v>
      </c>
      <c r="H140" s="18">
        <v>25000</v>
      </c>
      <c r="I140" s="18">
        <v>116</v>
      </c>
      <c r="J140" s="17">
        <f t="shared" si="11"/>
        <v>7.7586206896551727E-2</v>
      </c>
      <c r="K140" s="18">
        <f t="shared" si="9"/>
        <v>1939.655172413793</v>
      </c>
      <c r="L140" s="105"/>
    </row>
    <row r="141" spans="1:14" x14ac:dyDescent="0.35">
      <c r="A141" s="24" t="s">
        <v>233</v>
      </c>
      <c r="B141" s="24" t="str">
        <f t="shared" si="10"/>
        <v>Sữa chuaSữa chua</v>
      </c>
      <c r="C141" t="s">
        <v>8</v>
      </c>
      <c r="D141" t="s">
        <v>51</v>
      </c>
      <c r="E141" t="s">
        <v>51</v>
      </c>
      <c r="F141" t="s">
        <v>51</v>
      </c>
      <c r="G141" s="17">
        <v>40</v>
      </c>
      <c r="H141" s="18">
        <v>4375</v>
      </c>
      <c r="I141" s="18">
        <v>40</v>
      </c>
      <c r="J141" s="17">
        <f t="shared" si="11"/>
        <v>1</v>
      </c>
      <c r="K141" s="18">
        <f t="shared" si="9"/>
        <v>4375</v>
      </c>
      <c r="L141" s="105"/>
    </row>
    <row r="142" spans="1:14" x14ac:dyDescent="0.35">
      <c r="A142" s="24" t="s">
        <v>232</v>
      </c>
      <c r="B142" s="24" t="str">
        <f t="shared" si="10"/>
        <v xml:space="preserve">Bún bò chả cuaChanh </v>
      </c>
      <c r="C142" s="24" t="s">
        <v>8</v>
      </c>
      <c r="D142" t="s">
        <v>20</v>
      </c>
      <c r="E142" t="s">
        <v>478</v>
      </c>
      <c r="F142" t="s">
        <v>36</v>
      </c>
      <c r="G142" s="17">
        <v>0.8</v>
      </c>
      <c r="H142" s="18">
        <v>26000</v>
      </c>
      <c r="I142" s="18">
        <v>100</v>
      </c>
      <c r="J142" s="17">
        <f t="shared" si="11"/>
        <v>8.0000000000000002E-3</v>
      </c>
      <c r="K142" s="18">
        <f t="shared" si="9"/>
        <v>208</v>
      </c>
      <c r="L142" s="105"/>
      <c r="M142" t="s">
        <v>150</v>
      </c>
    </row>
    <row r="143" spans="1:14" x14ac:dyDescent="0.35">
      <c r="A143" s="24" t="s">
        <v>232</v>
      </c>
      <c r="B143" s="24" t="str">
        <f t="shared" si="10"/>
        <v>Bún bò chả cuaHành lá</v>
      </c>
      <c r="C143" s="24" t="s">
        <v>8</v>
      </c>
      <c r="D143" t="s">
        <v>20</v>
      </c>
      <c r="E143" t="s">
        <v>478</v>
      </c>
      <c r="F143" t="s">
        <v>24</v>
      </c>
      <c r="G143" s="17">
        <v>0.4</v>
      </c>
      <c r="H143" s="18">
        <v>20000</v>
      </c>
      <c r="I143" s="18">
        <v>100</v>
      </c>
      <c r="J143" s="17">
        <f t="shared" si="11"/>
        <v>4.0000000000000001E-3</v>
      </c>
      <c r="K143" s="18">
        <f t="shared" si="9"/>
        <v>80</v>
      </c>
      <c r="L143" s="105"/>
      <c r="N143" s="30"/>
    </row>
    <row r="144" spans="1:14" x14ac:dyDescent="0.35">
      <c r="A144" s="24" t="s">
        <v>232</v>
      </c>
      <c r="B144" s="24" t="str">
        <f t="shared" si="10"/>
        <v>Bún bò chả cuaHành tây</v>
      </c>
      <c r="C144" s="24" t="s">
        <v>8</v>
      </c>
      <c r="D144" t="s">
        <v>20</v>
      </c>
      <c r="E144" t="s">
        <v>478</v>
      </c>
      <c r="F144" t="s">
        <v>35</v>
      </c>
      <c r="G144" s="17">
        <v>1.5</v>
      </c>
      <c r="H144" s="2">
        <v>15000</v>
      </c>
      <c r="I144" s="18">
        <v>100</v>
      </c>
      <c r="J144" s="17">
        <f t="shared" si="11"/>
        <v>1.4999999999999999E-2</v>
      </c>
      <c r="K144" s="18">
        <f t="shared" si="9"/>
        <v>225</v>
      </c>
      <c r="L144" s="105"/>
    </row>
    <row r="145" spans="1:12" x14ac:dyDescent="0.35">
      <c r="A145" s="24" t="s">
        <v>233</v>
      </c>
      <c r="B145" s="24" t="str">
        <f t="shared" si="10"/>
        <v xml:space="preserve">Bún bò chả cuaGiá </v>
      </c>
      <c r="C145" s="24" t="s">
        <v>8</v>
      </c>
      <c r="D145" t="s">
        <v>20</v>
      </c>
      <c r="E145" t="s">
        <v>478</v>
      </c>
      <c r="F145" t="s">
        <v>148</v>
      </c>
      <c r="G145" s="17">
        <v>2.5</v>
      </c>
      <c r="H145" s="18">
        <v>10000</v>
      </c>
      <c r="I145" s="18">
        <v>100</v>
      </c>
      <c r="J145" s="17">
        <f t="shared" si="11"/>
        <v>2.5000000000000001E-2</v>
      </c>
      <c r="K145" s="18">
        <f t="shared" si="9"/>
        <v>250</v>
      </c>
      <c r="L145" s="105"/>
    </row>
    <row r="146" spans="1:12" x14ac:dyDescent="0.35">
      <c r="A146" s="24" t="s">
        <v>233</v>
      </c>
      <c r="B146" s="24" t="str">
        <f t="shared" si="10"/>
        <v>Bún bò chả cuaỚt xanh huế</v>
      </c>
      <c r="C146" s="24" t="s">
        <v>8</v>
      </c>
      <c r="D146" t="s">
        <v>20</v>
      </c>
      <c r="E146" t="s">
        <v>478</v>
      </c>
      <c r="F146" t="s">
        <v>270</v>
      </c>
      <c r="G146" s="17">
        <v>0.3</v>
      </c>
      <c r="H146" s="18">
        <v>30000</v>
      </c>
      <c r="I146" s="18">
        <v>100</v>
      </c>
      <c r="J146" s="17">
        <f t="shared" si="11"/>
        <v>3.0000000000000001E-3</v>
      </c>
      <c r="K146" s="18">
        <f t="shared" si="9"/>
        <v>90</v>
      </c>
      <c r="L146" s="105"/>
    </row>
    <row r="147" spans="1:12" ht="15.5" x14ac:dyDescent="0.35">
      <c r="A147" s="24" t="s">
        <v>233</v>
      </c>
      <c r="B147" s="24" t="str">
        <f t="shared" si="10"/>
        <v>Bún bò chả cuaRau quế</v>
      </c>
      <c r="C147" s="24" t="s">
        <v>8</v>
      </c>
      <c r="D147" t="s">
        <v>20</v>
      </c>
      <c r="E147" t="s">
        <v>478</v>
      </c>
      <c r="F147" t="s">
        <v>23</v>
      </c>
      <c r="G147" s="17">
        <v>0.4</v>
      </c>
      <c r="H147" s="18">
        <v>30000</v>
      </c>
      <c r="I147" s="18">
        <v>100</v>
      </c>
      <c r="J147" s="17">
        <f t="shared" si="11"/>
        <v>4.0000000000000001E-3</v>
      </c>
      <c r="K147" s="18">
        <f t="shared" si="9"/>
        <v>120</v>
      </c>
      <c r="L147" s="25"/>
    </row>
    <row r="148" spans="1:12" ht="15.5" x14ac:dyDescent="0.35">
      <c r="A148" s="24" t="s">
        <v>233</v>
      </c>
      <c r="B148" s="24" t="str">
        <f t="shared" si="10"/>
        <v>Bún bò chả cuaXà lách</v>
      </c>
      <c r="C148" s="24" t="s">
        <v>8</v>
      </c>
      <c r="D148" t="s">
        <v>20</v>
      </c>
      <c r="E148" t="s">
        <v>478</v>
      </c>
      <c r="F148" t="s">
        <v>197</v>
      </c>
      <c r="G148" s="17">
        <v>2.2000000000000002</v>
      </c>
      <c r="H148" s="18">
        <v>22000</v>
      </c>
      <c r="I148" s="18">
        <v>100</v>
      </c>
      <c r="J148" s="17">
        <f t="shared" si="11"/>
        <v>2.2000000000000002E-2</v>
      </c>
      <c r="K148" s="18">
        <f t="shared" si="9"/>
        <v>484.00000000000006</v>
      </c>
      <c r="L148" s="25"/>
    </row>
    <row r="149" spans="1:12" ht="15.5" x14ac:dyDescent="0.35">
      <c r="A149" s="24" t="s">
        <v>232</v>
      </c>
      <c r="B149" s="24" t="str">
        <f t="shared" si="10"/>
        <v>Bún bò chả cuaNạm bò M19</v>
      </c>
      <c r="C149" s="24" t="s">
        <v>8</v>
      </c>
      <c r="D149" t="s">
        <v>20</v>
      </c>
      <c r="E149" t="s">
        <v>478</v>
      </c>
      <c r="F149" t="s">
        <v>405</v>
      </c>
      <c r="G149" s="17">
        <v>7</v>
      </c>
      <c r="H149" s="18">
        <v>90000</v>
      </c>
      <c r="I149" s="18">
        <v>100</v>
      </c>
      <c r="J149" s="17">
        <f t="shared" si="11"/>
        <v>7.0000000000000007E-2</v>
      </c>
      <c r="K149" s="18">
        <f t="shared" si="9"/>
        <v>6300</v>
      </c>
      <c r="L149" s="25"/>
    </row>
    <row r="150" spans="1:12" ht="15.5" x14ac:dyDescent="0.35">
      <c r="A150" s="24" t="s">
        <v>232</v>
      </c>
      <c r="B150" s="24" t="str">
        <f t="shared" si="10"/>
        <v>Bún bò chả cuaChả cua</v>
      </c>
      <c r="C150" s="24" t="s">
        <v>8</v>
      </c>
      <c r="D150" t="s">
        <v>20</v>
      </c>
      <c r="E150" t="s">
        <v>478</v>
      </c>
      <c r="F150" t="s">
        <v>376</v>
      </c>
      <c r="G150" s="17">
        <v>1.5</v>
      </c>
      <c r="H150" s="18">
        <v>110000</v>
      </c>
      <c r="I150" s="18">
        <v>100</v>
      </c>
      <c r="J150" s="17">
        <f t="shared" si="11"/>
        <v>1.4999999999999999E-2</v>
      </c>
      <c r="K150" s="18">
        <f t="shared" si="9"/>
        <v>1650</v>
      </c>
      <c r="L150" s="25"/>
    </row>
    <row r="151" spans="1:12" ht="15.5" x14ac:dyDescent="0.35">
      <c r="A151" s="24" t="s">
        <v>232</v>
      </c>
      <c r="B151" s="24" t="str">
        <f t="shared" si="10"/>
        <v>Bún bò chả cuaXương ống bò</v>
      </c>
      <c r="C151" s="24" t="s">
        <v>8</v>
      </c>
      <c r="D151" t="s">
        <v>20</v>
      </c>
      <c r="E151" t="s">
        <v>478</v>
      </c>
      <c r="F151" t="s">
        <v>381</v>
      </c>
      <c r="G151" s="17">
        <v>1.5</v>
      </c>
      <c r="H151" s="18">
        <v>30000</v>
      </c>
      <c r="I151" s="18">
        <v>100</v>
      </c>
      <c r="J151" s="17">
        <f t="shared" si="11"/>
        <v>1.4999999999999999E-2</v>
      </c>
      <c r="K151" s="18">
        <f t="shared" si="9"/>
        <v>450</v>
      </c>
      <c r="L151" s="25"/>
    </row>
    <row r="152" spans="1:12" ht="15.5" x14ac:dyDescent="0.35">
      <c r="A152" s="24" t="s">
        <v>232</v>
      </c>
      <c r="B152" s="24" t="str">
        <f t="shared" si="10"/>
        <v>Bún bò chả cuaHuyết bò</v>
      </c>
      <c r="C152" s="24" t="s">
        <v>8</v>
      </c>
      <c r="D152" t="s">
        <v>20</v>
      </c>
      <c r="E152" t="s">
        <v>478</v>
      </c>
      <c r="F152" t="s">
        <v>167</v>
      </c>
      <c r="G152" s="17">
        <v>2.5</v>
      </c>
      <c r="H152" s="18">
        <v>30000</v>
      </c>
      <c r="I152" s="18">
        <v>100</v>
      </c>
      <c r="J152" s="17">
        <f t="shared" si="11"/>
        <v>2.5000000000000001E-2</v>
      </c>
      <c r="K152" s="18">
        <f t="shared" si="9"/>
        <v>750</v>
      </c>
      <c r="L152" s="25"/>
    </row>
    <row r="153" spans="1:12" ht="15.5" x14ac:dyDescent="0.35">
      <c r="A153" s="24" t="s">
        <v>233</v>
      </c>
      <c r="B153" s="24" t="str">
        <f t="shared" si="10"/>
        <v>Bún bò chả cuaĐu đủ</v>
      </c>
      <c r="C153" s="24" t="s">
        <v>8</v>
      </c>
      <c r="D153" t="s">
        <v>20</v>
      </c>
      <c r="E153" t="s">
        <v>478</v>
      </c>
      <c r="F153" t="s">
        <v>367</v>
      </c>
      <c r="G153" s="17">
        <v>0.8</v>
      </c>
      <c r="H153" s="18">
        <v>12000</v>
      </c>
      <c r="I153" s="18">
        <v>100</v>
      </c>
      <c r="J153" s="17">
        <f t="shared" si="11"/>
        <v>8.0000000000000002E-3</v>
      </c>
      <c r="K153" s="18">
        <f t="shared" si="9"/>
        <v>96</v>
      </c>
      <c r="L153" s="25"/>
    </row>
    <row r="154" spans="1:12" ht="15.5" x14ac:dyDescent="0.35">
      <c r="A154" s="24" t="s">
        <v>233</v>
      </c>
      <c r="B154" s="24" t="str">
        <f t="shared" si="10"/>
        <v>Bún bò chả cuaHành tái</v>
      </c>
      <c r="C154" s="24" t="s">
        <v>8</v>
      </c>
      <c r="D154" t="s">
        <v>20</v>
      </c>
      <c r="E154" t="s">
        <v>478</v>
      </c>
      <c r="F154" t="s">
        <v>371</v>
      </c>
      <c r="G154" s="17">
        <v>0.3</v>
      </c>
      <c r="H154" s="18">
        <v>40000</v>
      </c>
      <c r="I154" s="18">
        <v>100</v>
      </c>
      <c r="J154" s="17">
        <f t="shared" si="11"/>
        <v>3.0000000000000001E-3</v>
      </c>
      <c r="K154" s="18">
        <f t="shared" si="9"/>
        <v>120</v>
      </c>
      <c r="L154" s="25"/>
    </row>
    <row r="155" spans="1:12" ht="15.5" x14ac:dyDescent="0.35">
      <c r="A155" s="24" t="s">
        <v>233</v>
      </c>
      <c r="B155" s="24" t="str">
        <f t="shared" si="10"/>
        <v>Bún bò chả cuaCà rốt</v>
      </c>
      <c r="C155" s="24" t="s">
        <v>8</v>
      </c>
      <c r="D155" t="s">
        <v>20</v>
      </c>
      <c r="E155" t="s">
        <v>478</v>
      </c>
      <c r="F155" t="s">
        <v>78</v>
      </c>
      <c r="G155" s="17">
        <v>0.8</v>
      </c>
      <c r="H155" s="18">
        <v>15000</v>
      </c>
      <c r="I155" s="18">
        <v>100</v>
      </c>
      <c r="J155" s="17">
        <f t="shared" si="11"/>
        <v>8.0000000000000002E-3</v>
      </c>
      <c r="K155" s="18">
        <f t="shared" si="9"/>
        <v>120</v>
      </c>
      <c r="L155" s="25"/>
    </row>
    <row r="156" spans="1:12" ht="15.5" x14ac:dyDescent="0.35">
      <c r="A156" s="24" t="s">
        <v>232</v>
      </c>
      <c r="B156" s="24" t="str">
        <f t="shared" si="10"/>
        <v>Bún bò chả cuabún tươi</v>
      </c>
      <c r="C156" s="24" t="s">
        <v>8</v>
      </c>
      <c r="D156" t="s">
        <v>20</v>
      </c>
      <c r="E156" t="s">
        <v>478</v>
      </c>
      <c r="F156" t="s">
        <v>467</v>
      </c>
      <c r="G156" s="17">
        <v>33</v>
      </c>
      <c r="H156" s="18">
        <v>10000</v>
      </c>
      <c r="I156" s="18">
        <v>100</v>
      </c>
      <c r="J156" s="17">
        <f t="shared" si="11"/>
        <v>0.33</v>
      </c>
      <c r="K156" s="18">
        <f t="shared" si="9"/>
        <v>3300</v>
      </c>
      <c r="L156" s="25"/>
    </row>
    <row r="157" spans="1:12" ht="15.5" x14ac:dyDescent="0.35">
      <c r="A157" s="24" t="s">
        <v>233</v>
      </c>
      <c r="B157" s="24" t="str">
        <f t="shared" si="10"/>
        <v>Bún bò chả cuaSả</v>
      </c>
      <c r="C157" s="24" t="s">
        <v>8</v>
      </c>
      <c r="D157" t="s">
        <v>20</v>
      </c>
      <c r="E157" t="s">
        <v>478</v>
      </c>
      <c r="F157" t="s">
        <v>207</v>
      </c>
      <c r="G157" s="17">
        <v>0.5</v>
      </c>
      <c r="H157" s="18">
        <v>30000</v>
      </c>
      <c r="I157" s="18">
        <v>100</v>
      </c>
      <c r="J157" s="17">
        <f t="shared" si="11"/>
        <v>5.0000000000000001E-3</v>
      </c>
      <c r="K157" s="18">
        <f t="shared" si="9"/>
        <v>150</v>
      </c>
      <c r="L157" s="25"/>
    </row>
    <row r="158" spans="1:12" x14ac:dyDescent="0.35">
      <c r="A158" s="24" t="s">
        <v>233</v>
      </c>
      <c r="B158" s="24" t="str">
        <f t="shared" si="10"/>
        <v>Trái câyTáo</v>
      </c>
      <c r="C158" s="24" t="s">
        <v>8</v>
      </c>
      <c r="D158" t="s">
        <v>52</v>
      </c>
      <c r="E158" t="s">
        <v>17</v>
      </c>
      <c r="F158" t="s">
        <v>149</v>
      </c>
      <c r="G158" s="17">
        <v>9</v>
      </c>
      <c r="H158" s="18">
        <v>25000</v>
      </c>
      <c r="I158" s="18">
        <v>234</v>
      </c>
      <c r="J158" s="17">
        <f t="shared" si="11"/>
        <v>3.8461538461538464E-2</v>
      </c>
      <c r="K158" s="18">
        <f t="shared" si="9"/>
        <v>961.53846153846155</v>
      </c>
    </row>
    <row r="159" spans="1:12" x14ac:dyDescent="0.35">
      <c r="A159" s="24" t="s">
        <v>232</v>
      </c>
      <c r="B159" s="24" t="str">
        <f t="shared" si="10"/>
        <v>Mỳ cá lócChanh</v>
      </c>
      <c r="C159" s="24" t="s">
        <v>8</v>
      </c>
      <c r="D159" t="s">
        <v>20</v>
      </c>
      <c r="E159" t="s">
        <v>286</v>
      </c>
      <c r="F159" s="24" t="s">
        <v>25</v>
      </c>
      <c r="G159" s="17">
        <v>0.8</v>
      </c>
      <c r="H159" s="18">
        <v>26000</v>
      </c>
      <c r="I159" s="18">
        <v>100</v>
      </c>
      <c r="J159" s="17">
        <f t="shared" si="11"/>
        <v>8.0000000000000002E-3</v>
      </c>
      <c r="K159" s="18">
        <f t="shared" si="9"/>
        <v>208</v>
      </c>
    </row>
    <row r="160" spans="1:12" x14ac:dyDescent="0.35">
      <c r="A160" s="24" t="s">
        <v>233</v>
      </c>
      <c r="B160" s="24" t="str">
        <f t="shared" si="10"/>
        <v>Mỳ cá lócGiá</v>
      </c>
      <c r="C160" s="24" t="s">
        <v>8</v>
      </c>
      <c r="D160" t="s">
        <v>20</v>
      </c>
      <c r="E160" t="s">
        <v>286</v>
      </c>
      <c r="F160" s="24" t="s">
        <v>26</v>
      </c>
      <c r="G160" s="17">
        <v>2.5</v>
      </c>
      <c r="H160" s="18">
        <v>10000</v>
      </c>
      <c r="I160" s="18">
        <v>100</v>
      </c>
      <c r="J160" s="17">
        <f t="shared" si="11"/>
        <v>2.5000000000000001E-2</v>
      </c>
      <c r="K160" s="18">
        <f t="shared" si="9"/>
        <v>250</v>
      </c>
    </row>
    <row r="161" spans="1:11" x14ac:dyDescent="0.35">
      <c r="A161" s="24" t="s">
        <v>233</v>
      </c>
      <c r="B161" s="24" t="str">
        <f t="shared" si="10"/>
        <v>Mỳ cá lócHành lá</v>
      </c>
      <c r="C161" s="24" t="s">
        <v>8</v>
      </c>
      <c r="D161" t="s">
        <v>20</v>
      </c>
      <c r="E161" t="s">
        <v>286</v>
      </c>
      <c r="F161" s="24" t="s">
        <v>24</v>
      </c>
      <c r="G161" s="17">
        <v>0.4</v>
      </c>
      <c r="H161" s="18">
        <v>20000</v>
      </c>
      <c r="I161" s="18">
        <v>100</v>
      </c>
      <c r="J161" s="17">
        <f t="shared" si="11"/>
        <v>4.0000000000000001E-3</v>
      </c>
      <c r="K161" s="18">
        <f t="shared" si="9"/>
        <v>80</v>
      </c>
    </row>
    <row r="162" spans="1:11" x14ac:dyDescent="0.35">
      <c r="A162" s="24" t="s">
        <v>233</v>
      </c>
      <c r="B162" s="24" t="str">
        <f t="shared" si="10"/>
        <v>Mỳ cá lócXà lách</v>
      </c>
      <c r="C162" s="24" t="s">
        <v>8</v>
      </c>
      <c r="D162" t="s">
        <v>20</v>
      </c>
      <c r="E162" t="s">
        <v>286</v>
      </c>
      <c r="F162" s="24" t="s">
        <v>197</v>
      </c>
      <c r="G162" s="17">
        <v>2</v>
      </c>
      <c r="H162" s="18">
        <v>22000</v>
      </c>
      <c r="I162" s="18">
        <v>100</v>
      </c>
      <c r="J162" s="17">
        <f t="shared" si="11"/>
        <v>0.02</v>
      </c>
      <c r="K162" s="18">
        <f t="shared" si="9"/>
        <v>440</v>
      </c>
    </row>
    <row r="163" spans="1:11" x14ac:dyDescent="0.35">
      <c r="A163" s="24" t="s">
        <v>233</v>
      </c>
      <c r="B163" s="24" t="str">
        <f t="shared" si="10"/>
        <v>Mỳ cá lócĐậu phộng rang</v>
      </c>
      <c r="C163" s="24" t="s">
        <v>8</v>
      </c>
      <c r="D163" t="s">
        <v>20</v>
      </c>
      <c r="E163" t="s">
        <v>286</v>
      </c>
      <c r="F163" s="24" t="s">
        <v>303</v>
      </c>
      <c r="G163" s="17">
        <v>0.7</v>
      </c>
      <c r="H163" s="18">
        <v>50000</v>
      </c>
      <c r="I163" s="18">
        <v>100</v>
      </c>
      <c r="J163" s="17">
        <f t="shared" si="11"/>
        <v>6.9999999999999993E-3</v>
      </c>
      <c r="K163" s="18">
        <f t="shared" si="9"/>
        <v>350</v>
      </c>
    </row>
    <row r="164" spans="1:11" x14ac:dyDescent="0.35">
      <c r="A164" s="24" t="s">
        <v>233</v>
      </c>
      <c r="B164" s="24" t="str">
        <f t="shared" si="10"/>
        <v>Mỳ cá lócNgò gai</v>
      </c>
      <c r="C164" s="24" t="s">
        <v>8</v>
      </c>
      <c r="D164" t="s">
        <v>20</v>
      </c>
      <c r="E164" t="s">
        <v>286</v>
      </c>
      <c r="F164" s="24" t="s">
        <v>101</v>
      </c>
      <c r="G164" s="17">
        <v>10</v>
      </c>
      <c r="H164" s="18">
        <v>35000</v>
      </c>
      <c r="I164" s="18">
        <v>100</v>
      </c>
      <c r="J164" s="17">
        <f t="shared" si="11"/>
        <v>0.1</v>
      </c>
      <c r="K164" s="18">
        <f t="shared" si="9"/>
        <v>3500</v>
      </c>
    </row>
    <row r="165" spans="1:11" x14ac:dyDescent="0.35">
      <c r="A165" s="24" t="s">
        <v>233</v>
      </c>
      <c r="B165" s="24" t="str">
        <f t="shared" si="10"/>
        <v>Mỳ cá lócỚt xanh</v>
      </c>
      <c r="C165" s="24" t="s">
        <v>8</v>
      </c>
      <c r="D165" t="s">
        <v>20</v>
      </c>
      <c r="E165" t="s">
        <v>286</v>
      </c>
      <c r="F165" s="24" t="s">
        <v>400</v>
      </c>
      <c r="G165" s="17">
        <v>0.2</v>
      </c>
      <c r="H165" s="18">
        <v>30000</v>
      </c>
      <c r="I165" s="18">
        <v>100</v>
      </c>
      <c r="J165" s="17">
        <f t="shared" si="11"/>
        <v>2E-3</v>
      </c>
      <c r="K165" s="18">
        <f t="shared" si="9"/>
        <v>60</v>
      </c>
    </row>
    <row r="166" spans="1:11" x14ac:dyDescent="0.35">
      <c r="A166" s="24" t="s">
        <v>233</v>
      </c>
      <c r="B166" s="24" t="str">
        <f t="shared" si="10"/>
        <v>Mỳ cá lócRau quế</v>
      </c>
      <c r="C166" s="24" t="s">
        <v>8</v>
      </c>
      <c r="D166" t="s">
        <v>20</v>
      </c>
      <c r="E166" t="s">
        <v>286</v>
      </c>
      <c r="F166" s="24" t="s">
        <v>23</v>
      </c>
      <c r="G166" s="17">
        <v>0.3</v>
      </c>
      <c r="H166" s="18">
        <v>30000</v>
      </c>
      <c r="I166" s="18">
        <v>100</v>
      </c>
      <c r="J166" s="17">
        <f t="shared" si="11"/>
        <v>3.0000000000000001E-3</v>
      </c>
      <c r="K166" s="18">
        <f t="shared" si="9"/>
        <v>90</v>
      </c>
    </row>
    <row r="167" spans="1:11" x14ac:dyDescent="0.35">
      <c r="A167" s="24" t="s">
        <v>233</v>
      </c>
      <c r="B167" s="24" t="str">
        <f t="shared" si="10"/>
        <v>Mỳ cá lócSu trắng</v>
      </c>
      <c r="C167" s="24" t="s">
        <v>8</v>
      </c>
      <c r="D167" t="s">
        <v>20</v>
      </c>
      <c r="E167" t="s">
        <v>286</v>
      </c>
      <c r="F167" s="24" t="s">
        <v>39</v>
      </c>
      <c r="G167" s="17">
        <v>1</v>
      </c>
      <c r="H167" s="18">
        <v>10000</v>
      </c>
      <c r="I167" s="18">
        <v>100</v>
      </c>
      <c r="J167" s="17">
        <f t="shared" si="11"/>
        <v>0.01</v>
      </c>
      <c r="K167" s="18">
        <f t="shared" si="9"/>
        <v>100</v>
      </c>
    </row>
    <row r="168" spans="1:11" x14ac:dyDescent="0.35">
      <c r="A168" s="24" t="s">
        <v>232</v>
      </c>
      <c r="B168" s="24" t="str">
        <f t="shared" si="10"/>
        <v>Mỳ cá lócCá lóc</v>
      </c>
      <c r="C168" s="24" t="s">
        <v>8</v>
      </c>
      <c r="D168" t="s">
        <v>20</v>
      </c>
      <c r="E168" t="s">
        <v>286</v>
      </c>
      <c r="F168" s="24" t="s">
        <v>111</v>
      </c>
      <c r="G168" s="17">
        <v>12.5</v>
      </c>
      <c r="H168" s="18">
        <v>70000</v>
      </c>
      <c r="I168" s="18">
        <v>100</v>
      </c>
      <c r="J168" s="17">
        <f t="shared" si="11"/>
        <v>0.125</v>
      </c>
      <c r="K168" s="18">
        <f t="shared" si="9"/>
        <v>8750</v>
      </c>
    </row>
    <row r="169" spans="1:11" x14ac:dyDescent="0.35">
      <c r="A169" s="24" t="s">
        <v>233</v>
      </c>
      <c r="B169" s="24" t="str">
        <f t="shared" si="10"/>
        <v>Mỳ cá lócMỳ tươi</v>
      </c>
      <c r="C169" s="24" t="s">
        <v>8</v>
      </c>
      <c r="D169" t="s">
        <v>20</v>
      </c>
      <c r="E169" t="s">
        <v>286</v>
      </c>
      <c r="F169" t="s">
        <v>389</v>
      </c>
      <c r="G169" s="17">
        <v>33</v>
      </c>
      <c r="H169" s="18">
        <v>9500</v>
      </c>
      <c r="I169" s="18">
        <v>100</v>
      </c>
      <c r="J169" s="17">
        <f t="shared" si="11"/>
        <v>0.33</v>
      </c>
      <c r="K169" s="18">
        <f t="shared" si="9"/>
        <v>3135</v>
      </c>
    </row>
    <row r="170" spans="1:11" x14ac:dyDescent="0.35">
      <c r="A170" s="24" t="s">
        <v>233</v>
      </c>
      <c r="B170" s="24" t="str">
        <f t="shared" si="10"/>
        <v>Mỳ cá lócchuối cây cắt sẵn</v>
      </c>
      <c r="C170" s="24" t="s">
        <v>8</v>
      </c>
      <c r="D170" t="s">
        <v>20</v>
      </c>
      <c r="E170" t="s">
        <v>286</v>
      </c>
      <c r="F170" t="s">
        <v>462</v>
      </c>
      <c r="G170" s="17">
        <v>0.5</v>
      </c>
      <c r="H170" s="18">
        <v>15000</v>
      </c>
      <c r="I170" s="18">
        <v>100</v>
      </c>
      <c r="J170" s="17">
        <f t="shared" si="11"/>
        <v>5.0000000000000001E-3</v>
      </c>
      <c r="K170" s="18">
        <f t="shared" si="9"/>
        <v>75</v>
      </c>
    </row>
    <row r="171" spans="1:11" x14ac:dyDescent="0.35">
      <c r="A171" s="24" t="s">
        <v>232</v>
      </c>
      <c r="B171" s="24" t="str">
        <f t="shared" si="10"/>
        <v>Cá nhói kho nghệCá nhói</v>
      </c>
      <c r="C171" t="s">
        <v>8</v>
      </c>
      <c r="D171" t="s">
        <v>18</v>
      </c>
      <c r="E171" t="s">
        <v>151</v>
      </c>
      <c r="F171" t="s">
        <v>152</v>
      </c>
      <c r="G171" s="17">
        <v>12</v>
      </c>
      <c r="H171" s="18">
        <v>48000</v>
      </c>
      <c r="I171" s="18">
        <v>120</v>
      </c>
      <c r="J171" s="17">
        <f t="shared" si="11"/>
        <v>0.1</v>
      </c>
      <c r="K171" s="18">
        <f t="shared" si="9"/>
        <v>4800</v>
      </c>
    </row>
    <row r="172" spans="1:11" x14ac:dyDescent="0.35">
      <c r="A172" s="24" t="s">
        <v>233</v>
      </c>
      <c r="B172" s="24" t="str">
        <f t="shared" si="10"/>
        <v xml:space="preserve">Cá nhói kho nghệNén </v>
      </c>
      <c r="C172" t="s">
        <v>8</v>
      </c>
      <c r="D172" t="s">
        <v>18</v>
      </c>
      <c r="E172" t="s">
        <v>151</v>
      </c>
      <c r="F172" t="s">
        <v>153</v>
      </c>
      <c r="G172" s="17">
        <v>1</v>
      </c>
      <c r="H172" s="18">
        <v>60000</v>
      </c>
      <c r="I172" s="18">
        <v>120</v>
      </c>
      <c r="J172" s="17">
        <f t="shared" si="11"/>
        <v>8.3333333333333332E-3</v>
      </c>
      <c r="K172" s="18">
        <f t="shared" si="9"/>
        <v>500</v>
      </c>
    </row>
    <row r="173" spans="1:11" x14ac:dyDescent="0.35">
      <c r="A173" s="24" t="s">
        <v>233</v>
      </c>
      <c r="B173" s="24" t="str">
        <f t="shared" si="10"/>
        <v>Cá nhói kho nghệNghệ</v>
      </c>
      <c r="C173" t="s">
        <v>8</v>
      </c>
      <c r="D173" t="s">
        <v>18</v>
      </c>
      <c r="E173" t="s">
        <v>151</v>
      </c>
      <c r="F173" t="s">
        <v>154</v>
      </c>
      <c r="G173" s="17">
        <v>1</v>
      </c>
      <c r="H173" s="18">
        <v>22000</v>
      </c>
      <c r="I173" s="18">
        <v>120</v>
      </c>
      <c r="J173" s="17">
        <f t="shared" si="11"/>
        <v>8.3333333333333332E-3</v>
      </c>
      <c r="K173" s="18">
        <f t="shared" si="9"/>
        <v>183.33333333333334</v>
      </c>
    </row>
    <row r="174" spans="1:11" x14ac:dyDescent="0.35">
      <c r="A174" s="24" t="s">
        <v>233</v>
      </c>
      <c r="B174" s="24" t="str">
        <f t="shared" si="10"/>
        <v>Cà tím mỡ hànhCà tím</v>
      </c>
      <c r="C174" t="s">
        <v>8</v>
      </c>
      <c r="D174" t="s">
        <v>47</v>
      </c>
      <c r="E174" t="s">
        <v>155</v>
      </c>
      <c r="F174" t="s">
        <v>156</v>
      </c>
      <c r="G174" s="17">
        <v>9.5</v>
      </c>
      <c r="H174" s="18">
        <v>11000</v>
      </c>
      <c r="I174" s="18">
        <v>100</v>
      </c>
      <c r="J174" s="17">
        <f t="shared" si="11"/>
        <v>9.5000000000000001E-2</v>
      </c>
      <c r="K174" s="18">
        <f t="shared" si="9"/>
        <v>1045</v>
      </c>
    </row>
    <row r="175" spans="1:11" x14ac:dyDescent="0.35">
      <c r="A175" s="24" t="s">
        <v>233</v>
      </c>
      <c r="B175" s="24" t="str">
        <f t="shared" si="10"/>
        <v>Sườn honSườn</v>
      </c>
      <c r="C175" t="s">
        <v>8</v>
      </c>
      <c r="D175" t="s">
        <v>18</v>
      </c>
      <c r="E175" t="s">
        <v>158</v>
      </c>
      <c r="F175" t="s">
        <v>123</v>
      </c>
      <c r="G175" s="17">
        <v>3</v>
      </c>
      <c r="H175" s="18">
        <v>95000</v>
      </c>
      <c r="I175" s="18">
        <v>40</v>
      </c>
      <c r="J175" s="17">
        <f t="shared" si="11"/>
        <v>7.4999999999999997E-2</v>
      </c>
      <c r="K175" s="18">
        <f t="shared" si="9"/>
        <v>7125</v>
      </c>
    </row>
    <row r="176" spans="1:11" x14ac:dyDescent="0.35">
      <c r="A176" s="24" t="s">
        <v>233</v>
      </c>
      <c r="B176" s="24" t="str">
        <f t="shared" si="10"/>
        <v>Su trắng xàoSu trắng</v>
      </c>
      <c r="C176" t="s">
        <v>8</v>
      </c>
      <c r="D176" t="s">
        <v>47</v>
      </c>
      <c r="E176" t="s">
        <v>159</v>
      </c>
      <c r="F176" t="s">
        <v>39</v>
      </c>
      <c r="G176" s="17">
        <v>9</v>
      </c>
      <c r="H176" s="18">
        <v>10000</v>
      </c>
      <c r="I176" s="18">
        <v>100</v>
      </c>
      <c r="J176" s="17">
        <f t="shared" si="11"/>
        <v>0.09</v>
      </c>
      <c r="K176" s="18">
        <f t="shared" si="9"/>
        <v>900</v>
      </c>
    </row>
    <row r="177" spans="1:11" x14ac:dyDescent="0.35">
      <c r="A177" s="24" t="s">
        <v>232</v>
      </c>
      <c r="B177" s="24" t="str">
        <f t="shared" si="10"/>
        <v>Cá diêu hồng kho tiêuCá diêu hồng</v>
      </c>
      <c r="C177" t="s">
        <v>8</v>
      </c>
      <c r="D177" t="s">
        <v>18</v>
      </c>
      <c r="E177" t="s">
        <v>160</v>
      </c>
      <c r="F177" t="s">
        <v>161</v>
      </c>
      <c r="G177" s="17">
        <v>50</v>
      </c>
      <c r="H177" s="18">
        <v>65000</v>
      </c>
      <c r="I177" s="18">
        <v>378</v>
      </c>
      <c r="J177" s="17">
        <f t="shared" si="11"/>
        <v>0.13227513227513227</v>
      </c>
      <c r="K177" s="18">
        <f t="shared" si="9"/>
        <v>8597.8835978835978</v>
      </c>
    </row>
    <row r="178" spans="1:11" x14ac:dyDescent="0.35">
      <c r="A178" s="24" t="s">
        <v>232</v>
      </c>
      <c r="B178" s="24" t="str">
        <f t="shared" si="10"/>
        <v>Vịt kho măngVịt</v>
      </c>
      <c r="C178" t="s">
        <v>8</v>
      </c>
      <c r="D178" t="s">
        <v>18</v>
      </c>
      <c r="E178" t="s">
        <v>162</v>
      </c>
      <c r="F178" t="s">
        <v>163</v>
      </c>
      <c r="G178" s="17">
        <v>8.5</v>
      </c>
      <c r="H178" s="18">
        <v>65000</v>
      </c>
      <c r="I178" s="18">
        <v>103</v>
      </c>
      <c r="J178" s="17">
        <f t="shared" si="11"/>
        <v>8.2524271844660199E-2</v>
      </c>
      <c r="K178" s="18">
        <f t="shared" si="9"/>
        <v>5364.0776699029129</v>
      </c>
    </row>
    <row r="179" spans="1:11" x14ac:dyDescent="0.35">
      <c r="A179" s="24" t="s">
        <v>233</v>
      </c>
      <c r="B179" s="24" t="str">
        <f t="shared" si="10"/>
        <v>Vịt kho măngMăng</v>
      </c>
      <c r="C179" t="s">
        <v>8</v>
      </c>
      <c r="D179" t="s">
        <v>18</v>
      </c>
      <c r="E179" t="s">
        <v>162</v>
      </c>
      <c r="F179" t="s">
        <v>117</v>
      </c>
      <c r="G179" s="17">
        <v>2</v>
      </c>
      <c r="H179" s="18">
        <v>25000</v>
      </c>
      <c r="I179" s="18">
        <v>103</v>
      </c>
      <c r="J179" s="17">
        <f t="shared" si="11"/>
        <v>1.9417475728155338E-2</v>
      </c>
      <c r="K179" s="18">
        <f t="shared" si="9"/>
        <v>485.43689320388347</v>
      </c>
    </row>
    <row r="180" spans="1:11" x14ac:dyDescent="0.35">
      <c r="A180" s="24" t="s">
        <v>232</v>
      </c>
      <c r="B180" s="24" t="str">
        <f t="shared" si="10"/>
        <v>Chả lá lốtChả quết</v>
      </c>
      <c r="C180" t="s">
        <v>8</v>
      </c>
      <c r="D180" t="s">
        <v>19</v>
      </c>
      <c r="E180" t="s">
        <v>164</v>
      </c>
      <c r="F180" t="s">
        <v>166</v>
      </c>
      <c r="G180" s="17">
        <v>1.5</v>
      </c>
      <c r="H180" s="18">
        <v>120000</v>
      </c>
      <c r="I180" s="18">
        <v>100</v>
      </c>
      <c r="J180" s="17">
        <f t="shared" si="11"/>
        <v>1.4999999999999999E-2</v>
      </c>
      <c r="K180" s="18">
        <f t="shared" si="9"/>
        <v>1800</v>
      </c>
    </row>
    <row r="181" spans="1:11" x14ac:dyDescent="0.35">
      <c r="A181" s="24" t="s">
        <v>233</v>
      </c>
      <c r="B181" s="24" t="str">
        <f t="shared" si="10"/>
        <v>Chả lá lốtLá lốt</v>
      </c>
      <c r="C181" t="s">
        <v>8</v>
      </c>
      <c r="D181" t="s">
        <v>19</v>
      </c>
      <c r="E181" t="s">
        <v>164</v>
      </c>
      <c r="F181" t="s">
        <v>165</v>
      </c>
      <c r="G181" s="16">
        <v>4</v>
      </c>
      <c r="H181" s="2">
        <v>12000</v>
      </c>
      <c r="I181" s="18">
        <v>774</v>
      </c>
      <c r="J181" s="17">
        <f t="shared" si="11"/>
        <v>5.1679586563307496E-3</v>
      </c>
      <c r="K181" s="18">
        <f t="shared" si="9"/>
        <v>62.015503875968989</v>
      </c>
    </row>
    <row r="182" spans="1:11" x14ac:dyDescent="0.35">
      <c r="A182" s="24" t="s">
        <v>232</v>
      </c>
      <c r="B182" s="24" t="str">
        <f t="shared" si="10"/>
        <v>Chả lá lốtBột nở</v>
      </c>
      <c r="C182" t="s">
        <v>8</v>
      </c>
      <c r="D182" t="s">
        <v>19</v>
      </c>
      <c r="E182" t="s">
        <v>164</v>
      </c>
      <c r="F182" t="s">
        <v>348</v>
      </c>
      <c r="G182" s="16">
        <v>2.5</v>
      </c>
      <c r="H182" s="2">
        <v>25000</v>
      </c>
      <c r="I182" s="18">
        <v>774</v>
      </c>
      <c r="J182" s="17">
        <f t="shared" si="11"/>
        <v>3.2299741602067182E-3</v>
      </c>
      <c r="K182" s="18">
        <f t="shared" si="9"/>
        <v>80.749354005167959</v>
      </c>
    </row>
    <row r="183" spans="1:11" x14ac:dyDescent="0.35">
      <c r="A183" s="24" t="s">
        <v>232</v>
      </c>
      <c r="B183" s="24" t="str">
        <f t="shared" si="10"/>
        <v>Chả lá lốtThịt xay</v>
      </c>
      <c r="C183" t="s">
        <v>8</v>
      </c>
      <c r="D183" t="s">
        <v>19</v>
      </c>
      <c r="E183" t="s">
        <v>164</v>
      </c>
      <c r="F183" t="s">
        <v>31</v>
      </c>
      <c r="G183" s="16">
        <v>2</v>
      </c>
      <c r="H183" s="2">
        <v>80000</v>
      </c>
      <c r="I183" s="18">
        <v>100</v>
      </c>
      <c r="J183" s="17">
        <f t="shared" si="11"/>
        <v>0.02</v>
      </c>
      <c r="K183" s="18">
        <f t="shared" si="9"/>
        <v>1600</v>
      </c>
    </row>
    <row r="184" spans="1:11" x14ac:dyDescent="0.35">
      <c r="A184" s="24" t="s">
        <v>232</v>
      </c>
      <c r="B184" s="24" t="str">
        <f t="shared" si="10"/>
        <v>Tôm rim trứng cútTôm</v>
      </c>
      <c r="C184" t="s">
        <v>8</v>
      </c>
      <c r="D184" t="s">
        <v>18</v>
      </c>
      <c r="E184" t="s">
        <v>168</v>
      </c>
      <c r="F184" t="s">
        <v>37</v>
      </c>
      <c r="G184" s="17">
        <v>6.5</v>
      </c>
      <c r="H184" s="18">
        <v>115000</v>
      </c>
      <c r="I184" s="18">
        <v>250</v>
      </c>
      <c r="J184" s="17">
        <f t="shared" si="11"/>
        <v>2.5999999999999999E-2</v>
      </c>
      <c r="K184" s="18">
        <f t="shared" ref="K184:K257" si="12">(G184*H184)/I184</f>
        <v>2990</v>
      </c>
    </row>
    <row r="185" spans="1:11" x14ac:dyDescent="0.35">
      <c r="A185" s="24" t="s">
        <v>232</v>
      </c>
      <c r="B185" s="24" t="str">
        <f t="shared" si="10"/>
        <v>Tôm rim trứng cútTrứng cút</v>
      </c>
      <c r="C185" t="s">
        <v>8</v>
      </c>
      <c r="D185" t="s">
        <v>18</v>
      </c>
      <c r="E185" t="s">
        <v>168</v>
      </c>
      <c r="F185" t="s">
        <v>169</v>
      </c>
      <c r="G185" s="17">
        <v>770</v>
      </c>
      <c r="H185" s="18">
        <v>550</v>
      </c>
      <c r="I185" s="18">
        <v>250</v>
      </c>
      <c r="J185" s="17">
        <f t="shared" si="11"/>
        <v>3.08</v>
      </c>
      <c r="K185" s="18">
        <f t="shared" si="12"/>
        <v>1694</v>
      </c>
    </row>
    <row r="186" spans="1:11" x14ac:dyDescent="0.35">
      <c r="A186" s="24" t="s">
        <v>233</v>
      </c>
      <c r="B186" s="24" t="str">
        <f t="shared" si="10"/>
        <v>Rau lang luộc Rau lang</v>
      </c>
      <c r="C186" s="24" t="s">
        <v>8</v>
      </c>
      <c r="D186" t="s">
        <v>47</v>
      </c>
      <c r="E186" t="s">
        <v>171</v>
      </c>
      <c r="F186" t="s">
        <v>170</v>
      </c>
      <c r="G186" s="17">
        <v>8.5</v>
      </c>
      <c r="H186" s="18">
        <v>19000</v>
      </c>
      <c r="I186" s="18">
        <v>100</v>
      </c>
      <c r="J186" s="17">
        <f t="shared" si="11"/>
        <v>8.5000000000000006E-2</v>
      </c>
      <c r="K186" s="18">
        <f t="shared" si="12"/>
        <v>1615</v>
      </c>
    </row>
    <row r="187" spans="1:11" x14ac:dyDescent="0.35">
      <c r="A187" s="24" t="s">
        <v>232</v>
      </c>
      <c r="B187" s="24" t="str">
        <f t="shared" si="10"/>
        <v>Cá bạc má khoCá bạc má</v>
      </c>
      <c r="C187" t="s">
        <v>8</v>
      </c>
      <c r="D187" t="s">
        <v>18</v>
      </c>
      <c r="E187" t="s">
        <v>172</v>
      </c>
      <c r="F187" t="s">
        <v>173</v>
      </c>
      <c r="G187" s="17">
        <v>10</v>
      </c>
      <c r="H187" s="18">
        <v>42000</v>
      </c>
      <c r="I187" s="18">
        <v>109</v>
      </c>
      <c r="J187" s="17">
        <f t="shared" si="11"/>
        <v>9.1743119266055051E-2</v>
      </c>
      <c r="K187" s="18">
        <f t="shared" si="12"/>
        <v>3853.211009174312</v>
      </c>
    </row>
    <row r="188" spans="1:11" x14ac:dyDescent="0.35">
      <c r="A188" s="24" t="s">
        <v>233</v>
      </c>
      <c r="B188" s="24" t="str">
        <f t="shared" si="10"/>
        <v>Củ cải xàocủ cải</v>
      </c>
      <c r="C188" t="s">
        <v>8</v>
      </c>
      <c r="D188" t="s">
        <v>47</v>
      </c>
      <c r="E188" t="s">
        <v>174</v>
      </c>
      <c r="F188" t="s">
        <v>175</v>
      </c>
      <c r="G188" s="17">
        <v>10.5</v>
      </c>
      <c r="H188" s="18">
        <v>8000</v>
      </c>
      <c r="I188" s="18">
        <v>110</v>
      </c>
      <c r="J188" s="17">
        <f t="shared" si="11"/>
        <v>9.5454545454545459E-2</v>
      </c>
      <c r="K188" s="18">
        <f t="shared" si="12"/>
        <v>763.63636363636363</v>
      </c>
    </row>
    <row r="189" spans="1:11" x14ac:dyDescent="0.35">
      <c r="A189" s="24" t="s">
        <v>233</v>
      </c>
      <c r="B189" s="24" t="str">
        <f t="shared" si="10"/>
        <v>Khổ qua thịt bằmKhổ qua</v>
      </c>
      <c r="C189" s="24" t="s">
        <v>8</v>
      </c>
      <c r="D189" t="s">
        <v>48</v>
      </c>
      <c r="E189" t="s">
        <v>177</v>
      </c>
      <c r="F189" t="s">
        <v>178</v>
      </c>
      <c r="G189" s="17">
        <v>4</v>
      </c>
      <c r="H189" s="18">
        <v>16000</v>
      </c>
      <c r="I189" s="18">
        <v>109</v>
      </c>
      <c r="J189" s="17">
        <f t="shared" si="11"/>
        <v>3.669724770642202E-2</v>
      </c>
      <c r="K189" s="18">
        <f t="shared" si="12"/>
        <v>587.1559633027523</v>
      </c>
    </row>
    <row r="190" spans="1:11" x14ac:dyDescent="0.35">
      <c r="A190" s="24" t="s">
        <v>232</v>
      </c>
      <c r="B190" s="24" t="str">
        <f t="shared" si="10"/>
        <v>Khổ qua thịt bằmThịt bằm</v>
      </c>
      <c r="C190" s="24" t="s">
        <v>8</v>
      </c>
      <c r="D190" t="s">
        <v>48</v>
      </c>
      <c r="E190" t="s">
        <v>177</v>
      </c>
      <c r="F190" t="s">
        <v>50</v>
      </c>
      <c r="G190" s="17">
        <v>0.3</v>
      </c>
      <c r="H190" s="18">
        <v>80000</v>
      </c>
      <c r="I190" s="18">
        <v>109</v>
      </c>
      <c r="J190" s="17">
        <f t="shared" si="11"/>
        <v>2.7522935779816511E-3</v>
      </c>
      <c r="K190" s="18">
        <f t="shared" si="12"/>
        <v>220.18348623853211</v>
      </c>
    </row>
    <row r="191" spans="1:11" x14ac:dyDescent="0.35">
      <c r="A191" s="24" t="s">
        <v>233</v>
      </c>
      <c r="B191" s="24" t="str">
        <f>E191&amp;F191</f>
        <v>Khổ qua nấu tômKhổ qua</v>
      </c>
      <c r="C191" s="24" t="s">
        <v>8</v>
      </c>
      <c r="D191" t="s">
        <v>12</v>
      </c>
      <c r="E191" t="s">
        <v>335</v>
      </c>
      <c r="F191" t="s">
        <v>178</v>
      </c>
      <c r="G191" s="17">
        <v>4</v>
      </c>
      <c r="H191" s="18">
        <v>16000</v>
      </c>
      <c r="I191" s="18">
        <v>109</v>
      </c>
      <c r="J191" s="17">
        <f>G191/I191</f>
        <v>3.669724770642202E-2</v>
      </c>
      <c r="K191" s="18">
        <f>(G191*H191)/I191</f>
        <v>587.1559633027523</v>
      </c>
    </row>
    <row r="192" spans="1:11" x14ac:dyDescent="0.35">
      <c r="A192" s="24" t="s">
        <v>232</v>
      </c>
      <c r="B192" s="24" t="str">
        <f>E192&amp;F192</f>
        <v>Khổ qua nấu tômTôm</v>
      </c>
      <c r="C192" s="24" t="s">
        <v>8</v>
      </c>
      <c r="D192" t="s">
        <v>12</v>
      </c>
      <c r="E192" t="s">
        <v>335</v>
      </c>
      <c r="F192" t="s">
        <v>37</v>
      </c>
      <c r="G192" s="17">
        <v>0.4</v>
      </c>
      <c r="H192" s="18">
        <v>130000</v>
      </c>
      <c r="I192" s="18">
        <v>120</v>
      </c>
      <c r="J192" s="17">
        <f>G192/I192</f>
        <v>3.3333333333333335E-3</v>
      </c>
      <c r="K192" s="18">
        <f>(G192*H192)/I192</f>
        <v>433.33333333333331</v>
      </c>
    </row>
    <row r="193" spans="1:14" x14ac:dyDescent="0.35">
      <c r="A193" s="24" t="s">
        <v>232</v>
      </c>
      <c r="B193" s="24" t="str">
        <f t="shared" si="10"/>
        <v xml:space="preserve">Bầu nấu tômTôm </v>
      </c>
      <c r="C193" s="24" t="s">
        <v>8</v>
      </c>
      <c r="D193" t="s">
        <v>48</v>
      </c>
      <c r="E193" t="s">
        <v>179</v>
      </c>
      <c r="F193" t="s">
        <v>180</v>
      </c>
      <c r="G193" s="17">
        <v>0.4</v>
      </c>
      <c r="H193" s="18">
        <v>115000</v>
      </c>
      <c r="I193" s="18">
        <v>120</v>
      </c>
      <c r="J193" s="17">
        <f t="shared" si="11"/>
        <v>3.3333333333333335E-3</v>
      </c>
      <c r="K193" s="18">
        <f t="shared" si="12"/>
        <v>383.33333333333331</v>
      </c>
    </row>
    <row r="194" spans="1:14" x14ac:dyDescent="0.35">
      <c r="A194" s="24" t="s">
        <v>233</v>
      </c>
      <c r="B194" s="24" t="str">
        <f t="shared" si="10"/>
        <v>Bầu nấu tômBầu</v>
      </c>
      <c r="C194" s="24" t="s">
        <v>8</v>
      </c>
      <c r="D194" t="s">
        <v>48</v>
      </c>
      <c r="E194" t="s">
        <v>179</v>
      </c>
      <c r="F194" t="s">
        <v>96</v>
      </c>
      <c r="G194" s="17">
        <v>4</v>
      </c>
      <c r="H194" s="18">
        <v>12000</v>
      </c>
      <c r="I194" s="18">
        <v>120</v>
      </c>
      <c r="J194" s="17">
        <f t="shared" si="11"/>
        <v>3.3333333333333333E-2</v>
      </c>
      <c r="K194" s="18">
        <f t="shared" si="12"/>
        <v>400</v>
      </c>
    </row>
    <row r="195" spans="1:14" x14ac:dyDescent="0.35">
      <c r="A195" s="24" t="s">
        <v>232</v>
      </c>
      <c r="B195" s="24" t="str">
        <f t="shared" si="10"/>
        <v>Cơm gà chiên mắmGà</v>
      </c>
      <c r="C195" s="24" t="s">
        <v>8</v>
      </c>
      <c r="D195" t="s">
        <v>18</v>
      </c>
      <c r="E195" t="s">
        <v>181</v>
      </c>
      <c r="F195" t="s">
        <v>21</v>
      </c>
      <c r="G195" s="17">
        <v>30</v>
      </c>
      <c r="H195" s="18">
        <v>47000</v>
      </c>
      <c r="I195" s="18">
        <v>238</v>
      </c>
      <c r="J195" s="17">
        <f t="shared" si="11"/>
        <v>0.12605042016806722</v>
      </c>
      <c r="K195" s="18">
        <f t="shared" si="12"/>
        <v>5924.3697478991598</v>
      </c>
    </row>
    <row r="196" spans="1:14" x14ac:dyDescent="0.35">
      <c r="A196" s="24" t="s">
        <v>232</v>
      </c>
      <c r="B196" s="24" t="str">
        <f t="shared" si="10"/>
        <v>Trứng luộcTrứng gà</v>
      </c>
      <c r="C196" s="24" t="s">
        <v>8</v>
      </c>
      <c r="D196" t="s">
        <v>19</v>
      </c>
      <c r="E196" t="s">
        <v>182</v>
      </c>
      <c r="F196" t="s">
        <v>13</v>
      </c>
      <c r="G196" s="17">
        <v>238</v>
      </c>
      <c r="H196" s="18">
        <v>2200</v>
      </c>
      <c r="I196" s="18">
        <v>238</v>
      </c>
      <c r="J196" s="17">
        <f t="shared" si="11"/>
        <v>1</v>
      </c>
      <c r="K196" s="18">
        <f t="shared" si="12"/>
        <v>2200</v>
      </c>
    </row>
    <row r="197" spans="1:14" x14ac:dyDescent="0.35">
      <c r="A197" s="24" t="s">
        <v>232</v>
      </c>
      <c r="B197" s="24" t="str">
        <f t="shared" ref="B197:B281" si="13">E197&amp;F197</f>
        <v>Cơm sườn kim chiCốt lết</v>
      </c>
      <c r="C197" s="24" t="s">
        <v>8</v>
      </c>
      <c r="D197" t="s">
        <v>18</v>
      </c>
      <c r="E197" t="s">
        <v>184</v>
      </c>
      <c r="F197" t="s">
        <v>87</v>
      </c>
      <c r="G197" s="17">
        <v>11</v>
      </c>
      <c r="H197" s="18">
        <v>100000</v>
      </c>
      <c r="I197" s="18">
        <v>100</v>
      </c>
      <c r="J197" s="17">
        <f t="shared" ref="J197:J281" si="14">G197/I197</f>
        <v>0.11</v>
      </c>
      <c r="K197" s="18">
        <f t="shared" si="12"/>
        <v>11000</v>
      </c>
    </row>
    <row r="198" spans="1:14" x14ac:dyDescent="0.35">
      <c r="A198" s="24" t="s">
        <v>233</v>
      </c>
      <c r="B198" s="24" t="str">
        <f t="shared" si="13"/>
        <v>Cơm sườn kim chiSả</v>
      </c>
      <c r="C198" s="24" t="s">
        <v>8</v>
      </c>
      <c r="D198" t="s">
        <v>18</v>
      </c>
      <c r="E198" t="s">
        <v>184</v>
      </c>
      <c r="F198" t="s">
        <v>207</v>
      </c>
      <c r="G198" s="17">
        <v>0.6</v>
      </c>
      <c r="H198" s="18">
        <v>10000</v>
      </c>
      <c r="I198" s="18">
        <v>100</v>
      </c>
      <c r="J198" s="17">
        <f t="shared" si="14"/>
        <v>6.0000000000000001E-3</v>
      </c>
      <c r="K198" s="18">
        <f t="shared" si="12"/>
        <v>60</v>
      </c>
    </row>
    <row r="199" spans="1:14" x14ac:dyDescent="0.35">
      <c r="A199" s="24" t="s">
        <v>233</v>
      </c>
      <c r="B199" s="24" t="str">
        <f t="shared" si="13"/>
        <v xml:space="preserve">Cơm sườn kim chiCải thảo </v>
      </c>
      <c r="C199" s="24" t="s">
        <v>8</v>
      </c>
      <c r="D199" t="s">
        <v>18</v>
      </c>
      <c r="E199" t="s">
        <v>184</v>
      </c>
      <c r="F199" t="s">
        <v>186</v>
      </c>
      <c r="G199" s="17">
        <v>3</v>
      </c>
      <c r="H199" s="18">
        <v>14000</v>
      </c>
      <c r="I199" s="18">
        <v>100</v>
      </c>
      <c r="J199" s="17">
        <f t="shared" si="14"/>
        <v>0.03</v>
      </c>
      <c r="K199" s="18">
        <f t="shared" si="12"/>
        <v>420</v>
      </c>
    </row>
    <row r="200" spans="1:14" x14ac:dyDescent="0.35">
      <c r="A200" s="24" t="s">
        <v>233</v>
      </c>
      <c r="B200" s="24" t="str">
        <f t="shared" si="13"/>
        <v>Cơm sườn kim chiCà rốt</v>
      </c>
      <c r="C200" s="24" t="s">
        <v>8</v>
      </c>
      <c r="D200" t="s">
        <v>18</v>
      </c>
      <c r="E200" t="s">
        <v>184</v>
      </c>
      <c r="F200" t="s">
        <v>78</v>
      </c>
      <c r="G200" s="17">
        <v>3</v>
      </c>
      <c r="H200" s="18">
        <v>15000</v>
      </c>
      <c r="I200" s="18">
        <v>100</v>
      </c>
      <c r="J200" s="17">
        <f t="shared" si="14"/>
        <v>0.03</v>
      </c>
      <c r="K200" s="18">
        <f t="shared" si="12"/>
        <v>450</v>
      </c>
    </row>
    <row r="201" spans="1:14" x14ac:dyDescent="0.35">
      <c r="A201" s="24" t="s">
        <v>233</v>
      </c>
      <c r="B201" s="24" t="str">
        <f t="shared" si="13"/>
        <v>Cơm sườn kim chicủ cải</v>
      </c>
      <c r="C201" s="24" t="s">
        <v>8</v>
      </c>
      <c r="D201" t="s">
        <v>18</v>
      </c>
      <c r="E201" t="s">
        <v>184</v>
      </c>
      <c r="F201" t="s">
        <v>175</v>
      </c>
      <c r="G201" s="17">
        <v>3</v>
      </c>
      <c r="H201" s="18">
        <v>8000</v>
      </c>
      <c r="I201" s="18">
        <v>100</v>
      </c>
      <c r="J201" s="17">
        <f t="shared" si="14"/>
        <v>0.03</v>
      </c>
      <c r="K201" s="18">
        <f t="shared" si="12"/>
        <v>240</v>
      </c>
    </row>
    <row r="202" spans="1:14" x14ac:dyDescent="0.35">
      <c r="A202" s="24" t="s">
        <v>233</v>
      </c>
      <c r="B202" s="24" t="str">
        <f t="shared" si="13"/>
        <v>Cơm sườn kim chiỚt sừng</v>
      </c>
      <c r="C202" s="24" t="s">
        <v>8</v>
      </c>
      <c r="D202" t="s">
        <v>18</v>
      </c>
      <c r="E202" t="s">
        <v>184</v>
      </c>
      <c r="F202" t="s">
        <v>203</v>
      </c>
      <c r="G202" s="17">
        <v>0.5</v>
      </c>
      <c r="H202" s="18">
        <v>40000</v>
      </c>
      <c r="I202" s="18">
        <v>100</v>
      </c>
      <c r="J202" s="17">
        <f t="shared" si="14"/>
        <v>5.0000000000000001E-3</v>
      </c>
      <c r="K202" s="18">
        <f t="shared" si="12"/>
        <v>200</v>
      </c>
    </row>
    <row r="203" spans="1:14" x14ac:dyDescent="0.35">
      <c r="A203" s="24" t="s">
        <v>232</v>
      </c>
      <c r="B203" s="24" t="str">
        <f t="shared" si="13"/>
        <v>Trứng ốp laTrứng gà (cái)</v>
      </c>
      <c r="C203" s="24" t="s">
        <v>8</v>
      </c>
      <c r="D203" t="s">
        <v>19</v>
      </c>
      <c r="E203" t="s">
        <v>185</v>
      </c>
      <c r="F203" t="s">
        <v>183</v>
      </c>
      <c r="G203" s="17">
        <v>74</v>
      </c>
      <c r="H203" s="18">
        <v>2200</v>
      </c>
      <c r="I203" s="18">
        <v>74</v>
      </c>
      <c r="J203" s="17">
        <f t="shared" si="14"/>
        <v>1</v>
      </c>
      <c r="K203" s="18">
        <f t="shared" si="12"/>
        <v>2200</v>
      </c>
    </row>
    <row r="204" spans="1:14" x14ac:dyDescent="0.35">
      <c r="A204" s="24" t="s">
        <v>233</v>
      </c>
      <c r="B204" s="24" t="str">
        <f t="shared" si="13"/>
        <v>Canh chua trứngTrứng</v>
      </c>
      <c r="C204" t="s">
        <v>8</v>
      </c>
      <c r="D204" t="s">
        <v>48</v>
      </c>
      <c r="E204" t="s">
        <v>187</v>
      </c>
      <c r="F204" t="s">
        <v>188</v>
      </c>
      <c r="G204" s="17">
        <v>10</v>
      </c>
      <c r="H204" s="18">
        <v>2200</v>
      </c>
      <c r="I204" s="18">
        <v>74</v>
      </c>
      <c r="J204" s="17">
        <f t="shared" si="14"/>
        <v>0.13513513513513514</v>
      </c>
      <c r="K204" s="18">
        <f t="shared" si="12"/>
        <v>297.29729729729729</v>
      </c>
    </row>
    <row r="205" spans="1:14" x14ac:dyDescent="0.35">
      <c r="A205" s="24" t="s">
        <v>233</v>
      </c>
      <c r="B205" s="24" t="str">
        <f t="shared" si="13"/>
        <v>Canh chua trứngMăng chua</v>
      </c>
      <c r="C205" t="s">
        <v>8</v>
      </c>
      <c r="D205" t="s">
        <v>48</v>
      </c>
      <c r="E205" t="s">
        <v>187</v>
      </c>
      <c r="F205" t="s">
        <v>189</v>
      </c>
      <c r="G205" s="17">
        <v>1</v>
      </c>
      <c r="H205" s="18">
        <v>25000</v>
      </c>
      <c r="I205" s="18">
        <v>74</v>
      </c>
      <c r="J205" s="17">
        <f t="shared" si="14"/>
        <v>1.3513513513513514E-2</v>
      </c>
      <c r="K205" s="18">
        <f t="shared" si="12"/>
        <v>337.83783783783781</v>
      </c>
    </row>
    <row r="206" spans="1:14" x14ac:dyDescent="0.35">
      <c r="A206" s="24" t="s">
        <v>232</v>
      </c>
      <c r="B206" s="24" t="str">
        <f t="shared" si="13"/>
        <v xml:space="preserve">Bò lúc lắcBò </v>
      </c>
      <c r="C206" s="24" t="s">
        <v>8</v>
      </c>
      <c r="D206" t="s">
        <v>18</v>
      </c>
      <c r="E206" t="s">
        <v>195</v>
      </c>
      <c r="F206" t="s">
        <v>130</v>
      </c>
      <c r="G206" s="17">
        <v>14</v>
      </c>
      <c r="H206" s="18">
        <v>120000</v>
      </c>
      <c r="I206" s="18">
        <v>115</v>
      </c>
      <c r="J206" s="17">
        <f t="shared" si="14"/>
        <v>0.12173913043478261</v>
      </c>
      <c r="K206" s="18">
        <f t="shared" si="12"/>
        <v>14608.695652173914</v>
      </c>
      <c r="N206" s="36"/>
    </row>
    <row r="207" spans="1:14" x14ac:dyDescent="0.35">
      <c r="A207" s="24" t="s">
        <v>233</v>
      </c>
      <c r="B207" s="24" t="str">
        <f t="shared" si="13"/>
        <v>Bò lúc lắcỚt chuông</v>
      </c>
      <c r="C207" s="24" t="s">
        <v>8</v>
      </c>
      <c r="D207" t="s">
        <v>18</v>
      </c>
      <c r="E207" t="s">
        <v>195</v>
      </c>
      <c r="F207" t="s">
        <v>196</v>
      </c>
      <c r="G207" s="17">
        <v>10</v>
      </c>
      <c r="H207" s="18">
        <v>40000</v>
      </c>
      <c r="I207" s="18">
        <v>120</v>
      </c>
      <c r="J207" s="17">
        <f t="shared" si="14"/>
        <v>8.3333333333333329E-2</v>
      </c>
      <c r="K207" s="18">
        <f t="shared" si="12"/>
        <v>3333.3333333333335</v>
      </c>
    </row>
    <row r="208" spans="1:14" x14ac:dyDescent="0.35">
      <c r="A208" s="24" t="s">
        <v>233</v>
      </c>
      <c r="B208" s="24" t="str">
        <f t="shared" si="13"/>
        <v>Bò lúc lắcThơm</v>
      </c>
      <c r="C208" s="24" t="s">
        <v>8</v>
      </c>
      <c r="D208" t="s">
        <v>18</v>
      </c>
      <c r="E208" t="s">
        <v>195</v>
      </c>
      <c r="F208" t="s">
        <v>4</v>
      </c>
      <c r="G208" s="17">
        <v>5</v>
      </c>
      <c r="H208" s="18">
        <v>17000</v>
      </c>
      <c r="I208" s="18">
        <v>120</v>
      </c>
      <c r="J208" s="17">
        <f t="shared" si="14"/>
        <v>4.1666666666666664E-2</v>
      </c>
      <c r="K208" s="18">
        <f t="shared" si="12"/>
        <v>708.33333333333337</v>
      </c>
    </row>
    <row r="209" spans="1:11" x14ac:dyDescent="0.35">
      <c r="A209" s="24" t="s">
        <v>233</v>
      </c>
      <c r="B209" s="24" t="str">
        <f t="shared" si="13"/>
        <v>Bò lúc lắcXà lách</v>
      </c>
      <c r="C209" s="24" t="s">
        <v>8</v>
      </c>
      <c r="D209" t="s">
        <v>18</v>
      </c>
      <c r="E209" t="s">
        <v>195</v>
      </c>
      <c r="F209" t="s">
        <v>197</v>
      </c>
      <c r="G209" s="17">
        <v>3</v>
      </c>
      <c r="H209" s="18">
        <v>22000</v>
      </c>
      <c r="I209" s="18">
        <v>120</v>
      </c>
      <c r="J209" s="17">
        <f t="shared" si="14"/>
        <v>2.5000000000000001E-2</v>
      </c>
      <c r="K209" s="18">
        <f t="shared" si="12"/>
        <v>550</v>
      </c>
    </row>
    <row r="210" spans="1:11" x14ac:dyDescent="0.35">
      <c r="A210" s="24" t="s">
        <v>233</v>
      </c>
      <c r="B210" s="24" t="str">
        <f t="shared" si="13"/>
        <v>Bò lúc lắcCà chua</v>
      </c>
      <c r="C210" s="24" t="s">
        <v>8</v>
      </c>
      <c r="D210" t="s">
        <v>18</v>
      </c>
      <c r="E210" t="s">
        <v>195</v>
      </c>
      <c r="F210" t="s">
        <v>14</v>
      </c>
      <c r="G210" s="17">
        <v>3</v>
      </c>
      <c r="H210" s="18">
        <v>20000</v>
      </c>
      <c r="I210" s="18">
        <v>120</v>
      </c>
      <c r="J210" s="17">
        <f t="shared" si="14"/>
        <v>2.5000000000000001E-2</v>
      </c>
      <c r="K210" s="18">
        <f t="shared" si="12"/>
        <v>500</v>
      </c>
    </row>
    <row r="211" spans="1:11" x14ac:dyDescent="0.35">
      <c r="A211" s="24" t="s">
        <v>233</v>
      </c>
      <c r="B211" s="24" t="str">
        <f t="shared" si="13"/>
        <v xml:space="preserve">Khoai tây chiênKhoai tây </v>
      </c>
      <c r="C211" s="24" t="s">
        <v>8</v>
      </c>
      <c r="D211" t="s">
        <v>19</v>
      </c>
      <c r="E211" t="s">
        <v>198</v>
      </c>
      <c r="F211" t="s">
        <v>199</v>
      </c>
      <c r="G211" s="17">
        <v>13</v>
      </c>
      <c r="H211" s="18">
        <v>50000</v>
      </c>
      <c r="I211" s="18">
        <v>120</v>
      </c>
      <c r="J211" s="17">
        <f t="shared" si="14"/>
        <v>0.10833333333333334</v>
      </c>
      <c r="K211" s="18">
        <f t="shared" si="12"/>
        <v>5416.666666666667</v>
      </c>
    </row>
    <row r="212" spans="1:11" x14ac:dyDescent="0.35">
      <c r="A212" s="24" t="s">
        <v>233</v>
      </c>
      <c r="B212" s="24" t="str">
        <f t="shared" si="13"/>
        <v>Canh củ quả đặc biệtBắp</v>
      </c>
      <c r="C212" s="24" t="s">
        <v>8</v>
      </c>
      <c r="D212" t="s">
        <v>12</v>
      </c>
      <c r="E212" t="s">
        <v>287</v>
      </c>
      <c r="F212" t="s">
        <v>200</v>
      </c>
      <c r="G212" s="17">
        <v>11</v>
      </c>
      <c r="H212" s="18">
        <v>7000</v>
      </c>
      <c r="I212" s="18">
        <v>120</v>
      </c>
      <c r="J212" s="17">
        <f t="shared" si="14"/>
        <v>9.166666666666666E-2</v>
      </c>
      <c r="K212" s="18">
        <f t="shared" si="12"/>
        <v>641.66666666666663</v>
      </c>
    </row>
    <row r="213" spans="1:11" x14ac:dyDescent="0.35">
      <c r="A213" s="24" t="s">
        <v>233</v>
      </c>
      <c r="B213" s="24" t="str">
        <f t="shared" si="13"/>
        <v>Canh củ quả đặc biệtKhoai môn</v>
      </c>
      <c r="C213" s="24" t="s">
        <v>8</v>
      </c>
      <c r="D213" t="s">
        <v>12</v>
      </c>
      <c r="E213" t="s">
        <v>287</v>
      </c>
      <c r="F213" t="s">
        <v>201</v>
      </c>
      <c r="G213" s="17">
        <v>3</v>
      </c>
      <c r="H213" s="18">
        <v>35000</v>
      </c>
      <c r="I213" s="18">
        <v>120</v>
      </c>
      <c r="J213" s="17">
        <f t="shared" si="14"/>
        <v>2.5000000000000001E-2</v>
      </c>
      <c r="K213" s="18">
        <f t="shared" si="12"/>
        <v>875</v>
      </c>
    </row>
    <row r="214" spans="1:11" x14ac:dyDescent="0.35">
      <c r="A214" s="24" t="s">
        <v>233</v>
      </c>
      <c r="B214" s="24" t="str">
        <f t="shared" si="13"/>
        <v>Canh củ quả đặc biệtCà rốt</v>
      </c>
      <c r="C214" s="24" t="s">
        <v>8</v>
      </c>
      <c r="D214" t="s">
        <v>12</v>
      </c>
      <c r="E214" t="s">
        <v>287</v>
      </c>
      <c r="F214" t="s">
        <v>78</v>
      </c>
      <c r="G214" s="17">
        <v>1.5</v>
      </c>
      <c r="H214" s="18">
        <v>12000</v>
      </c>
      <c r="I214" s="18">
        <v>120</v>
      </c>
      <c r="J214" s="17">
        <f t="shared" si="14"/>
        <v>1.2500000000000001E-2</v>
      </c>
      <c r="K214" s="18">
        <f t="shared" si="12"/>
        <v>150</v>
      </c>
    </row>
    <row r="215" spans="1:11" x14ac:dyDescent="0.35">
      <c r="A215" s="24" t="s">
        <v>232</v>
      </c>
      <c r="B215" s="24" t="str">
        <f t="shared" si="13"/>
        <v>Canh củ quả đặc biệtThịt bằm</v>
      </c>
      <c r="C215" s="24" t="s">
        <v>8</v>
      </c>
      <c r="D215" t="s">
        <v>12</v>
      </c>
      <c r="E215" t="s">
        <v>287</v>
      </c>
      <c r="F215" t="s">
        <v>50</v>
      </c>
      <c r="G215" s="17">
        <v>0.5</v>
      </c>
      <c r="H215" s="18">
        <v>80000</v>
      </c>
      <c r="I215" s="18">
        <v>120</v>
      </c>
      <c r="J215" s="17">
        <f t="shared" si="14"/>
        <v>4.1666666666666666E-3</v>
      </c>
      <c r="K215" s="18">
        <f t="shared" si="12"/>
        <v>333.33333333333331</v>
      </c>
    </row>
    <row r="216" spans="1:11" x14ac:dyDescent="0.35">
      <c r="A216" s="24" t="s">
        <v>233</v>
      </c>
      <c r="B216" s="24" t="str">
        <f t="shared" si="13"/>
        <v>Kim chiCải thảo</v>
      </c>
      <c r="C216" s="24" t="s">
        <v>8</v>
      </c>
      <c r="D216" t="s">
        <v>47</v>
      </c>
      <c r="E216" t="s">
        <v>125</v>
      </c>
      <c r="F216" t="s">
        <v>126</v>
      </c>
      <c r="G216" s="17">
        <v>4</v>
      </c>
      <c r="H216" s="18">
        <v>15000</v>
      </c>
      <c r="I216" s="18">
        <v>120</v>
      </c>
      <c r="J216" s="17">
        <f t="shared" si="14"/>
        <v>3.3333333333333333E-2</v>
      </c>
      <c r="K216" s="18">
        <f t="shared" si="12"/>
        <v>500</v>
      </c>
    </row>
    <row r="217" spans="1:11" x14ac:dyDescent="0.35">
      <c r="A217" s="24" t="s">
        <v>233</v>
      </c>
      <c r="B217" s="24" t="str">
        <f t="shared" si="13"/>
        <v>Kim chiCà rốt</v>
      </c>
      <c r="C217" s="24" t="s">
        <v>8</v>
      </c>
      <c r="D217" t="s">
        <v>47</v>
      </c>
      <c r="E217" t="s">
        <v>125</v>
      </c>
      <c r="F217" t="s">
        <v>78</v>
      </c>
      <c r="G217" s="17">
        <v>3</v>
      </c>
      <c r="H217" s="18">
        <v>16000</v>
      </c>
      <c r="I217" s="18">
        <v>120</v>
      </c>
      <c r="J217" s="17">
        <f t="shared" si="14"/>
        <v>2.5000000000000001E-2</v>
      </c>
      <c r="K217" s="18">
        <f t="shared" si="12"/>
        <v>400</v>
      </c>
    </row>
    <row r="218" spans="1:11" x14ac:dyDescent="0.35">
      <c r="A218" s="24" t="s">
        <v>233</v>
      </c>
      <c r="B218" s="24" t="str">
        <f t="shared" si="13"/>
        <v>Kim chiCủ cải</v>
      </c>
      <c r="C218" s="24" t="s">
        <v>8</v>
      </c>
      <c r="D218" t="s">
        <v>47</v>
      </c>
      <c r="E218" t="s">
        <v>125</v>
      </c>
      <c r="F218" t="s">
        <v>202</v>
      </c>
      <c r="G218" s="17">
        <v>2</v>
      </c>
      <c r="H218" s="18">
        <v>10000</v>
      </c>
      <c r="I218" s="18">
        <v>120</v>
      </c>
      <c r="J218" s="17">
        <f t="shared" si="14"/>
        <v>1.6666666666666666E-2</v>
      </c>
      <c r="K218" s="18">
        <f t="shared" si="12"/>
        <v>166.66666666666666</v>
      </c>
    </row>
    <row r="219" spans="1:11" x14ac:dyDescent="0.35">
      <c r="A219" s="24" t="s">
        <v>233</v>
      </c>
      <c r="B219" s="24" t="str">
        <f t="shared" si="13"/>
        <v>Kim chiỚt sừng</v>
      </c>
      <c r="C219" s="24" t="s">
        <v>8</v>
      </c>
      <c r="D219" t="s">
        <v>47</v>
      </c>
      <c r="E219" t="s">
        <v>125</v>
      </c>
      <c r="F219" t="s">
        <v>203</v>
      </c>
      <c r="G219" s="17">
        <v>0.5</v>
      </c>
      <c r="H219" s="18">
        <v>40000</v>
      </c>
      <c r="I219" s="18">
        <v>120</v>
      </c>
      <c r="J219" s="17">
        <f t="shared" si="14"/>
        <v>4.1666666666666666E-3</v>
      </c>
      <c r="K219" s="18">
        <f t="shared" si="12"/>
        <v>166.66666666666666</v>
      </c>
    </row>
    <row r="220" spans="1:11" x14ac:dyDescent="0.35">
      <c r="A220" s="24" t="s">
        <v>232</v>
      </c>
      <c r="B220" s="24" t="str">
        <f t="shared" si="13"/>
        <v>Cá mối kho nghệCá mối</v>
      </c>
      <c r="C220" s="24" t="s">
        <v>8</v>
      </c>
      <c r="D220" t="s">
        <v>18</v>
      </c>
      <c r="E220" t="s">
        <v>204</v>
      </c>
      <c r="F220" t="s">
        <v>205</v>
      </c>
      <c r="G220" s="17">
        <v>10.5</v>
      </c>
      <c r="H220" s="18">
        <v>55000</v>
      </c>
      <c r="I220" s="18">
        <v>117</v>
      </c>
      <c r="J220" s="17">
        <f t="shared" si="14"/>
        <v>8.9743589743589744E-2</v>
      </c>
      <c r="K220" s="18">
        <f t="shared" si="12"/>
        <v>4935.8974358974356</v>
      </c>
    </row>
    <row r="221" spans="1:11" x14ac:dyDescent="0.35">
      <c r="A221" s="24" t="s">
        <v>233</v>
      </c>
      <c r="B221" s="24" t="str">
        <f t="shared" si="13"/>
        <v>Sườn hon sảSườn</v>
      </c>
      <c r="C221" s="24" t="s">
        <v>8</v>
      </c>
      <c r="D221" t="s">
        <v>18</v>
      </c>
      <c r="E221" t="s">
        <v>206</v>
      </c>
      <c r="F221" t="s">
        <v>123</v>
      </c>
      <c r="G221" s="17">
        <v>7.5</v>
      </c>
      <c r="H221" s="18">
        <v>95000</v>
      </c>
      <c r="I221" s="18">
        <v>100</v>
      </c>
      <c r="J221" s="17">
        <f t="shared" si="14"/>
        <v>7.4999999999999997E-2</v>
      </c>
      <c r="K221" s="18">
        <f t="shared" si="12"/>
        <v>7125</v>
      </c>
    </row>
    <row r="222" spans="1:11" x14ac:dyDescent="0.35">
      <c r="A222" s="24" t="s">
        <v>233</v>
      </c>
      <c r="B222" s="24" t="str">
        <f t="shared" si="13"/>
        <v>Sườn hon sảSả</v>
      </c>
      <c r="C222" s="24" t="s">
        <v>8</v>
      </c>
      <c r="D222" t="s">
        <v>18</v>
      </c>
      <c r="E222" t="s">
        <v>206</v>
      </c>
      <c r="F222" t="s">
        <v>207</v>
      </c>
      <c r="G222" s="17">
        <v>4</v>
      </c>
      <c r="H222" s="18">
        <v>8000</v>
      </c>
      <c r="I222" s="18">
        <v>466</v>
      </c>
      <c r="J222" s="17">
        <f t="shared" si="14"/>
        <v>8.5836909871244635E-3</v>
      </c>
      <c r="K222" s="18">
        <f t="shared" si="12"/>
        <v>68.669527896995703</v>
      </c>
    </row>
    <row r="223" spans="1:11" x14ac:dyDescent="0.35">
      <c r="A223" s="24" t="s">
        <v>232</v>
      </c>
      <c r="B223" s="24" t="str">
        <f t="shared" si="13"/>
        <v>Trứng kho nước dừaTrứng gà</v>
      </c>
      <c r="C223" s="24" t="s">
        <v>8</v>
      </c>
      <c r="D223" t="s">
        <v>19</v>
      </c>
      <c r="E223" t="s">
        <v>208</v>
      </c>
      <c r="F223" t="s">
        <v>13</v>
      </c>
      <c r="G223" s="17">
        <v>1</v>
      </c>
      <c r="H223" s="18">
        <v>2300</v>
      </c>
      <c r="I223" s="18">
        <v>1</v>
      </c>
      <c r="J223" s="17">
        <f t="shared" si="14"/>
        <v>1</v>
      </c>
      <c r="K223" s="18">
        <f t="shared" si="12"/>
        <v>2300</v>
      </c>
    </row>
    <row r="224" spans="1:11" x14ac:dyDescent="0.35">
      <c r="A224" s="24" t="s">
        <v>233</v>
      </c>
      <c r="B224" s="24" t="str">
        <f t="shared" si="13"/>
        <v>Trứng kho nước dừaBột cốt dừa</v>
      </c>
      <c r="C224" s="24" t="s">
        <v>8</v>
      </c>
      <c r="D224" t="s">
        <v>19</v>
      </c>
      <c r="E224" t="s">
        <v>208</v>
      </c>
      <c r="F224" t="s">
        <v>209</v>
      </c>
      <c r="G224" s="17">
        <v>10</v>
      </c>
      <c r="H224" s="18">
        <v>4000</v>
      </c>
      <c r="I224" s="18">
        <v>466</v>
      </c>
      <c r="J224" s="17">
        <f t="shared" si="14"/>
        <v>2.1459227467811159E-2</v>
      </c>
      <c r="K224" s="18">
        <f t="shared" si="12"/>
        <v>85.836909871244629</v>
      </c>
    </row>
    <row r="225" spans="1:14" x14ac:dyDescent="0.35">
      <c r="A225" s="24" t="s">
        <v>233</v>
      </c>
      <c r="B225" s="24" t="str">
        <f t="shared" si="13"/>
        <v>Mồng tơi thịt bằmMồng tơi</v>
      </c>
      <c r="C225" s="24" t="s">
        <v>8</v>
      </c>
      <c r="D225" t="s">
        <v>12</v>
      </c>
      <c r="E225" t="s">
        <v>210</v>
      </c>
      <c r="F225" t="s">
        <v>211</v>
      </c>
      <c r="G225" s="17">
        <v>12</v>
      </c>
      <c r="H225" s="18">
        <v>10000</v>
      </c>
      <c r="I225" s="18">
        <v>250</v>
      </c>
      <c r="J225" s="17">
        <f t="shared" si="14"/>
        <v>4.8000000000000001E-2</v>
      </c>
      <c r="K225" s="18">
        <f t="shared" si="12"/>
        <v>480</v>
      </c>
    </row>
    <row r="226" spans="1:14" x14ac:dyDescent="0.35">
      <c r="A226" s="24" t="s">
        <v>232</v>
      </c>
      <c r="B226" s="24" t="str">
        <f t="shared" si="13"/>
        <v>Mồng tơi thịt bằmThịt bằm</v>
      </c>
      <c r="C226" s="24" t="s">
        <v>8</v>
      </c>
      <c r="D226" t="s">
        <v>12</v>
      </c>
      <c r="E226" t="s">
        <v>210</v>
      </c>
      <c r="F226" t="s">
        <v>50</v>
      </c>
      <c r="G226" s="17">
        <v>0.5</v>
      </c>
      <c r="H226" s="18">
        <v>80000</v>
      </c>
      <c r="I226" s="18">
        <v>150</v>
      </c>
      <c r="J226" s="17">
        <f t="shared" si="14"/>
        <v>3.3333333333333335E-3</v>
      </c>
      <c r="K226" s="18">
        <f t="shared" si="12"/>
        <v>266.66666666666669</v>
      </c>
    </row>
    <row r="227" spans="1:14" x14ac:dyDescent="0.35">
      <c r="A227" s="24" t="s">
        <v>232</v>
      </c>
      <c r="B227" s="24" t="str">
        <f t="shared" si="13"/>
        <v>Cá bạc má kho thơmCá bạc má</v>
      </c>
      <c r="C227" s="24" t="s">
        <v>8</v>
      </c>
      <c r="D227" t="s">
        <v>18</v>
      </c>
      <c r="E227" t="s">
        <v>212</v>
      </c>
      <c r="F227" t="s">
        <v>173</v>
      </c>
      <c r="G227" s="17">
        <v>4.4000000000000004</v>
      </c>
      <c r="H227" s="18">
        <v>42000</v>
      </c>
      <c r="I227" s="18">
        <v>45</v>
      </c>
      <c r="J227" s="17">
        <f t="shared" si="14"/>
        <v>9.7777777777777783E-2</v>
      </c>
      <c r="K227" s="18">
        <f t="shared" si="12"/>
        <v>4106.666666666667</v>
      </c>
    </row>
    <row r="228" spans="1:14" x14ac:dyDescent="0.35">
      <c r="A228" s="24" t="s">
        <v>233</v>
      </c>
      <c r="B228" s="24" t="str">
        <f t="shared" si="13"/>
        <v>Cá bạc má kho thơmThơm</v>
      </c>
      <c r="C228" s="24" t="s">
        <v>8</v>
      </c>
      <c r="D228" t="s">
        <v>18</v>
      </c>
      <c r="E228" t="s">
        <v>212</v>
      </c>
      <c r="F228" t="s">
        <v>4</v>
      </c>
      <c r="G228" s="17">
        <v>1</v>
      </c>
      <c r="H228" s="18">
        <v>17000</v>
      </c>
      <c r="I228" s="18">
        <v>45</v>
      </c>
      <c r="J228" s="17">
        <f t="shared" si="14"/>
        <v>2.2222222222222223E-2</v>
      </c>
      <c r="K228" s="18">
        <f t="shared" si="12"/>
        <v>377.77777777777777</v>
      </c>
    </row>
    <row r="229" spans="1:14" x14ac:dyDescent="0.35">
      <c r="A229" s="24" t="s">
        <v>232</v>
      </c>
      <c r="B229" s="24" t="str">
        <f t="shared" si="13"/>
        <v>Trứng hấp thập cẩmTrứng gà</v>
      </c>
      <c r="C229" s="24" t="s">
        <v>8</v>
      </c>
      <c r="D229" t="s">
        <v>19</v>
      </c>
      <c r="E229" t="s">
        <v>213</v>
      </c>
      <c r="F229" t="s">
        <v>13</v>
      </c>
      <c r="G229" s="17">
        <v>280</v>
      </c>
      <c r="H229" s="18">
        <v>2300</v>
      </c>
      <c r="I229" s="18">
        <v>300</v>
      </c>
      <c r="J229" s="17">
        <f t="shared" si="14"/>
        <v>0.93333333333333335</v>
      </c>
      <c r="K229" s="18">
        <f t="shared" si="12"/>
        <v>2146.6666666666665</v>
      </c>
    </row>
    <row r="230" spans="1:14" x14ac:dyDescent="0.35">
      <c r="A230" s="24" t="s">
        <v>233</v>
      </c>
      <c r="B230" s="24" t="str">
        <f t="shared" si="13"/>
        <v>Trứng hấp thập cẩmHành lá</v>
      </c>
      <c r="C230" s="24" t="s">
        <v>8</v>
      </c>
      <c r="D230" t="s">
        <v>19</v>
      </c>
      <c r="E230" t="s">
        <v>213</v>
      </c>
      <c r="F230" t="s">
        <v>24</v>
      </c>
      <c r="G230" s="17">
        <v>0.5</v>
      </c>
      <c r="H230" s="18">
        <v>18000</v>
      </c>
      <c r="I230" s="18">
        <v>300</v>
      </c>
      <c r="J230" s="17">
        <f t="shared" si="14"/>
        <v>1.6666666666666668E-3</v>
      </c>
      <c r="K230" s="18">
        <f t="shared" si="12"/>
        <v>30</v>
      </c>
    </row>
    <row r="231" spans="1:14" x14ac:dyDescent="0.35">
      <c r="A231" s="24" t="s">
        <v>233</v>
      </c>
      <c r="B231" s="24" t="str">
        <f t="shared" si="13"/>
        <v>Trứng hấp thập cẩmNấm mèo</v>
      </c>
      <c r="C231" s="24" t="s">
        <v>8</v>
      </c>
      <c r="D231" t="s">
        <v>19</v>
      </c>
      <c r="E231" t="s">
        <v>213</v>
      </c>
      <c r="F231" t="s">
        <v>28</v>
      </c>
      <c r="G231" s="17">
        <v>0.4</v>
      </c>
      <c r="H231" s="18">
        <v>55000</v>
      </c>
      <c r="I231" s="18">
        <v>300</v>
      </c>
      <c r="J231" s="17">
        <f t="shared" si="14"/>
        <v>1.3333333333333335E-3</v>
      </c>
      <c r="K231" s="18">
        <f t="shared" si="12"/>
        <v>73.333333333333329</v>
      </c>
    </row>
    <row r="232" spans="1:14" x14ac:dyDescent="0.35">
      <c r="A232" s="24" t="s">
        <v>233</v>
      </c>
      <c r="B232" s="24" t="str">
        <f t="shared" si="13"/>
        <v>Trứng hấp thập cẩmCà rốt</v>
      </c>
      <c r="C232" s="24" t="s">
        <v>8</v>
      </c>
      <c r="D232" t="s">
        <v>19</v>
      </c>
      <c r="E232" t="s">
        <v>213</v>
      </c>
      <c r="F232" t="s">
        <v>78</v>
      </c>
      <c r="G232" s="17">
        <v>3</v>
      </c>
      <c r="H232" s="18">
        <v>16000</v>
      </c>
      <c r="I232" s="18">
        <v>300</v>
      </c>
      <c r="J232" s="17">
        <f t="shared" si="14"/>
        <v>0.01</v>
      </c>
      <c r="K232" s="18">
        <f t="shared" si="12"/>
        <v>160</v>
      </c>
      <c r="N232" s="30"/>
    </row>
    <row r="233" spans="1:14" x14ac:dyDescent="0.35">
      <c r="A233" s="24" t="s">
        <v>232</v>
      </c>
      <c r="B233" s="24" t="str">
        <f t="shared" si="13"/>
        <v>Vịt kho gừngVịt</v>
      </c>
      <c r="C233" s="24" t="s">
        <v>8</v>
      </c>
      <c r="D233" t="s">
        <v>18</v>
      </c>
      <c r="E233" t="s">
        <v>214</v>
      </c>
      <c r="F233" t="s">
        <v>163</v>
      </c>
      <c r="G233" s="17">
        <v>34</v>
      </c>
      <c r="H233" s="18">
        <v>65000</v>
      </c>
      <c r="I233" s="18">
        <v>368</v>
      </c>
      <c r="J233" s="17">
        <f t="shared" si="14"/>
        <v>9.2391304347826081E-2</v>
      </c>
      <c r="K233" s="18">
        <f t="shared" si="12"/>
        <v>6005.434782608696</v>
      </c>
    </row>
    <row r="234" spans="1:14" x14ac:dyDescent="0.35">
      <c r="A234" s="24" t="s">
        <v>233</v>
      </c>
      <c r="B234" s="24" t="str">
        <f t="shared" si="13"/>
        <v>Vịt kho gừngGừng</v>
      </c>
      <c r="C234" s="24" t="s">
        <v>8</v>
      </c>
      <c r="D234" t="s">
        <v>18</v>
      </c>
      <c r="E234" t="s">
        <v>214</v>
      </c>
      <c r="F234" t="s">
        <v>215</v>
      </c>
      <c r="G234" s="17">
        <v>0.5</v>
      </c>
      <c r="H234" s="18">
        <v>30000</v>
      </c>
      <c r="I234" s="18">
        <v>368</v>
      </c>
      <c r="J234" s="17">
        <f t="shared" si="14"/>
        <v>1.358695652173913E-3</v>
      </c>
      <c r="K234" s="18">
        <f t="shared" si="12"/>
        <v>40.760869565217391</v>
      </c>
    </row>
    <row r="235" spans="1:14" x14ac:dyDescent="0.35">
      <c r="A235" s="24" t="s">
        <v>232</v>
      </c>
      <c r="B235" s="24" t="str">
        <f t="shared" si="13"/>
        <v>Bún giò heoChanh</v>
      </c>
      <c r="C235" s="24" t="s">
        <v>8</v>
      </c>
      <c r="D235" t="s">
        <v>20</v>
      </c>
      <c r="E235" t="s">
        <v>216</v>
      </c>
      <c r="F235" t="s">
        <v>25</v>
      </c>
      <c r="G235" s="17">
        <v>0.8</v>
      </c>
      <c r="H235" s="18">
        <v>26000</v>
      </c>
      <c r="I235" s="18">
        <v>100</v>
      </c>
      <c r="J235" s="17">
        <f t="shared" si="14"/>
        <v>8.0000000000000002E-3</v>
      </c>
      <c r="K235" s="18">
        <f t="shared" si="12"/>
        <v>208</v>
      </c>
    </row>
    <row r="236" spans="1:14" x14ac:dyDescent="0.35">
      <c r="A236" s="24" t="s">
        <v>232</v>
      </c>
      <c r="B236" s="24" t="str">
        <f t="shared" si="13"/>
        <v>Bún giò heoGiá</v>
      </c>
      <c r="C236" s="24" t="s">
        <v>8</v>
      </c>
      <c r="D236" t="s">
        <v>20</v>
      </c>
      <c r="E236" t="s">
        <v>216</v>
      </c>
      <c r="F236" t="s">
        <v>26</v>
      </c>
      <c r="G236" s="17">
        <v>2.5</v>
      </c>
      <c r="H236" s="18">
        <v>10000</v>
      </c>
      <c r="I236" s="18">
        <v>100</v>
      </c>
      <c r="J236" s="17">
        <f t="shared" si="14"/>
        <v>2.5000000000000001E-2</v>
      </c>
      <c r="K236" s="18">
        <f t="shared" si="12"/>
        <v>250</v>
      </c>
    </row>
    <row r="237" spans="1:14" x14ac:dyDescent="0.35">
      <c r="A237" s="24" t="s">
        <v>233</v>
      </c>
      <c r="B237" s="24" t="str">
        <f t="shared" si="13"/>
        <v>Bún giò heoHành lá</v>
      </c>
      <c r="C237" s="24" t="s">
        <v>8</v>
      </c>
      <c r="D237" t="s">
        <v>20</v>
      </c>
      <c r="E237" t="s">
        <v>216</v>
      </c>
      <c r="F237" t="s">
        <v>24</v>
      </c>
      <c r="G237" s="17">
        <v>0.4</v>
      </c>
      <c r="H237" s="18">
        <v>20000</v>
      </c>
      <c r="I237" s="18">
        <v>100</v>
      </c>
      <c r="J237" s="17">
        <f t="shared" si="14"/>
        <v>4.0000000000000001E-3</v>
      </c>
      <c r="K237" s="18">
        <f t="shared" si="12"/>
        <v>80</v>
      </c>
    </row>
    <row r="238" spans="1:14" x14ac:dyDescent="0.35">
      <c r="A238" s="24" t="s">
        <v>233</v>
      </c>
      <c r="B238" s="24" t="str">
        <f t="shared" si="13"/>
        <v>Bún giò heoHành tây</v>
      </c>
      <c r="C238" s="24" t="s">
        <v>8</v>
      </c>
      <c r="D238" t="s">
        <v>20</v>
      </c>
      <c r="E238" t="s">
        <v>216</v>
      </c>
      <c r="F238" t="s">
        <v>35</v>
      </c>
      <c r="G238" s="17">
        <v>1.5</v>
      </c>
      <c r="H238" s="18">
        <v>15000</v>
      </c>
      <c r="I238" s="18">
        <v>100</v>
      </c>
      <c r="J238" s="17">
        <f t="shared" si="14"/>
        <v>1.4999999999999999E-2</v>
      </c>
      <c r="K238" s="18">
        <f t="shared" si="12"/>
        <v>225</v>
      </c>
    </row>
    <row r="239" spans="1:14" x14ac:dyDescent="0.35">
      <c r="A239" s="24" t="s">
        <v>233</v>
      </c>
      <c r="B239" s="24" t="str">
        <f t="shared" si="13"/>
        <v>Bún giò heoNgò rí</v>
      </c>
      <c r="C239" s="24" t="s">
        <v>8</v>
      </c>
      <c r="D239" t="s">
        <v>20</v>
      </c>
      <c r="E239" t="s">
        <v>216</v>
      </c>
      <c r="F239" t="s">
        <v>369</v>
      </c>
      <c r="G239" s="17">
        <v>0.2</v>
      </c>
      <c r="H239" s="18">
        <v>35000</v>
      </c>
      <c r="I239" s="18">
        <v>100</v>
      </c>
      <c r="J239" s="17">
        <f t="shared" si="14"/>
        <v>2E-3</v>
      </c>
      <c r="K239" s="18">
        <f t="shared" si="12"/>
        <v>70</v>
      </c>
    </row>
    <row r="240" spans="1:14" x14ac:dyDescent="0.35">
      <c r="A240" s="24" t="s">
        <v>233</v>
      </c>
      <c r="B240" s="24" t="str">
        <f t="shared" si="13"/>
        <v>Bún giò heoRau quế</v>
      </c>
      <c r="C240" s="24" t="s">
        <v>8</v>
      </c>
      <c r="D240" t="s">
        <v>20</v>
      </c>
      <c r="E240" t="s">
        <v>216</v>
      </c>
      <c r="F240" t="s">
        <v>23</v>
      </c>
      <c r="G240" s="17">
        <v>0.3</v>
      </c>
      <c r="H240" s="18">
        <v>30000</v>
      </c>
      <c r="I240" s="18">
        <v>100</v>
      </c>
      <c r="J240" s="17">
        <f t="shared" si="14"/>
        <v>3.0000000000000001E-3</v>
      </c>
      <c r="K240" s="18">
        <f t="shared" si="12"/>
        <v>90</v>
      </c>
    </row>
    <row r="241" spans="1:11" x14ac:dyDescent="0.35">
      <c r="A241" s="24" t="s">
        <v>232</v>
      </c>
      <c r="B241" s="24" t="str">
        <f t="shared" si="13"/>
        <v>Bún giò heogiò heo</v>
      </c>
      <c r="C241" s="24" t="s">
        <v>8</v>
      </c>
      <c r="D241" t="s">
        <v>20</v>
      </c>
      <c r="E241" t="s">
        <v>216</v>
      </c>
      <c r="F241" t="s">
        <v>479</v>
      </c>
      <c r="G241" s="17">
        <v>13</v>
      </c>
      <c r="H241" s="18">
        <v>70000</v>
      </c>
      <c r="I241" s="18">
        <v>100</v>
      </c>
      <c r="J241" s="17">
        <f t="shared" si="14"/>
        <v>0.13</v>
      </c>
      <c r="K241" s="18">
        <f t="shared" si="12"/>
        <v>9100</v>
      </c>
    </row>
    <row r="242" spans="1:11" x14ac:dyDescent="0.35">
      <c r="A242" s="24" t="s">
        <v>233</v>
      </c>
      <c r="B242" s="24" t="str">
        <f t="shared" si="13"/>
        <v>Bún giò heoHuyết bò</v>
      </c>
      <c r="C242" s="24" t="s">
        <v>8</v>
      </c>
      <c r="D242" t="s">
        <v>20</v>
      </c>
      <c r="E242" t="s">
        <v>216</v>
      </c>
      <c r="F242" t="s">
        <v>167</v>
      </c>
      <c r="G242" s="17">
        <v>2.5</v>
      </c>
      <c r="H242" s="18">
        <v>25000</v>
      </c>
      <c r="I242" s="18">
        <v>100</v>
      </c>
      <c r="J242" s="17">
        <f t="shared" si="14"/>
        <v>2.5000000000000001E-2</v>
      </c>
      <c r="K242" s="18">
        <f t="shared" si="12"/>
        <v>625</v>
      </c>
    </row>
    <row r="243" spans="1:11" x14ac:dyDescent="0.35">
      <c r="A243" s="24" t="s">
        <v>233</v>
      </c>
      <c r="B243" s="24" t="str">
        <f t="shared" si="13"/>
        <v>Bún giò heoXà lách</v>
      </c>
      <c r="C243" s="24" t="s">
        <v>8</v>
      </c>
      <c r="D243" t="s">
        <v>20</v>
      </c>
      <c r="E243" t="s">
        <v>216</v>
      </c>
      <c r="F243" t="s">
        <v>197</v>
      </c>
      <c r="G243" s="17">
        <v>2</v>
      </c>
      <c r="H243" s="18">
        <v>22000</v>
      </c>
      <c r="I243" s="18">
        <v>100</v>
      </c>
      <c r="J243" s="17">
        <f t="shared" si="14"/>
        <v>0.02</v>
      </c>
      <c r="K243" s="18">
        <f t="shared" si="12"/>
        <v>440</v>
      </c>
    </row>
    <row r="244" spans="1:11" x14ac:dyDescent="0.35">
      <c r="A244" s="24" t="s">
        <v>233</v>
      </c>
      <c r="B244" s="24" t="str">
        <f t="shared" si="13"/>
        <v>Bún giò heoCủ cải</v>
      </c>
      <c r="C244" s="24" t="s">
        <v>8</v>
      </c>
      <c r="D244" t="s">
        <v>20</v>
      </c>
      <c r="E244" t="s">
        <v>216</v>
      </c>
      <c r="F244" t="s">
        <v>202</v>
      </c>
      <c r="G244" s="17">
        <v>1</v>
      </c>
      <c r="H244" s="18">
        <v>12000</v>
      </c>
      <c r="I244" s="18">
        <v>100</v>
      </c>
      <c r="J244" s="17">
        <f t="shared" si="14"/>
        <v>0.01</v>
      </c>
      <c r="K244" s="18">
        <f t="shared" si="12"/>
        <v>120</v>
      </c>
    </row>
    <row r="245" spans="1:11" x14ac:dyDescent="0.35">
      <c r="A245" s="24" t="s">
        <v>233</v>
      </c>
      <c r="B245" s="24" t="str">
        <f t="shared" si="13"/>
        <v>Bún giò heoĐu đủ xanh</v>
      </c>
      <c r="C245" s="24" t="s">
        <v>8</v>
      </c>
      <c r="D245" t="s">
        <v>20</v>
      </c>
      <c r="E245" t="s">
        <v>216</v>
      </c>
      <c r="F245" t="s">
        <v>302</v>
      </c>
      <c r="G245" s="17">
        <v>0.8</v>
      </c>
      <c r="H245" s="18">
        <v>12000</v>
      </c>
      <c r="I245" s="18">
        <v>100</v>
      </c>
      <c r="J245" s="17">
        <f t="shared" si="14"/>
        <v>8.0000000000000002E-3</v>
      </c>
      <c r="K245" s="18">
        <f t="shared" si="12"/>
        <v>96</v>
      </c>
    </row>
    <row r="246" spans="1:11" x14ac:dyDescent="0.35">
      <c r="A246" s="24" t="s">
        <v>233</v>
      </c>
      <c r="B246" s="24" t="str">
        <f t="shared" si="13"/>
        <v>Bún giò heoHành tái</v>
      </c>
      <c r="C246" s="24" t="s">
        <v>8</v>
      </c>
      <c r="D246" t="s">
        <v>20</v>
      </c>
      <c r="E246" t="s">
        <v>216</v>
      </c>
      <c r="F246" t="s">
        <v>371</v>
      </c>
      <c r="G246" s="17">
        <v>0.3</v>
      </c>
      <c r="H246" s="18">
        <v>20000</v>
      </c>
      <c r="I246" s="18">
        <v>100</v>
      </c>
      <c r="J246" s="17">
        <f t="shared" si="14"/>
        <v>3.0000000000000001E-3</v>
      </c>
      <c r="K246" s="18">
        <f t="shared" si="12"/>
        <v>60</v>
      </c>
    </row>
    <row r="247" spans="1:11" x14ac:dyDescent="0.35">
      <c r="A247" s="24" t="s">
        <v>233</v>
      </c>
      <c r="B247" s="24" t="str">
        <f t="shared" si="13"/>
        <v>Bún giò heoCà rốt</v>
      </c>
      <c r="C247" s="24" t="s">
        <v>8</v>
      </c>
      <c r="D247" t="s">
        <v>20</v>
      </c>
      <c r="E247" t="s">
        <v>216</v>
      </c>
      <c r="F247" t="s">
        <v>78</v>
      </c>
      <c r="G247" s="17">
        <v>0.8</v>
      </c>
      <c r="H247" s="18">
        <v>15000</v>
      </c>
      <c r="I247" s="18">
        <v>100</v>
      </c>
      <c r="J247" s="17">
        <f t="shared" si="14"/>
        <v>8.0000000000000002E-3</v>
      </c>
      <c r="K247" s="18">
        <f t="shared" si="12"/>
        <v>120</v>
      </c>
    </row>
    <row r="248" spans="1:11" x14ac:dyDescent="0.35">
      <c r="A248" s="24" t="s">
        <v>232</v>
      </c>
      <c r="B248" s="24" t="str">
        <f t="shared" si="13"/>
        <v>Bún giò heobún tươi</v>
      </c>
      <c r="C248" s="24" t="s">
        <v>8</v>
      </c>
      <c r="D248" t="s">
        <v>20</v>
      </c>
      <c r="E248" t="s">
        <v>216</v>
      </c>
      <c r="F248" t="s">
        <v>467</v>
      </c>
      <c r="G248" s="17">
        <v>33</v>
      </c>
      <c r="H248" s="18">
        <v>10000</v>
      </c>
      <c r="I248" s="18">
        <v>100</v>
      </c>
      <c r="J248" s="17">
        <f t="shared" si="14"/>
        <v>0.33</v>
      </c>
      <c r="K248" s="18">
        <f t="shared" si="12"/>
        <v>3300</v>
      </c>
    </row>
    <row r="249" spans="1:11" x14ac:dyDescent="0.35">
      <c r="A249" s="24" t="s">
        <v>233</v>
      </c>
      <c r="B249" s="24" t="str">
        <f t="shared" si="13"/>
        <v>Rau muống nấu hếnRau muống</v>
      </c>
      <c r="C249" s="24" t="s">
        <v>8</v>
      </c>
      <c r="D249" t="s">
        <v>12</v>
      </c>
      <c r="E249" t="s">
        <v>218</v>
      </c>
      <c r="F249" t="s">
        <v>64</v>
      </c>
      <c r="G249" s="17">
        <v>4</v>
      </c>
      <c r="H249" s="18">
        <v>9000</v>
      </c>
      <c r="I249" s="18">
        <v>125</v>
      </c>
      <c r="J249" s="17">
        <f t="shared" si="14"/>
        <v>3.2000000000000001E-2</v>
      </c>
      <c r="K249" s="18">
        <f t="shared" si="12"/>
        <v>288</v>
      </c>
    </row>
    <row r="250" spans="1:11" x14ac:dyDescent="0.35">
      <c r="A250" s="24" t="s">
        <v>233</v>
      </c>
      <c r="B250" s="24" t="str">
        <f t="shared" si="13"/>
        <v>Rau muống nấu hếnHến</v>
      </c>
      <c r="C250" s="24" t="s">
        <v>8</v>
      </c>
      <c r="D250" t="s">
        <v>12</v>
      </c>
      <c r="E250" t="s">
        <v>218</v>
      </c>
      <c r="F250" t="s">
        <v>219</v>
      </c>
      <c r="G250" s="17">
        <v>0.3</v>
      </c>
      <c r="H250" s="18">
        <v>110000</v>
      </c>
      <c r="I250" s="18">
        <v>125</v>
      </c>
      <c r="J250" s="17">
        <f t="shared" si="14"/>
        <v>2.3999999999999998E-3</v>
      </c>
      <c r="K250" s="18">
        <f t="shared" si="12"/>
        <v>264</v>
      </c>
    </row>
    <row r="251" spans="1:11" x14ac:dyDescent="0.35">
      <c r="A251" s="24" t="s">
        <v>232</v>
      </c>
      <c r="B251" s="24" t="str">
        <f t="shared" si="13"/>
        <v>Đùi gà rô tyĐùi gà</v>
      </c>
      <c r="C251" s="24" t="s">
        <v>8</v>
      </c>
      <c r="D251" t="s">
        <v>18</v>
      </c>
      <c r="E251" t="s">
        <v>220</v>
      </c>
      <c r="F251" t="s">
        <v>221</v>
      </c>
      <c r="G251" s="17">
        <v>12</v>
      </c>
      <c r="H251" s="18">
        <v>55000</v>
      </c>
      <c r="I251" s="18">
        <v>68</v>
      </c>
      <c r="J251" s="17">
        <f t="shared" si="14"/>
        <v>0.17647058823529413</v>
      </c>
      <c r="K251" s="18">
        <f t="shared" si="12"/>
        <v>9705.8823529411766</v>
      </c>
    </row>
    <row r="252" spans="1:11" x14ac:dyDescent="0.35">
      <c r="A252" s="24" t="s">
        <v>232</v>
      </c>
      <c r="B252" s="24" t="str">
        <f t="shared" si="13"/>
        <v>Gà xé hành rau rămGà</v>
      </c>
      <c r="C252" s="24" t="s">
        <v>8</v>
      </c>
      <c r="D252" t="s">
        <v>18</v>
      </c>
      <c r="E252" t="s">
        <v>222</v>
      </c>
      <c r="F252" t="s">
        <v>21</v>
      </c>
      <c r="G252" s="17">
        <v>3</v>
      </c>
      <c r="H252" s="18">
        <v>75000</v>
      </c>
      <c r="I252" s="18">
        <v>40</v>
      </c>
      <c r="J252" s="17">
        <f t="shared" si="14"/>
        <v>7.4999999999999997E-2</v>
      </c>
      <c r="K252" s="18">
        <f t="shared" si="12"/>
        <v>5625</v>
      </c>
    </row>
    <row r="253" spans="1:11" x14ac:dyDescent="0.35">
      <c r="A253" s="24" t="s">
        <v>233</v>
      </c>
      <c r="B253" s="24" t="str">
        <f t="shared" si="13"/>
        <v>Gà xé hành rau rămRau răm</v>
      </c>
      <c r="C253" s="24" t="s">
        <v>8</v>
      </c>
      <c r="D253" t="s">
        <v>18</v>
      </c>
      <c r="E253" t="s">
        <v>222</v>
      </c>
      <c r="F253" t="s">
        <v>69</v>
      </c>
      <c r="G253" s="17">
        <v>0.3</v>
      </c>
      <c r="H253" s="18">
        <v>20000</v>
      </c>
      <c r="I253" s="18">
        <v>40</v>
      </c>
      <c r="J253" s="17">
        <f t="shared" si="14"/>
        <v>7.4999999999999997E-3</v>
      </c>
      <c r="K253" s="18">
        <f t="shared" si="12"/>
        <v>150</v>
      </c>
    </row>
    <row r="254" spans="1:11" x14ac:dyDescent="0.35">
      <c r="A254" s="24" t="s">
        <v>233</v>
      </c>
      <c r="B254" s="24" t="str">
        <f t="shared" si="13"/>
        <v>Gà xé hành rau rămHành tây</v>
      </c>
      <c r="C254" s="24" t="s">
        <v>8</v>
      </c>
      <c r="D254" t="s">
        <v>18</v>
      </c>
      <c r="E254" t="s">
        <v>222</v>
      </c>
      <c r="F254" t="s">
        <v>35</v>
      </c>
      <c r="G254" s="17">
        <v>2</v>
      </c>
      <c r="H254" s="18">
        <v>10000</v>
      </c>
      <c r="I254" s="18">
        <v>40</v>
      </c>
      <c r="J254" s="17">
        <f t="shared" si="14"/>
        <v>0.05</v>
      </c>
      <c r="K254" s="18">
        <f t="shared" si="12"/>
        <v>500</v>
      </c>
    </row>
    <row r="255" spans="1:11" x14ac:dyDescent="0.35">
      <c r="A255" s="24" t="s">
        <v>233</v>
      </c>
      <c r="B255" s="24" t="str">
        <f t="shared" si="13"/>
        <v>Củ cải xàoCủ cải</v>
      </c>
      <c r="C255" s="24" t="s">
        <v>8</v>
      </c>
      <c r="D255" t="s">
        <v>47</v>
      </c>
      <c r="E255" t="s">
        <v>174</v>
      </c>
      <c r="F255" t="s">
        <v>202</v>
      </c>
      <c r="G255" s="17">
        <v>22</v>
      </c>
      <c r="H255" s="18">
        <v>8000</v>
      </c>
      <c r="I255" s="18">
        <v>231</v>
      </c>
      <c r="J255" s="17">
        <f t="shared" si="14"/>
        <v>9.5238095238095233E-2</v>
      </c>
      <c r="K255" s="18">
        <f t="shared" si="12"/>
        <v>761.90476190476193</v>
      </c>
    </row>
    <row r="256" spans="1:11" x14ac:dyDescent="0.35">
      <c r="A256" s="24" t="s">
        <v>233</v>
      </c>
      <c r="B256" s="24" t="str">
        <f t="shared" si="13"/>
        <v>Đậu đũa xàoĐậu đũa</v>
      </c>
      <c r="C256" s="24" t="s">
        <v>8</v>
      </c>
      <c r="D256" t="s">
        <v>47</v>
      </c>
      <c r="E256" t="s">
        <v>223</v>
      </c>
      <c r="F256" t="s">
        <v>224</v>
      </c>
      <c r="G256" s="17">
        <v>10</v>
      </c>
      <c r="H256" s="18">
        <v>8000</v>
      </c>
      <c r="I256" s="18">
        <v>115</v>
      </c>
      <c r="J256" s="17">
        <f t="shared" si="14"/>
        <v>8.6956521739130432E-2</v>
      </c>
      <c r="K256" s="18">
        <f t="shared" si="12"/>
        <v>695.6521739130435</v>
      </c>
    </row>
    <row r="257" spans="1:14" x14ac:dyDescent="0.35">
      <c r="A257" s="24" t="s">
        <v>233</v>
      </c>
      <c r="B257" s="24" t="str">
        <f t="shared" si="13"/>
        <v>Sắn dây xàoSắn dây</v>
      </c>
      <c r="C257" s="24" t="s">
        <v>8</v>
      </c>
      <c r="D257" t="s">
        <v>47</v>
      </c>
      <c r="E257" t="s">
        <v>225</v>
      </c>
      <c r="F257" t="s">
        <v>226</v>
      </c>
      <c r="G257" s="17">
        <v>3.5</v>
      </c>
      <c r="H257" s="18">
        <v>13000</v>
      </c>
      <c r="I257" s="18">
        <v>43</v>
      </c>
      <c r="J257" s="17">
        <f t="shared" si="14"/>
        <v>8.1395348837209308E-2</v>
      </c>
      <c r="K257" s="18">
        <f t="shared" si="12"/>
        <v>1058.1395348837209</v>
      </c>
    </row>
    <row r="258" spans="1:14" x14ac:dyDescent="0.35">
      <c r="A258" s="24" t="s">
        <v>233</v>
      </c>
      <c r="B258" s="24" t="str">
        <f t="shared" si="13"/>
        <v xml:space="preserve">Tim xào giá hẹTim </v>
      </c>
      <c r="C258" s="24" t="s">
        <v>8</v>
      </c>
      <c r="D258" t="s">
        <v>19</v>
      </c>
      <c r="E258" t="s">
        <v>227</v>
      </c>
      <c r="F258" t="s">
        <v>228</v>
      </c>
      <c r="G258" s="17">
        <v>15.5</v>
      </c>
      <c r="H258" s="18">
        <v>50000</v>
      </c>
      <c r="I258" s="18">
        <v>257</v>
      </c>
      <c r="J258" s="17">
        <f t="shared" si="14"/>
        <v>6.0311284046692608E-2</v>
      </c>
      <c r="K258" s="18">
        <f t="shared" ref="K258:K281" si="15">(G258*H258)/I258</f>
        <v>3015.5642023346304</v>
      </c>
    </row>
    <row r="259" spans="1:14" x14ac:dyDescent="0.35">
      <c r="A259" s="24" t="s">
        <v>233</v>
      </c>
      <c r="B259" s="24" t="str">
        <f t="shared" si="13"/>
        <v>Tim xào giá hẹlá he</v>
      </c>
      <c r="C259" s="24" t="s">
        <v>8</v>
      </c>
      <c r="D259" t="s">
        <v>19</v>
      </c>
      <c r="E259" t="s">
        <v>227</v>
      </c>
      <c r="F259" t="s">
        <v>229</v>
      </c>
      <c r="G259" s="17">
        <v>1</v>
      </c>
      <c r="H259" s="18">
        <v>50000</v>
      </c>
      <c r="I259" s="18">
        <v>257</v>
      </c>
      <c r="J259" s="17">
        <f t="shared" si="14"/>
        <v>3.8910505836575876E-3</v>
      </c>
      <c r="K259" s="18">
        <f t="shared" si="15"/>
        <v>194.55252918287937</v>
      </c>
      <c r="N259" s="30"/>
    </row>
    <row r="260" spans="1:14" x14ac:dyDescent="0.35">
      <c r="A260" s="24" t="s">
        <v>233</v>
      </c>
      <c r="B260" s="24" t="str">
        <f t="shared" si="13"/>
        <v>Tim xào giá hẹGiá</v>
      </c>
      <c r="C260" s="24" t="s">
        <v>8</v>
      </c>
      <c r="D260" t="s">
        <v>19</v>
      </c>
      <c r="E260" t="s">
        <v>227</v>
      </c>
      <c r="F260" t="s">
        <v>26</v>
      </c>
      <c r="G260" s="17">
        <v>18</v>
      </c>
      <c r="H260" s="18">
        <v>10000</v>
      </c>
      <c r="I260" s="18">
        <v>257</v>
      </c>
      <c r="J260" s="17">
        <f t="shared" si="14"/>
        <v>7.0038910505836577E-2</v>
      </c>
      <c r="K260" s="18">
        <f t="shared" si="15"/>
        <v>700.38910505836577</v>
      </c>
    </row>
    <row r="261" spans="1:14" x14ac:dyDescent="0.35">
      <c r="A261" s="24" t="s">
        <v>232</v>
      </c>
      <c r="B261" s="24" t="str">
        <f t="shared" si="13"/>
        <v>Bún chả cáBí đỏ</v>
      </c>
      <c r="C261" s="24" t="s">
        <v>8</v>
      </c>
      <c r="D261" t="s">
        <v>20</v>
      </c>
      <c r="E261" t="s">
        <v>267</v>
      </c>
      <c r="F261" t="s">
        <v>103</v>
      </c>
      <c r="G261" s="17">
        <v>3.5</v>
      </c>
      <c r="H261" s="18">
        <v>12000</v>
      </c>
      <c r="I261" s="18">
        <v>100</v>
      </c>
      <c r="J261" s="17">
        <f t="shared" si="14"/>
        <v>3.5000000000000003E-2</v>
      </c>
      <c r="K261" s="18">
        <f t="shared" si="15"/>
        <v>420</v>
      </c>
      <c r="N261" s="30"/>
    </row>
    <row r="262" spans="1:14" x14ac:dyDescent="0.35">
      <c r="A262" s="24" t="s">
        <v>232</v>
      </c>
      <c r="B262" s="24" t="str">
        <f t="shared" si="13"/>
        <v>Bún chả cáChanh</v>
      </c>
      <c r="C262" s="24" t="s">
        <v>8</v>
      </c>
      <c r="D262" t="s">
        <v>20</v>
      </c>
      <c r="E262" t="s">
        <v>267</v>
      </c>
      <c r="F262" t="s">
        <v>25</v>
      </c>
      <c r="G262" s="17">
        <v>0.8</v>
      </c>
      <c r="H262" s="18">
        <v>26000</v>
      </c>
      <c r="I262" s="18">
        <v>100</v>
      </c>
      <c r="J262" s="17">
        <f t="shared" si="14"/>
        <v>8.0000000000000002E-3</v>
      </c>
      <c r="K262" s="18">
        <f t="shared" si="15"/>
        <v>208</v>
      </c>
    </row>
    <row r="263" spans="1:14" x14ac:dyDescent="0.35">
      <c r="A263" s="24" t="s">
        <v>232</v>
      </c>
      <c r="B263" s="24" t="str">
        <f t="shared" si="13"/>
        <v>Bún chả cáGiá giò</v>
      </c>
      <c r="C263" s="24" t="s">
        <v>8</v>
      </c>
      <c r="D263" t="s">
        <v>20</v>
      </c>
      <c r="E263" t="s">
        <v>267</v>
      </c>
      <c r="F263" t="s">
        <v>384</v>
      </c>
      <c r="G263" s="17">
        <v>2.5</v>
      </c>
      <c r="H263" s="18">
        <v>10000</v>
      </c>
      <c r="I263" s="18">
        <v>100</v>
      </c>
      <c r="J263" s="17">
        <f t="shared" si="14"/>
        <v>2.5000000000000001E-2</v>
      </c>
      <c r="K263" s="18">
        <f t="shared" si="15"/>
        <v>250</v>
      </c>
    </row>
    <row r="264" spans="1:14" x14ac:dyDescent="0.35">
      <c r="A264" s="24" t="s">
        <v>232</v>
      </c>
      <c r="B264" s="24" t="str">
        <f t="shared" si="13"/>
        <v>Bún chả cáHành lá</v>
      </c>
      <c r="C264" s="24" t="s">
        <v>8</v>
      </c>
      <c r="D264" t="s">
        <v>20</v>
      </c>
      <c r="E264" t="s">
        <v>267</v>
      </c>
      <c r="F264" t="s">
        <v>24</v>
      </c>
      <c r="G264" s="17">
        <v>0.4</v>
      </c>
      <c r="H264" s="18">
        <v>20000</v>
      </c>
      <c r="I264" s="18">
        <v>100</v>
      </c>
      <c r="J264" s="17">
        <f t="shared" si="14"/>
        <v>4.0000000000000001E-3</v>
      </c>
      <c r="K264" s="18">
        <f t="shared" si="15"/>
        <v>80</v>
      </c>
    </row>
    <row r="265" spans="1:14" x14ac:dyDescent="0.35">
      <c r="A265" s="24" t="s">
        <v>232</v>
      </c>
      <c r="B265" s="24" t="str">
        <f t="shared" si="13"/>
        <v>Bún chả cáHành tây</v>
      </c>
      <c r="C265" s="24" t="s">
        <v>8</v>
      </c>
      <c r="D265" t="s">
        <v>20</v>
      </c>
      <c r="E265" t="s">
        <v>267</v>
      </c>
      <c r="F265" t="s">
        <v>35</v>
      </c>
      <c r="G265" s="17">
        <v>0.3</v>
      </c>
      <c r="H265" s="18">
        <v>15000</v>
      </c>
      <c r="I265" s="18">
        <v>100</v>
      </c>
      <c r="J265" s="17">
        <f t="shared" si="14"/>
        <v>3.0000000000000001E-3</v>
      </c>
      <c r="K265" s="18">
        <f t="shared" si="15"/>
        <v>45</v>
      </c>
    </row>
    <row r="266" spans="1:14" x14ac:dyDescent="0.35">
      <c r="A266" s="24" t="s">
        <v>232</v>
      </c>
      <c r="B266" s="24" t="str">
        <f t="shared" si="13"/>
        <v>Bún chả cáRau quế</v>
      </c>
      <c r="C266" s="24" t="s">
        <v>8</v>
      </c>
      <c r="D266" t="s">
        <v>20</v>
      </c>
      <c r="E266" t="s">
        <v>267</v>
      </c>
      <c r="F266" t="s">
        <v>23</v>
      </c>
      <c r="G266" s="17">
        <v>0.2</v>
      </c>
      <c r="H266" s="18">
        <v>30000</v>
      </c>
      <c r="I266" s="18">
        <v>100</v>
      </c>
      <c r="J266" s="17">
        <f t="shared" si="14"/>
        <v>2E-3</v>
      </c>
      <c r="K266" s="18">
        <f t="shared" si="15"/>
        <v>60</v>
      </c>
    </row>
    <row r="267" spans="1:14" x14ac:dyDescent="0.35">
      <c r="A267" s="24" t="s">
        <v>232</v>
      </c>
      <c r="B267" s="24" t="str">
        <f t="shared" si="13"/>
        <v>Bún chả cáSu trắng</v>
      </c>
      <c r="C267" s="24" t="s">
        <v>8</v>
      </c>
      <c r="D267" t="s">
        <v>20</v>
      </c>
      <c r="E267" t="s">
        <v>267</v>
      </c>
      <c r="F267" t="s">
        <v>39</v>
      </c>
      <c r="G267" s="17">
        <v>1.5</v>
      </c>
      <c r="H267" s="18">
        <v>10000</v>
      </c>
      <c r="I267" s="18">
        <v>100</v>
      </c>
      <c r="J267" s="17">
        <f t="shared" si="14"/>
        <v>1.4999999999999999E-2</v>
      </c>
      <c r="K267" s="18">
        <f t="shared" si="15"/>
        <v>150</v>
      </c>
    </row>
    <row r="268" spans="1:14" x14ac:dyDescent="0.35">
      <c r="A268" s="24" t="s">
        <v>232</v>
      </c>
      <c r="B268" s="24" t="str">
        <f t="shared" si="13"/>
        <v>Bún chả cáXà lách</v>
      </c>
      <c r="C268" s="24" t="s">
        <v>8</v>
      </c>
      <c r="D268" t="s">
        <v>20</v>
      </c>
      <c r="E268" t="s">
        <v>267</v>
      </c>
      <c r="F268" t="s">
        <v>197</v>
      </c>
      <c r="G268" s="17">
        <v>1</v>
      </c>
      <c r="H268" s="18">
        <v>22000</v>
      </c>
      <c r="I268" s="18">
        <v>100</v>
      </c>
      <c r="J268" s="17">
        <f t="shared" si="14"/>
        <v>0.01</v>
      </c>
      <c r="K268" s="18">
        <f t="shared" si="15"/>
        <v>220</v>
      </c>
    </row>
    <row r="269" spans="1:14" x14ac:dyDescent="0.35">
      <c r="A269" s="24" t="s">
        <v>232</v>
      </c>
      <c r="B269" s="24" t="str">
        <f t="shared" si="13"/>
        <v>Bún chả cáĐu đủ xanh</v>
      </c>
      <c r="C269" s="24" t="s">
        <v>8</v>
      </c>
      <c r="D269" t="s">
        <v>20</v>
      </c>
      <c r="E269" t="s">
        <v>267</v>
      </c>
      <c r="F269" t="s">
        <v>302</v>
      </c>
      <c r="G269" s="17">
        <v>0.8</v>
      </c>
      <c r="H269" s="18">
        <v>12000</v>
      </c>
      <c r="I269" s="18">
        <v>100</v>
      </c>
      <c r="J269" s="17">
        <f t="shared" si="14"/>
        <v>8.0000000000000002E-3</v>
      </c>
      <c r="K269" s="18">
        <f t="shared" si="15"/>
        <v>96</v>
      </c>
    </row>
    <row r="270" spans="1:14" x14ac:dyDescent="0.35">
      <c r="A270" s="24" t="s">
        <v>232</v>
      </c>
      <c r="B270" s="24" t="str">
        <f t="shared" si="13"/>
        <v>Bún chả cáCà rốt</v>
      </c>
      <c r="C270" s="24" t="s">
        <v>8</v>
      </c>
      <c r="D270" t="s">
        <v>20</v>
      </c>
      <c r="E270" t="s">
        <v>267</v>
      </c>
      <c r="F270" t="s">
        <v>78</v>
      </c>
      <c r="G270" s="17">
        <v>0.8</v>
      </c>
      <c r="H270" s="18">
        <v>15000</v>
      </c>
      <c r="I270" s="18">
        <v>100</v>
      </c>
      <c r="J270" s="17">
        <f t="shared" si="14"/>
        <v>8.0000000000000002E-3</v>
      </c>
      <c r="K270" s="18">
        <f t="shared" si="15"/>
        <v>120</v>
      </c>
    </row>
    <row r="271" spans="1:14" x14ac:dyDescent="0.35">
      <c r="A271" s="24" t="s">
        <v>232</v>
      </c>
      <c r="B271" s="24" t="str">
        <f t="shared" si="13"/>
        <v>Bún chả cáHành tái</v>
      </c>
      <c r="C271" s="24" t="s">
        <v>8</v>
      </c>
      <c r="D271" t="s">
        <v>20</v>
      </c>
      <c r="E271" t="s">
        <v>267</v>
      </c>
      <c r="F271" t="s">
        <v>371</v>
      </c>
      <c r="G271" s="17">
        <v>0.3</v>
      </c>
      <c r="H271" s="18">
        <v>40000</v>
      </c>
      <c r="I271" s="18">
        <v>100</v>
      </c>
      <c r="J271" s="17">
        <f t="shared" si="14"/>
        <v>3.0000000000000001E-3</v>
      </c>
      <c r="K271" s="18">
        <f t="shared" si="15"/>
        <v>120</v>
      </c>
    </row>
    <row r="272" spans="1:14" x14ac:dyDescent="0.35">
      <c r="A272" s="24" t="s">
        <v>232</v>
      </c>
      <c r="B272" s="24" t="str">
        <f t="shared" si="13"/>
        <v>Bún chả cáChả cá đồng tiền</v>
      </c>
      <c r="C272" s="24" t="s">
        <v>8</v>
      </c>
      <c r="D272" t="s">
        <v>20</v>
      </c>
      <c r="E272" t="s">
        <v>267</v>
      </c>
      <c r="F272" t="s">
        <v>386</v>
      </c>
      <c r="G272" s="17">
        <v>2.2999999999999998</v>
      </c>
      <c r="H272" s="18">
        <v>10000</v>
      </c>
      <c r="I272" s="18">
        <v>100</v>
      </c>
      <c r="J272" s="17">
        <f t="shared" si="14"/>
        <v>2.3E-2</v>
      </c>
      <c r="K272" s="18">
        <f t="shared" si="15"/>
        <v>230</v>
      </c>
    </row>
    <row r="273" spans="1:14" x14ac:dyDescent="0.35">
      <c r="A273" s="24" t="s">
        <v>232</v>
      </c>
      <c r="B273" s="24" t="str">
        <f t="shared" si="13"/>
        <v>Bún chả cáChả cá hấp</v>
      </c>
      <c r="C273" s="24" t="s">
        <v>8</v>
      </c>
      <c r="D273" t="s">
        <v>20</v>
      </c>
      <c r="E273" t="s">
        <v>267</v>
      </c>
      <c r="F273" t="s">
        <v>269</v>
      </c>
      <c r="G273" s="17">
        <v>2</v>
      </c>
      <c r="H273" s="18">
        <v>10000</v>
      </c>
      <c r="I273" s="18">
        <v>100</v>
      </c>
      <c r="J273" s="17">
        <f t="shared" si="14"/>
        <v>0.02</v>
      </c>
      <c r="K273" s="18">
        <f t="shared" si="15"/>
        <v>200</v>
      </c>
    </row>
    <row r="274" spans="1:14" x14ac:dyDescent="0.35">
      <c r="A274" s="24" t="s">
        <v>232</v>
      </c>
      <c r="B274" s="24" t="str">
        <f t="shared" si="13"/>
        <v>Bún chả cáChả cá tấm chiên</v>
      </c>
      <c r="C274" s="24" t="s">
        <v>8</v>
      </c>
      <c r="D274" t="s">
        <v>20</v>
      </c>
      <c r="E274" t="s">
        <v>267</v>
      </c>
      <c r="F274" t="s">
        <v>268</v>
      </c>
      <c r="G274" s="17">
        <v>3</v>
      </c>
      <c r="H274" s="18">
        <v>70000</v>
      </c>
      <c r="I274" s="18">
        <v>100</v>
      </c>
      <c r="J274" s="17">
        <f t="shared" si="14"/>
        <v>0.03</v>
      </c>
      <c r="K274" s="18">
        <f t="shared" si="15"/>
        <v>2100</v>
      </c>
    </row>
    <row r="275" spans="1:14" x14ac:dyDescent="0.35">
      <c r="A275" s="24" t="s">
        <v>232</v>
      </c>
      <c r="B275" s="24" t="str">
        <f t="shared" si="13"/>
        <v>Bún chả cáThơm</v>
      </c>
      <c r="C275" s="24" t="s">
        <v>8</v>
      </c>
      <c r="D275" t="s">
        <v>20</v>
      </c>
      <c r="E275" t="s">
        <v>267</v>
      </c>
      <c r="F275" t="s">
        <v>4</v>
      </c>
      <c r="G275" s="17">
        <v>1.5</v>
      </c>
      <c r="H275" s="18">
        <v>17000</v>
      </c>
      <c r="I275" s="18">
        <v>100</v>
      </c>
      <c r="J275" s="17">
        <f t="shared" si="14"/>
        <v>1.4999999999999999E-2</v>
      </c>
      <c r="K275" s="18">
        <f t="shared" si="15"/>
        <v>255</v>
      </c>
    </row>
    <row r="276" spans="1:14" x14ac:dyDescent="0.35">
      <c r="A276" s="24" t="s">
        <v>232</v>
      </c>
      <c r="B276" s="24" t="str">
        <f t="shared" si="13"/>
        <v>Bún chả cáCà chua</v>
      </c>
      <c r="C276" s="24" t="s">
        <v>8</v>
      </c>
      <c r="D276" t="s">
        <v>20</v>
      </c>
      <c r="E276" t="s">
        <v>267</v>
      </c>
      <c r="F276" t="s">
        <v>14</v>
      </c>
      <c r="G276" s="17">
        <v>0.5</v>
      </c>
      <c r="H276" s="18">
        <v>20000</v>
      </c>
      <c r="I276" s="18">
        <v>100</v>
      </c>
      <c r="J276" s="17">
        <f t="shared" si="14"/>
        <v>5.0000000000000001E-3</v>
      </c>
      <c r="K276" s="18">
        <f t="shared" si="15"/>
        <v>100</v>
      </c>
    </row>
    <row r="277" spans="1:14" x14ac:dyDescent="0.35">
      <c r="A277" s="24" t="s">
        <v>233</v>
      </c>
      <c r="B277" s="24" t="str">
        <f t="shared" si="13"/>
        <v>Bún chả cáCua đồng</v>
      </c>
      <c r="C277" s="24" t="s">
        <v>8</v>
      </c>
      <c r="D277" t="s">
        <v>20</v>
      </c>
      <c r="E277" t="s">
        <v>267</v>
      </c>
      <c r="F277" t="s">
        <v>403</v>
      </c>
      <c r="G277" s="17">
        <v>0.5</v>
      </c>
      <c r="H277" s="18">
        <v>50000</v>
      </c>
      <c r="I277" s="18">
        <v>100</v>
      </c>
      <c r="J277" s="17">
        <f t="shared" si="14"/>
        <v>5.0000000000000001E-3</v>
      </c>
      <c r="K277" s="18">
        <f t="shared" si="15"/>
        <v>250</v>
      </c>
    </row>
    <row r="278" spans="1:14" x14ac:dyDescent="0.35">
      <c r="A278" s="24" t="s">
        <v>233</v>
      </c>
      <c r="B278" s="24" t="str">
        <f t="shared" si="13"/>
        <v>Bún chả cáSả</v>
      </c>
      <c r="C278" s="24" t="s">
        <v>8</v>
      </c>
      <c r="D278" t="s">
        <v>20</v>
      </c>
      <c r="E278" t="s">
        <v>267</v>
      </c>
      <c r="F278" t="s">
        <v>207</v>
      </c>
      <c r="G278" s="17">
        <v>0.3</v>
      </c>
      <c r="H278" s="18">
        <v>30000</v>
      </c>
      <c r="I278" s="18">
        <v>100</v>
      </c>
      <c r="J278" s="17">
        <f t="shared" si="14"/>
        <v>3.0000000000000001E-3</v>
      </c>
      <c r="K278" s="18">
        <f t="shared" si="15"/>
        <v>90</v>
      </c>
      <c r="N278" s="30"/>
    </row>
    <row r="279" spans="1:14" x14ac:dyDescent="0.35">
      <c r="A279" s="24" t="s">
        <v>233</v>
      </c>
      <c r="B279" s="24" t="str">
        <f t="shared" si="13"/>
        <v>Bún chả cáMắm ruốc</v>
      </c>
      <c r="C279" s="24" t="s">
        <v>8</v>
      </c>
      <c r="D279" t="s">
        <v>20</v>
      </c>
      <c r="E279" t="s">
        <v>267</v>
      </c>
      <c r="F279" t="s">
        <v>282</v>
      </c>
      <c r="G279" s="17">
        <v>0.5</v>
      </c>
      <c r="H279" s="18">
        <v>30000</v>
      </c>
      <c r="I279" s="18">
        <v>100</v>
      </c>
      <c r="J279" s="17">
        <f t="shared" si="14"/>
        <v>5.0000000000000001E-3</v>
      </c>
      <c r="K279" s="18">
        <f t="shared" si="15"/>
        <v>150</v>
      </c>
    </row>
    <row r="280" spans="1:14" x14ac:dyDescent="0.35">
      <c r="A280" s="24" t="s">
        <v>233</v>
      </c>
      <c r="B280" s="24" t="str">
        <f t="shared" si="13"/>
        <v>Bún chả cáTương rim</v>
      </c>
      <c r="C280" s="24" t="s">
        <v>8</v>
      </c>
      <c r="D280" t="s">
        <v>20</v>
      </c>
      <c r="E280" t="s">
        <v>267</v>
      </c>
      <c r="F280" t="s">
        <v>358</v>
      </c>
      <c r="G280" s="17">
        <v>1.5</v>
      </c>
      <c r="H280" s="18">
        <v>15000</v>
      </c>
      <c r="I280" s="18">
        <v>100</v>
      </c>
      <c r="J280" s="17">
        <f t="shared" si="14"/>
        <v>1.4999999999999999E-2</v>
      </c>
      <c r="K280" s="18">
        <f t="shared" si="15"/>
        <v>225</v>
      </c>
    </row>
    <row r="281" spans="1:14" x14ac:dyDescent="0.35">
      <c r="A281" s="24" t="s">
        <v>233</v>
      </c>
      <c r="B281" s="24" t="str">
        <f t="shared" si="13"/>
        <v>Bún chả cáBún tươi</v>
      </c>
      <c r="C281" s="24" t="s">
        <v>8</v>
      </c>
      <c r="D281" t="s">
        <v>20</v>
      </c>
      <c r="E281" t="s">
        <v>267</v>
      </c>
      <c r="F281" t="s">
        <v>387</v>
      </c>
      <c r="G281" s="17">
        <v>33</v>
      </c>
      <c r="H281" s="18">
        <v>9500</v>
      </c>
      <c r="I281" s="18">
        <v>100</v>
      </c>
      <c r="J281" s="17">
        <f t="shared" si="14"/>
        <v>0.33</v>
      </c>
      <c r="K281" s="18">
        <f t="shared" si="15"/>
        <v>3135</v>
      </c>
    </row>
    <row r="282" spans="1:14" x14ac:dyDescent="0.35">
      <c r="A282" s="24" t="s">
        <v>232</v>
      </c>
      <c r="B282" s="24" t="str">
        <f t="shared" ref="B282:B353" si="16">E282&amp;F282</f>
        <v>Cá phèn mắm tỏiCá phèn</v>
      </c>
      <c r="C282" s="24" t="s">
        <v>8</v>
      </c>
      <c r="D282" t="s">
        <v>18</v>
      </c>
      <c r="E282" t="s">
        <v>271</v>
      </c>
      <c r="F282" t="s">
        <v>84</v>
      </c>
      <c r="G282" s="17">
        <v>0.12</v>
      </c>
      <c r="H282" s="18">
        <v>37000</v>
      </c>
      <c r="I282" s="18">
        <v>1</v>
      </c>
      <c r="J282" s="17">
        <f t="shared" ref="J282:J323" si="17">G282/I282</f>
        <v>0.12</v>
      </c>
      <c r="K282" s="18">
        <f t="shared" ref="K282:K323" si="18">(G282*H282)/I282</f>
        <v>4440</v>
      </c>
    </row>
    <row r="283" spans="1:14" x14ac:dyDescent="0.35">
      <c r="A283" s="24" t="s">
        <v>232</v>
      </c>
      <c r="B283" s="24" t="str">
        <f t="shared" si="16"/>
        <v>Gà kho măngMá đùi gà</v>
      </c>
      <c r="C283" s="24" t="s">
        <v>8</v>
      </c>
      <c r="D283" t="s">
        <v>18</v>
      </c>
      <c r="E283" t="s">
        <v>272</v>
      </c>
      <c r="F283" t="s">
        <v>456</v>
      </c>
      <c r="G283" s="17">
        <v>11</v>
      </c>
      <c r="H283" s="18">
        <v>40000</v>
      </c>
      <c r="I283" s="18">
        <v>100</v>
      </c>
      <c r="J283" s="17">
        <f t="shared" si="17"/>
        <v>0.11</v>
      </c>
      <c r="K283" s="18">
        <f t="shared" si="18"/>
        <v>4400</v>
      </c>
    </row>
    <row r="284" spans="1:14" x14ac:dyDescent="0.35">
      <c r="A284" s="24" t="s">
        <v>233</v>
      </c>
      <c r="B284" s="24" t="str">
        <f t="shared" si="16"/>
        <v>Gà kho măngSả</v>
      </c>
      <c r="C284" s="24" t="s">
        <v>8</v>
      </c>
      <c r="D284" t="s">
        <v>18</v>
      </c>
      <c r="E284" t="s">
        <v>272</v>
      </c>
      <c r="F284" t="s">
        <v>207</v>
      </c>
      <c r="G284" s="17">
        <v>3</v>
      </c>
      <c r="H284" s="18">
        <v>8000</v>
      </c>
      <c r="I284" s="18">
        <v>100</v>
      </c>
      <c r="J284" s="17">
        <f t="shared" si="17"/>
        <v>0.03</v>
      </c>
      <c r="K284" s="18">
        <f t="shared" si="18"/>
        <v>240</v>
      </c>
    </row>
    <row r="285" spans="1:14" x14ac:dyDescent="0.35">
      <c r="A285" s="24" t="s">
        <v>233</v>
      </c>
      <c r="B285" s="24" t="str">
        <f t="shared" si="16"/>
        <v>Gà kho măngMăng vàng</v>
      </c>
      <c r="C285" s="24" t="s">
        <v>8</v>
      </c>
      <c r="D285" t="s">
        <v>18</v>
      </c>
      <c r="E285" t="s">
        <v>272</v>
      </c>
      <c r="F285" t="s">
        <v>136</v>
      </c>
      <c r="G285" s="17">
        <v>3</v>
      </c>
      <c r="H285" s="18">
        <v>25000</v>
      </c>
      <c r="I285" s="18">
        <v>100</v>
      </c>
      <c r="J285" s="17">
        <f t="shared" si="17"/>
        <v>0.03</v>
      </c>
      <c r="K285" s="18">
        <f t="shared" si="18"/>
        <v>750</v>
      </c>
    </row>
    <row r="286" spans="1:14" x14ac:dyDescent="0.35">
      <c r="A286" s="24" t="s">
        <v>232</v>
      </c>
      <c r="B286" s="24" t="str">
        <f t="shared" si="16"/>
        <v>Chả rim trứng cútChả cá tấm</v>
      </c>
      <c r="C286" s="24" t="s">
        <v>8</v>
      </c>
      <c r="D286" t="s">
        <v>19</v>
      </c>
      <c r="E286" t="s">
        <v>273</v>
      </c>
      <c r="F286" t="s">
        <v>339</v>
      </c>
      <c r="G286" s="17">
        <v>0.02</v>
      </c>
      <c r="H286" s="18">
        <v>90000</v>
      </c>
      <c r="I286" s="18">
        <v>1</v>
      </c>
      <c r="J286" s="17">
        <f t="shared" si="17"/>
        <v>0.02</v>
      </c>
      <c r="K286" s="18">
        <f t="shared" si="18"/>
        <v>1800</v>
      </c>
    </row>
    <row r="287" spans="1:14" x14ac:dyDescent="0.35">
      <c r="A287" s="24" t="s">
        <v>232</v>
      </c>
      <c r="B287" s="24" t="str">
        <f t="shared" si="16"/>
        <v>Chả rim trứng cútTrứng cút</v>
      </c>
      <c r="C287" s="24" t="s">
        <v>8</v>
      </c>
      <c r="D287" t="s">
        <v>19</v>
      </c>
      <c r="E287" t="s">
        <v>273</v>
      </c>
      <c r="F287" t="s">
        <v>169</v>
      </c>
      <c r="G287" s="17">
        <v>3</v>
      </c>
      <c r="H287" s="18">
        <v>600</v>
      </c>
      <c r="I287" s="18">
        <v>1</v>
      </c>
      <c r="J287" s="17">
        <f t="shared" si="17"/>
        <v>3</v>
      </c>
      <c r="K287" s="18">
        <f t="shared" si="18"/>
        <v>1800</v>
      </c>
    </row>
    <row r="288" spans="1:14" x14ac:dyDescent="0.35">
      <c r="A288" s="24" t="s">
        <v>232</v>
      </c>
      <c r="B288" s="24" t="str">
        <f t="shared" si="16"/>
        <v>Gà kho sảMá đùi gà</v>
      </c>
      <c r="C288" s="24" t="s">
        <v>8</v>
      </c>
      <c r="D288" t="s">
        <v>18</v>
      </c>
      <c r="E288" t="s">
        <v>274</v>
      </c>
      <c r="F288" t="s">
        <v>456</v>
      </c>
      <c r="G288" s="17">
        <v>12</v>
      </c>
      <c r="H288" s="18">
        <v>40000</v>
      </c>
      <c r="I288" s="18">
        <v>100</v>
      </c>
      <c r="J288" s="17">
        <f t="shared" si="17"/>
        <v>0.12</v>
      </c>
      <c r="K288" s="18">
        <f t="shared" si="18"/>
        <v>4800</v>
      </c>
    </row>
    <row r="289" spans="1:14" x14ac:dyDescent="0.35">
      <c r="A289" s="24" t="s">
        <v>233</v>
      </c>
      <c r="B289" s="24" t="str">
        <f t="shared" si="16"/>
        <v>Gà kho sảSả</v>
      </c>
      <c r="C289" s="24" t="s">
        <v>8</v>
      </c>
      <c r="D289" t="s">
        <v>18</v>
      </c>
      <c r="E289" t="s">
        <v>274</v>
      </c>
      <c r="F289" t="s">
        <v>207</v>
      </c>
      <c r="G289" s="17">
        <v>1</v>
      </c>
      <c r="H289" s="18">
        <v>8000</v>
      </c>
      <c r="I289" s="18">
        <v>100</v>
      </c>
      <c r="J289" s="17">
        <f t="shared" si="17"/>
        <v>0.01</v>
      </c>
      <c r="K289" s="18">
        <f t="shared" si="18"/>
        <v>80</v>
      </c>
    </row>
    <row r="290" spans="1:14" x14ac:dyDescent="0.35">
      <c r="A290" s="24" t="s">
        <v>232</v>
      </c>
      <c r="B290" s="24" t="str">
        <f t="shared" si="16"/>
        <v>Thịt heo kho trứngThịt nạc vai</v>
      </c>
      <c r="C290" s="24" t="s">
        <v>8</v>
      </c>
      <c r="D290" t="s">
        <v>18</v>
      </c>
      <c r="E290" t="s">
        <v>275</v>
      </c>
      <c r="F290" t="s">
        <v>85</v>
      </c>
      <c r="G290" s="17">
        <v>10</v>
      </c>
      <c r="H290" s="18">
        <v>100000</v>
      </c>
      <c r="I290" s="18">
        <v>420</v>
      </c>
      <c r="J290" s="17">
        <f t="shared" si="17"/>
        <v>2.3809523809523808E-2</v>
      </c>
      <c r="K290" s="18">
        <f t="shared" si="18"/>
        <v>2380.9523809523807</v>
      </c>
    </row>
    <row r="291" spans="1:14" x14ac:dyDescent="0.35">
      <c r="A291" s="24" t="s">
        <v>232</v>
      </c>
      <c r="B291" s="24" t="str">
        <f t="shared" si="16"/>
        <v>Thịt heo kho trứngThịt nọng</v>
      </c>
      <c r="C291" s="24" t="s">
        <v>8</v>
      </c>
      <c r="D291" t="s">
        <v>18</v>
      </c>
      <c r="E291" t="s">
        <v>275</v>
      </c>
      <c r="F291" t="s">
        <v>59</v>
      </c>
      <c r="G291" s="17">
        <v>6.8</v>
      </c>
      <c r="H291" s="18">
        <v>70000</v>
      </c>
      <c r="I291" s="18">
        <v>420</v>
      </c>
      <c r="J291" s="17">
        <f t="shared" si="17"/>
        <v>1.6190476190476189E-2</v>
      </c>
      <c r="K291" s="18">
        <f t="shared" si="18"/>
        <v>1133.3333333333333</v>
      </c>
    </row>
    <row r="292" spans="1:14" x14ac:dyDescent="0.35">
      <c r="A292" s="24" t="s">
        <v>232</v>
      </c>
      <c r="B292" s="24" t="str">
        <f t="shared" si="16"/>
        <v>Thịt heo kho trứngTrứng cút</v>
      </c>
      <c r="C292" s="24" t="s">
        <v>8</v>
      </c>
      <c r="D292" t="s">
        <v>18</v>
      </c>
      <c r="E292" t="s">
        <v>275</v>
      </c>
      <c r="F292" t="s">
        <v>169</v>
      </c>
      <c r="G292" s="17">
        <v>2</v>
      </c>
      <c r="H292" s="18">
        <v>600</v>
      </c>
      <c r="I292" s="18">
        <v>2</v>
      </c>
      <c r="J292" s="17">
        <f t="shared" si="17"/>
        <v>1</v>
      </c>
      <c r="K292" s="18">
        <f t="shared" si="18"/>
        <v>600</v>
      </c>
    </row>
    <row r="293" spans="1:14" x14ac:dyDescent="0.35">
      <c r="A293" s="24" t="s">
        <v>232</v>
      </c>
      <c r="B293" s="24" t="str">
        <f t="shared" si="16"/>
        <v>Thịt kho đậu khuônThịt nạc vai</v>
      </c>
      <c r="C293" s="24" t="s">
        <v>8</v>
      </c>
      <c r="D293" t="s">
        <v>18</v>
      </c>
      <c r="E293" t="s">
        <v>276</v>
      </c>
      <c r="F293" t="s">
        <v>85</v>
      </c>
      <c r="G293" s="17">
        <v>2</v>
      </c>
      <c r="H293" s="18">
        <v>85000</v>
      </c>
      <c r="I293" s="18">
        <v>100</v>
      </c>
      <c r="J293" s="17">
        <f t="shared" si="17"/>
        <v>0.02</v>
      </c>
      <c r="K293" s="18">
        <f t="shared" si="18"/>
        <v>1700</v>
      </c>
    </row>
    <row r="294" spans="1:14" x14ac:dyDescent="0.35">
      <c r="A294" s="24" t="s">
        <v>232</v>
      </c>
      <c r="B294" s="24" t="str">
        <f t="shared" si="16"/>
        <v>Thịt kho đậu khuônThịt nọng</v>
      </c>
      <c r="C294" s="24" t="s">
        <v>8</v>
      </c>
      <c r="D294" t="s">
        <v>18</v>
      </c>
      <c r="E294" t="s">
        <v>276</v>
      </c>
      <c r="F294" t="s">
        <v>59</v>
      </c>
      <c r="G294" s="17">
        <v>1.5</v>
      </c>
      <c r="H294" s="18">
        <v>65000</v>
      </c>
      <c r="I294" s="18">
        <v>100</v>
      </c>
      <c r="J294" s="17">
        <f t="shared" si="17"/>
        <v>1.4999999999999999E-2</v>
      </c>
      <c r="K294" s="18">
        <f t="shared" si="18"/>
        <v>975</v>
      </c>
    </row>
    <row r="295" spans="1:14" x14ac:dyDescent="0.35">
      <c r="A295" s="24" t="s">
        <v>232</v>
      </c>
      <c r="B295" s="24" t="str">
        <f t="shared" si="16"/>
        <v>Thịt kho đậu khuônĐậu khuôn</v>
      </c>
      <c r="C295" s="24" t="s">
        <v>8</v>
      </c>
      <c r="D295" t="s">
        <v>18</v>
      </c>
      <c r="E295" t="s">
        <v>276</v>
      </c>
      <c r="F295" t="s">
        <v>114</v>
      </c>
      <c r="G295" s="17">
        <v>2</v>
      </c>
      <c r="H295" s="18">
        <v>1600</v>
      </c>
      <c r="I295" s="18">
        <v>3</v>
      </c>
      <c r="J295" s="17">
        <f t="shared" si="17"/>
        <v>0.66666666666666663</v>
      </c>
      <c r="K295" s="18">
        <f t="shared" si="18"/>
        <v>1066.6666666666667</v>
      </c>
    </row>
    <row r="296" spans="1:14" x14ac:dyDescent="0.35">
      <c r="A296" s="24" t="s">
        <v>232</v>
      </c>
      <c r="B296" s="24" t="str">
        <f t="shared" si="16"/>
        <v>Cá chim mắm tỏiCá chim</v>
      </c>
      <c r="C296" s="24" t="s">
        <v>8</v>
      </c>
      <c r="D296" t="s">
        <v>18</v>
      </c>
      <c r="E296" t="s">
        <v>277</v>
      </c>
      <c r="F296" t="s">
        <v>57</v>
      </c>
      <c r="G296" s="17">
        <v>0.15</v>
      </c>
      <c r="H296" s="18">
        <v>37000</v>
      </c>
      <c r="I296" s="18">
        <v>1</v>
      </c>
      <c r="J296" s="17">
        <f t="shared" si="17"/>
        <v>0.15</v>
      </c>
      <c r="K296" s="18">
        <f t="shared" si="18"/>
        <v>5550</v>
      </c>
    </row>
    <row r="297" spans="1:14" x14ac:dyDescent="0.35">
      <c r="A297" s="24" t="s">
        <v>232</v>
      </c>
      <c r="B297" s="24" t="str">
        <f t="shared" si="16"/>
        <v>Chả viên sốt càChả quết</v>
      </c>
      <c r="C297" s="24" t="s">
        <v>8</v>
      </c>
      <c r="D297" t="s">
        <v>19</v>
      </c>
      <c r="E297" t="s">
        <v>279</v>
      </c>
      <c r="F297" t="s">
        <v>166</v>
      </c>
      <c r="G297" s="17">
        <v>1.5</v>
      </c>
      <c r="H297" s="18">
        <v>120000</v>
      </c>
      <c r="I297" s="18">
        <v>100</v>
      </c>
      <c r="J297" s="17">
        <f t="shared" si="17"/>
        <v>1.4999999999999999E-2</v>
      </c>
      <c r="K297" s="18">
        <f t="shared" si="18"/>
        <v>1800</v>
      </c>
    </row>
    <row r="298" spans="1:14" x14ac:dyDescent="0.35">
      <c r="A298" s="24" t="s">
        <v>232</v>
      </c>
      <c r="B298" s="24" t="str">
        <f t="shared" si="16"/>
        <v>Chả viên sốt càThịt xay</v>
      </c>
      <c r="C298" s="24" t="s">
        <v>8</v>
      </c>
      <c r="D298" t="s">
        <v>19</v>
      </c>
      <c r="E298" t="s">
        <v>279</v>
      </c>
      <c r="F298" t="s">
        <v>31</v>
      </c>
      <c r="G298" s="17">
        <v>2</v>
      </c>
      <c r="H298" s="18">
        <v>80000</v>
      </c>
      <c r="I298" s="18">
        <v>100</v>
      </c>
      <c r="J298" s="17">
        <f t="shared" si="17"/>
        <v>0.02</v>
      </c>
      <c r="K298" s="18">
        <f t="shared" si="18"/>
        <v>1600</v>
      </c>
    </row>
    <row r="299" spans="1:14" x14ac:dyDescent="0.35">
      <c r="A299" s="24" t="s">
        <v>233</v>
      </c>
      <c r="B299" s="24" t="str">
        <f t="shared" si="16"/>
        <v>Chả viên sốt càCà chua</v>
      </c>
      <c r="C299" s="24" t="s">
        <v>8</v>
      </c>
      <c r="D299" t="s">
        <v>19</v>
      </c>
      <c r="E299" t="s">
        <v>279</v>
      </c>
      <c r="F299" t="s">
        <v>14</v>
      </c>
      <c r="G299" s="17">
        <v>1</v>
      </c>
      <c r="H299" s="18">
        <v>20000</v>
      </c>
      <c r="I299" s="18">
        <v>100</v>
      </c>
      <c r="J299" s="17">
        <f t="shared" si="17"/>
        <v>0.01</v>
      </c>
      <c r="K299" s="18">
        <f t="shared" si="18"/>
        <v>200</v>
      </c>
    </row>
    <row r="300" spans="1:14" x14ac:dyDescent="0.35">
      <c r="A300" s="24" t="s">
        <v>233</v>
      </c>
      <c r="B300" s="24" t="str">
        <f t="shared" si="16"/>
        <v>Rau lang xàoRau lang xào</v>
      </c>
      <c r="C300" s="24" t="s">
        <v>8</v>
      </c>
      <c r="D300" t="s">
        <v>47</v>
      </c>
      <c r="E300" t="s">
        <v>280</v>
      </c>
      <c r="F300" t="s">
        <v>280</v>
      </c>
      <c r="G300" s="17">
        <v>8.5</v>
      </c>
      <c r="H300" s="18">
        <v>18000</v>
      </c>
      <c r="I300" s="18">
        <v>100</v>
      </c>
      <c r="J300" s="17">
        <f t="shared" si="17"/>
        <v>8.5000000000000006E-2</v>
      </c>
      <c r="K300" s="18">
        <f t="shared" si="18"/>
        <v>1530</v>
      </c>
      <c r="N300" s="30"/>
    </row>
    <row r="301" spans="1:14" x14ac:dyDescent="0.35">
      <c r="A301" s="24" t="s">
        <v>232</v>
      </c>
      <c r="B301" s="24" t="str">
        <f t="shared" si="16"/>
        <v>Bồ ngốt thịt bằmBồ ngót</v>
      </c>
      <c r="C301" s="24" t="s">
        <v>8</v>
      </c>
      <c r="D301" t="s">
        <v>12</v>
      </c>
      <c r="E301" t="s">
        <v>284</v>
      </c>
      <c r="F301" t="s">
        <v>98</v>
      </c>
      <c r="G301" s="17">
        <v>3</v>
      </c>
      <c r="H301" s="18">
        <v>12000</v>
      </c>
      <c r="I301" s="18">
        <v>125</v>
      </c>
      <c r="J301" s="17">
        <f t="shared" si="17"/>
        <v>2.4E-2</v>
      </c>
      <c r="K301" s="18">
        <f t="shared" si="18"/>
        <v>288</v>
      </c>
      <c r="N301" s="30"/>
    </row>
    <row r="302" spans="1:14" x14ac:dyDescent="0.35">
      <c r="A302" s="24" t="s">
        <v>233</v>
      </c>
      <c r="B302" s="24" t="str">
        <f t="shared" si="16"/>
        <v>Bồ ngốt thịt bằmThịt bằm</v>
      </c>
      <c r="C302" s="24" t="s">
        <v>8</v>
      </c>
      <c r="D302" t="s">
        <v>12</v>
      </c>
      <c r="E302" t="s">
        <v>284</v>
      </c>
      <c r="F302" t="s">
        <v>50</v>
      </c>
      <c r="G302" s="17">
        <v>0.4</v>
      </c>
      <c r="H302" s="18">
        <v>80000</v>
      </c>
      <c r="I302" s="18">
        <v>125</v>
      </c>
      <c r="J302" s="17">
        <f t="shared" si="17"/>
        <v>3.2000000000000002E-3</v>
      </c>
      <c r="K302" s="18">
        <f t="shared" si="18"/>
        <v>256</v>
      </c>
    </row>
    <row r="303" spans="1:14" x14ac:dyDescent="0.35">
      <c r="A303" s="24" t="s">
        <v>232</v>
      </c>
      <c r="B303" s="24" t="str">
        <f t="shared" si="16"/>
        <v>Cơm gà xé trộnGà tươi</v>
      </c>
      <c r="C303" s="24" t="s">
        <v>8</v>
      </c>
      <c r="D303" t="s">
        <v>18</v>
      </c>
      <c r="E303" t="s">
        <v>288</v>
      </c>
      <c r="F303" t="s">
        <v>289</v>
      </c>
      <c r="G303" s="17">
        <v>9.5</v>
      </c>
      <c r="H303" s="18">
        <v>75000</v>
      </c>
      <c r="I303" s="18">
        <v>95</v>
      </c>
      <c r="J303" s="17">
        <f t="shared" si="17"/>
        <v>0.1</v>
      </c>
      <c r="K303" s="18">
        <f t="shared" si="18"/>
        <v>7500</v>
      </c>
    </row>
    <row r="304" spans="1:14" x14ac:dyDescent="0.35">
      <c r="A304" s="24" t="s">
        <v>233</v>
      </c>
      <c r="B304" s="24" t="str">
        <f t="shared" si="16"/>
        <v>Cơm gà xé trộnHành tây</v>
      </c>
      <c r="C304" s="24" t="s">
        <v>8</v>
      </c>
      <c r="D304" t="s">
        <v>18</v>
      </c>
      <c r="E304" t="s">
        <v>288</v>
      </c>
      <c r="F304" t="s">
        <v>35</v>
      </c>
      <c r="G304" s="17">
        <v>3.5</v>
      </c>
      <c r="H304" s="18">
        <v>11000</v>
      </c>
      <c r="I304" s="18">
        <v>85</v>
      </c>
      <c r="J304" s="17">
        <f t="shared" si="17"/>
        <v>4.1176470588235294E-2</v>
      </c>
      <c r="K304" s="18">
        <f t="shared" si="18"/>
        <v>452.94117647058823</v>
      </c>
    </row>
    <row r="305" spans="1:14" x14ac:dyDescent="0.35">
      <c r="A305" s="24" t="s">
        <v>233</v>
      </c>
      <c r="B305" s="24" t="str">
        <f t="shared" si="16"/>
        <v>Cơm gà xé trộnRau răm</v>
      </c>
      <c r="C305" s="24" t="s">
        <v>8</v>
      </c>
      <c r="D305" t="s">
        <v>18</v>
      </c>
      <c r="E305" t="s">
        <v>288</v>
      </c>
      <c r="F305" t="s">
        <v>69</v>
      </c>
      <c r="G305" s="17">
        <v>1</v>
      </c>
      <c r="H305" s="18">
        <v>20000</v>
      </c>
      <c r="I305" s="18">
        <v>85</v>
      </c>
      <c r="J305" s="17">
        <f t="shared" si="17"/>
        <v>1.1764705882352941E-2</v>
      </c>
      <c r="K305" s="18">
        <f t="shared" si="18"/>
        <v>235.29411764705881</v>
      </c>
    </row>
    <row r="306" spans="1:14" x14ac:dyDescent="0.35">
      <c r="A306" s="24" t="s">
        <v>233</v>
      </c>
      <c r="B306" s="24" t="str">
        <f t="shared" si="16"/>
        <v>Cơm gà xé trộnCà rốt</v>
      </c>
      <c r="C306" s="24" t="s">
        <v>8</v>
      </c>
      <c r="D306" t="s">
        <v>18</v>
      </c>
      <c r="E306" t="s">
        <v>288</v>
      </c>
      <c r="F306" t="s">
        <v>78</v>
      </c>
      <c r="G306" s="17">
        <v>4</v>
      </c>
      <c r="H306" s="18">
        <v>15000</v>
      </c>
      <c r="I306" s="18">
        <v>85</v>
      </c>
      <c r="J306" s="17">
        <f t="shared" si="17"/>
        <v>4.7058823529411764E-2</v>
      </c>
      <c r="K306" s="18">
        <f t="shared" si="18"/>
        <v>705.88235294117646</v>
      </c>
    </row>
    <row r="307" spans="1:14" x14ac:dyDescent="0.35">
      <c r="A307" s="24" t="s">
        <v>233</v>
      </c>
      <c r="B307" s="24" t="str">
        <f t="shared" si="16"/>
        <v>Cơm gà xé trộnKhoai tây</v>
      </c>
      <c r="C307" s="24" t="s">
        <v>8</v>
      </c>
      <c r="D307" t="s">
        <v>18</v>
      </c>
      <c r="E307" t="s">
        <v>288</v>
      </c>
      <c r="F307" t="s">
        <v>77</v>
      </c>
      <c r="G307" s="17">
        <v>3</v>
      </c>
      <c r="H307" s="18">
        <v>17000</v>
      </c>
      <c r="I307" s="18">
        <v>85</v>
      </c>
      <c r="J307" s="17">
        <f t="shared" si="17"/>
        <v>3.5294117647058823E-2</v>
      </c>
      <c r="K307" s="18">
        <f t="shared" si="18"/>
        <v>600</v>
      </c>
    </row>
    <row r="308" spans="1:14" x14ac:dyDescent="0.35">
      <c r="A308" t="s">
        <v>232</v>
      </c>
      <c r="B308" s="24" t="str">
        <f t="shared" si="16"/>
        <v>Cơm gà xé trộnLòng gà</v>
      </c>
      <c r="C308" s="24" t="s">
        <v>8</v>
      </c>
      <c r="D308" t="s">
        <v>18</v>
      </c>
      <c r="E308" t="s">
        <v>288</v>
      </c>
      <c r="F308" t="s">
        <v>290</v>
      </c>
      <c r="G308" s="17">
        <v>5</v>
      </c>
      <c r="H308" s="18">
        <v>8000</v>
      </c>
      <c r="I308" s="18">
        <v>95</v>
      </c>
      <c r="J308" s="17">
        <f t="shared" si="17"/>
        <v>5.2631578947368418E-2</v>
      </c>
      <c r="K308" s="18">
        <f t="shared" si="18"/>
        <v>421.05263157894734</v>
      </c>
    </row>
    <row r="309" spans="1:14" x14ac:dyDescent="0.35">
      <c r="A309" t="s">
        <v>232</v>
      </c>
      <c r="B309" s="24" t="str">
        <f t="shared" si="16"/>
        <v>Tôm rimTôm</v>
      </c>
      <c r="C309" s="24" t="s">
        <v>8</v>
      </c>
      <c r="D309" t="s">
        <v>18</v>
      </c>
      <c r="E309" t="s">
        <v>291</v>
      </c>
      <c r="F309" t="s">
        <v>37</v>
      </c>
      <c r="G309" s="17">
        <v>1</v>
      </c>
      <c r="H309" s="18">
        <v>100000</v>
      </c>
      <c r="I309" s="18">
        <v>24</v>
      </c>
      <c r="J309" s="17">
        <f t="shared" si="17"/>
        <v>4.1666666666666664E-2</v>
      </c>
      <c r="K309" s="18">
        <f t="shared" si="18"/>
        <v>4166.666666666667</v>
      </c>
    </row>
    <row r="310" spans="1:14" x14ac:dyDescent="0.35">
      <c r="A310" t="s">
        <v>232</v>
      </c>
      <c r="B310" s="24" t="str">
        <f t="shared" si="16"/>
        <v>Cá cơm khoCá cơm</v>
      </c>
      <c r="C310" s="24" t="s">
        <v>8</v>
      </c>
      <c r="D310" t="s">
        <v>18</v>
      </c>
      <c r="E310" t="s">
        <v>293</v>
      </c>
      <c r="F310" t="s">
        <v>292</v>
      </c>
      <c r="G310" s="17">
        <v>9</v>
      </c>
      <c r="H310" s="18">
        <v>40000</v>
      </c>
      <c r="I310" s="18">
        <v>100</v>
      </c>
      <c r="J310" s="17">
        <f t="shared" si="17"/>
        <v>0.09</v>
      </c>
      <c r="K310" s="18">
        <f t="shared" si="18"/>
        <v>3600</v>
      </c>
    </row>
    <row r="311" spans="1:14" x14ac:dyDescent="0.35">
      <c r="A311" t="s">
        <v>233</v>
      </c>
      <c r="B311" s="24" t="str">
        <f t="shared" si="16"/>
        <v>Heo xào cải chuaCải chua</v>
      </c>
      <c r="C311" s="24" t="s">
        <v>8</v>
      </c>
      <c r="D311" t="s">
        <v>491</v>
      </c>
      <c r="E311" t="s">
        <v>294</v>
      </c>
      <c r="F311" t="s">
        <v>295</v>
      </c>
      <c r="G311" s="17">
        <v>5</v>
      </c>
      <c r="H311" s="18">
        <v>24000</v>
      </c>
      <c r="I311" s="18">
        <v>100</v>
      </c>
      <c r="J311" s="17">
        <f t="shared" si="17"/>
        <v>0.05</v>
      </c>
      <c r="K311" s="18">
        <f t="shared" si="18"/>
        <v>1200</v>
      </c>
    </row>
    <row r="312" spans="1:14" x14ac:dyDescent="0.35">
      <c r="A312" t="s">
        <v>232</v>
      </c>
      <c r="B312" s="24" t="str">
        <f t="shared" si="16"/>
        <v>Heo xào cải chuaba chi lóc sườn</v>
      </c>
      <c r="C312" s="24" t="s">
        <v>8</v>
      </c>
      <c r="D312" t="s">
        <v>491</v>
      </c>
      <c r="E312" t="s">
        <v>294</v>
      </c>
      <c r="F312" t="s">
        <v>493</v>
      </c>
      <c r="G312" s="17">
        <v>2</v>
      </c>
      <c r="H312" s="18">
        <v>65000</v>
      </c>
      <c r="I312" s="18">
        <v>100</v>
      </c>
      <c r="J312" s="17">
        <f t="shared" si="17"/>
        <v>0.02</v>
      </c>
      <c r="K312" s="18">
        <f t="shared" si="18"/>
        <v>1300</v>
      </c>
    </row>
    <row r="313" spans="1:14" x14ac:dyDescent="0.35">
      <c r="A313" t="s">
        <v>232</v>
      </c>
      <c r="B313" s="24" t="str">
        <f t="shared" si="16"/>
        <v>Heo xào cải chuaNạc vai</v>
      </c>
      <c r="C313" s="24" t="s">
        <v>8</v>
      </c>
      <c r="D313" t="s">
        <v>491</v>
      </c>
      <c r="E313" t="s">
        <v>294</v>
      </c>
      <c r="F313" t="s">
        <v>60</v>
      </c>
      <c r="G313" s="17">
        <v>1.5</v>
      </c>
      <c r="H313" s="18">
        <v>100000</v>
      </c>
      <c r="I313" s="18">
        <v>100</v>
      </c>
      <c r="J313" s="17">
        <f t="shared" si="17"/>
        <v>1.4999999999999999E-2</v>
      </c>
      <c r="K313" s="18">
        <f t="shared" si="18"/>
        <v>1500</v>
      </c>
    </row>
    <row r="314" spans="1:14" x14ac:dyDescent="0.35">
      <c r="A314" t="s">
        <v>232</v>
      </c>
      <c r="B314" s="24" t="str">
        <f t="shared" si="16"/>
        <v>Mỳ Quảng GàPhồng tôm</v>
      </c>
      <c r="C314" s="24" t="s">
        <v>8</v>
      </c>
      <c r="D314" t="s">
        <v>20</v>
      </c>
      <c r="E314" t="s">
        <v>297</v>
      </c>
      <c r="F314" t="s">
        <v>428</v>
      </c>
      <c r="G314" s="17">
        <v>3</v>
      </c>
      <c r="H314" s="18">
        <v>12000</v>
      </c>
      <c r="I314" s="18">
        <v>100</v>
      </c>
      <c r="J314" s="17">
        <f t="shared" si="17"/>
        <v>0.03</v>
      </c>
      <c r="K314" s="18">
        <f t="shared" si="18"/>
        <v>360</v>
      </c>
      <c r="N314" s="30"/>
    </row>
    <row r="315" spans="1:14" x14ac:dyDescent="0.35">
      <c r="A315" s="24" t="s">
        <v>233</v>
      </c>
      <c r="B315" s="24" t="str">
        <f t="shared" si="16"/>
        <v>Mỳ Quảng GàChanh</v>
      </c>
      <c r="C315" s="24" t="s">
        <v>8</v>
      </c>
      <c r="D315" t="s">
        <v>20</v>
      </c>
      <c r="E315" t="s">
        <v>297</v>
      </c>
      <c r="F315" t="s">
        <v>25</v>
      </c>
      <c r="G315" s="17">
        <v>0.8</v>
      </c>
      <c r="H315" s="18">
        <v>26000</v>
      </c>
      <c r="I315" s="18">
        <v>100</v>
      </c>
      <c r="J315" s="17">
        <f t="shared" si="17"/>
        <v>8.0000000000000002E-3</v>
      </c>
      <c r="K315" s="18">
        <f t="shared" si="18"/>
        <v>208</v>
      </c>
      <c r="N315" s="30"/>
    </row>
    <row r="316" spans="1:14" x14ac:dyDescent="0.35">
      <c r="A316" s="24" t="s">
        <v>233</v>
      </c>
      <c r="B316" s="24" t="str">
        <f t="shared" si="16"/>
        <v>Mỳ Quảng GàGiá</v>
      </c>
      <c r="C316" s="24" t="s">
        <v>8</v>
      </c>
      <c r="D316" t="s">
        <v>20</v>
      </c>
      <c r="E316" t="s">
        <v>297</v>
      </c>
      <c r="F316" t="s">
        <v>26</v>
      </c>
      <c r="G316" s="17">
        <v>2.5</v>
      </c>
      <c r="H316" s="18">
        <v>10000</v>
      </c>
      <c r="I316" s="18">
        <v>100</v>
      </c>
      <c r="J316" s="17">
        <f t="shared" si="17"/>
        <v>2.5000000000000001E-2</v>
      </c>
      <c r="K316" s="18">
        <f t="shared" si="18"/>
        <v>250</v>
      </c>
      <c r="N316" s="30"/>
    </row>
    <row r="317" spans="1:14" x14ac:dyDescent="0.35">
      <c r="A317" s="24" t="s">
        <v>233</v>
      </c>
      <c r="B317" s="24" t="str">
        <f t="shared" si="16"/>
        <v>Mỳ Quảng GàHành lá</v>
      </c>
      <c r="C317" s="24" t="s">
        <v>8</v>
      </c>
      <c r="D317" t="s">
        <v>20</v>
      </c>
      <c r="E317" t="s">
        <v>297</v>
      </c>
      <c r="F317" t="s">
        <v>24</v>
      </c>
      <c r="G317" s="17">
        <v>0.4</v>
      </c>
      <c r="H317" s="18">
        <v>20000</v>
      </c>
      <c r="I317" s="18">
        <v>100</v>
      </c>
      <c r="J317" s="17">
        <f t="shared" si="17"/>
        <v>4.0000000000000001E-3</v>
      </c>
      <c r="K317" s="18">
        <f t="shared" si="18"/>
        <v>80</v>
      </c>
      <c r="N317" s="30"/>
    </row>
    <row r="318" spans="1:14" x14ac:dyDescent="0.35">
      <c r="A318" s="24" t="s">
        <v>233</v>
      </c>
      <c r="B318" s="24" t="str">
        <f t="shared" si="16"/>
        <v>Mỳ Quảng GàXà lách</v>
      </c>
      <c r="C318" s="24" t="s">
        <v>8</v>
      </c>
      <c r="D318" t="s">
        <v>20</v>
      </c>
      <c r="E318" t="s">
        <v>297</v>
      </c>
      <c r="F318" t="s">
        <v>197</v>
      </c>
      <c r="G318" s="17">
        <v>2</v>
      </c>
      <c r="H318" s="18">
        <v>22000</v>
      </c>
      <c r="I318" s="18">
        <v>100</v>
      </c>
      <c r="J318" s="17">
        <f t="shared" si="17"/>
        <v>0.02</v>
      </c>
      <c r="K318" s="18">
        <f t="shared" si="18"/>
        <v>440</v>
      </c>
      <c r="N318" s="30"/>
    </row>
    <row r="319" spans="1:14" x14ac:dyDescent="0.35">
      <c r="A319" s="24" t="s">
        <v>233</v>
      </c>
      <c r="B319" s="24" t="str">
        <f t="shared" si="16"/>
        <v>Mỳ Quảng GàĐậu phộng rang</v>
      </c>
      <c r="C319" s="24" t="s">
        <v>8</v>
      </c>
      <c r="D319" t="s">
        <v>20</v>
      </c>
      <c r="E319" t="s">
        <v>297</v>
      </c>
      <c r="F319" t="s">
        <v>303</v>
      </c>
      <c r="G319" s="17">
        <v>0.7</v>
      </c>
      <c r="H319" s="18">
        <v>50000</v>
      </c>
      <c r="I319" s="18">
        <v>100</v>
      </c>
      <c r="J319" s="17">
        <f t="shared" si="17"/>
        <v>6.9999999999999993E-3</v>
      </c>
      <c r="K319" s="18">
        <f t="shared" si="18"/>
        <v>350</v>
      </c>
      <c r="N319" s="30"/>
    </row>
    <row r="320" spans="1:14" x14ac:dyDescent="0.35">
      <c r="A320" s="24" t="s">
        <v>233</v>
      </c>
      <c r="B320" s="24" t="str">
        <f t="shared" si="16"/>
        <v>Mỳ Quảng GàNgò gai</v>
      </c>
      <c r="C320" s="24" t="s">
        <v>8</v>
      </c>
      <c r="D320" t="s">
        <v>20</v>
      </c>
      <c r="E320" t="s">
        <v>297</v>
      </c>
      <c r="F320" t="s">
        <v>101</v>
      </c>
      <c r="G320" s="17">
        <v>0.2</v>
      </c>
      <c r="H320" s="18">
        <v>35000</v>
      </c>
      <c r="I320" s="18">
        <v>100</v>
      </c>
      <c r="J320" s="17">
        <f t="shared" si="17"/>
        <v>2E-3</v>
      </c>
      <c r="K320" s="18">
        <f t="shared" si="18"/>
        <v>70</v>
      </c>
      <c r="N320" s="30"/>
    </row>
    <row r="321" spans="1:14" x14ac:dyDescent="0.35">
      <c r="A321" s="24" t="s">
        <v>233</v>
      </c>
      <c r="B321" s="24" t="str">
        <f t="shared" si="16"/>
        <v>Mỳ Quảng GàRau quế</v>
      </c>
      <c r="C321" s="24" t="s">
        <v>8</v>
      </c>
      <c r="D321" t="s">
        <v>20</v>
      </c>
      <c r="E321" t="s">
        <v>297</v>
      </c>
      <c r="F321" t="s">
        <v>23</v>
      </c>
      <c r="G321" s="17">
        <v>0.3</v>
      </c>
      <c r="H321" s="18">
        <v>30000</v>
      </c>
      <c r="I321" s="18">
        <v>100</v>
      </c>
      <c r="J321" s="17">
        <f t="shared" si="17"/>
        <v>3.0000000000000001E-3</v>
      </c>
      <c r="K321" s="18">
        <f t="shared" si="18"/>
        <v>90</v>
      </c>
      <c r="N321" s="30"/>
    </row>
    <row r="322" spans="1:14" x14ac:dyDescent="0.35">
      <c r="A322" s="24" t="s">
        <v>233</v>
      </c>
      <c r="B322" s="24" t="str">
        <f t="shared" si="16"/>
        <v>Mỳ Quảng GàSu trắng</v>
      </c>
      <c r="C322" s="24" t="s">
        <v>8</v>
      </c>
      <c r="D322" t="s">
        <v>20</v>
      </c>
      <c r="E322" t="s">
        <v>297</v>
      </c>
      <c r="F322" t="s">
        <v>39</v>
      </c>
      <c r="G322" s="17">
        <v>1</v>
      </c>
      <c r="H322" s="18">
        <v>10000</v>
      </c>
      <c r="I322" s="18">
        <v>100</v>
      </c>
      <c r="J322" s="17">
        <f t="shared" si="17"/>
        <v>0.01</v>
      </c>
      <c r="K322" s="18">
        <f t="shared" si="18"/>
        <v>100</v>
      </c>
      <c r="N322" s="30"/>
    </row>
    <row r="323" spans="1:14" x14ac:dyDescent="0.35">
      <c r="A323" s="24" t="s">
        <v>233</v>
      </c>
      <c r="B323" s="24" t="str">
        <f t="shared" si="16"/>
        <v>Mỳ Quảng GàChuối cây cắt sẵn</v>
      </c>
      <c r="C323" s="24" t="s">
        <v>8</v>
      </c>
      <c r="D323" t="s">
        <v>20</v>
      </c>
      <c r="E323" t="s">
        <v>297</v>
      </c>
      <c r="F323" t="s">
        <v>433</v>
      </c>
      <c r="G323" s="17">
        <v>1</v>
      </c>
      <c r="H323" s="18">
        <v>15000</v>
      </c>
      <c r="I323" s="18">
        <v>100</v>
      </c>
      <c r="J323" s="17">
        <f t="shared" si="17"/>
        <v>0.01</v>
      </c>
      <c r="K323" s="18">
        <f t="shared" si="18"/>
        <v>150</v>
      </c>
      <c r="N323" s="30"/>
    </row>
    <row r="324" spans="1:14" x14ac:dyDescent="0.35">
      <c r="A324" t="s">
        <v>232</v>
      </c>
      <c r="B324" s="24" t="str">
        <f t="shared" si="16"/>
        <v>Mỳ Quảng GàMá đùi gà</v>
      </c>
      <c r="C324" s="24" t="s">
        <v>8</v>
      </c>
      <c r="D324" t="s">
        <v>20</v>
      </c>
      <c r="E324" t="s">
        <v>297</v>
      </c>
      <c r="F324" t="s">
        <v>456</v>
      </c>
      <c r="G324" s="17">
        <v>14</v>
      </c>
      <c r="H324" s="18">
        <v>40000</v>
      </c>
      <c r="I324" s="18">
        <v>100</v>
      </c>
      <c r="J324" s="17">
        <f t="shared" ref="J324:J374" si="19">G324/I324</f>
        <v>0.14000000000000001</v>
      </c>
      <c r="K324" s="18">
        <f t="shared" ref="K324:K382" si="20">(G324*H324)/I324</f>
        <v>5600</v>
      </c>
    </row>
    <row r="325" spans="1:14" x14ac:dyDescent="0.35">
      <c r="A325" t="s">
        <v>298</v>
      </c>
      <c r="B325" s="24" t="str">
        <f t="shared" si="16"/>
        <v>Mỳ Quảng GàTrứng gà trung</v>
      </c>
      <c r="C325" s="24" t="s">
        <v>8</v>
      </c>
      <c r="D325" t="s">
        <v>20</v>
      </c>
      <c r="E325" t="s">
        <v>297</v>
      </c>
      <c r="F325" t="s">
        <v>416</v>
      </c>
      <c r="G325" s="17">
        <v>52</v>
      </c>
      <c r="H325" s="18">
        <v>2000</v>
      </c>
      <c r="I325" s="18">
        <v>100</v>
      </c>
      <c r="J325" s="17">
        <f t="shared" si="19"/>
        <v>0.52</v>
      </c>
      <c r="K325" s="18">
        <f t="shared" si="20"/>
        <v>1040</v>
      </c>
    </row>
    <row r="326" spans="1:14" x14ac:dyDescent="0.35">
      <c r="A326" t="s">
        <v>298</v>
      </c>
      <c r="B326" s="24" t="str">
        <f t="shared" si="16"/>
        <v>Mỳ Quảng GàMỳ tươi</v>
      </c>
      <c r="C326" s="24" t="s">
        <v>8</v>
      </c>
      <c r="D326" t="s">
        <v>20</v>
      </c>
      <c r="E326" t="s">
        <v>297</v>
      </c>
      <c r="F326" t="s">
        <v>389</v>
      </c>
      <c r="G326" s="17">
        <v>33</v>
      </c>
      <c r="H326" s="18">
        <v>10000</v>
      </c>
      <c r="I326" s="18">
        <v>100</v>
      </c>
      <c r="J326" s="17">
        <f t="shared" si="19"/>
        <v>0.33</v>
      </c>
      <c r="K326" s="18">
        <f t="shared" si="20"/>
        <v>3300</v>
      </c>
    </row>
    <row r="327" spans="1:14" x14ac:dyDescent="0.35">
      <c r="A327" t="s">
        <v>232</v>
      </c>
      <c r="B327" s="24" t="str">
        <f t="shared" si="16"/>
        <v>Bún thịt nướngRau quế</v>
      </c>
      <c r="C327" s="24" t="s">
        <v>8</v>
      </c>
      <c r="D327" t="s">
        <v>20</v>
      </c>
      <c r="E327" t="s">
        <v>300</v>
      </c>
      <c r="F327" t="s">
        <v>23</v>
      </c>
      <c r="G327" s="17">
        <v>0.2</v>
      </c>
      <c r="H327" s="18">
        <v>100000</v>
      </c>
      <c r="I327" s="18">
        <v>100</v>
      </c>
      <c r="J327" s="17">
        <f t="shared" si="19"/>
        <v>2E-3</v>
      </c>
      <c r="K327" s="18">
        <f t="shared" si="20"/>
        <v>200</v>
      </c>
    </row>
    <row r="328" spans="1:14" x14ac:dyDescent="0.35">
      <c r="A328" t="s">
        <v>233</v>
      </c>
      <c r="B328" s="24" t="str">
        <f t="shared" si="16"/>
        <v>Bún thịt nướngXà lách</v>
      </c>
      <c r="C328" s="24" t="s">
        <v>8</v>
      </c>
      <c r="D328" t="s">
        <v>20</v>
      </c>
      <c r="E328" t="s">
        <v>300</v>
      </c>
      <c r="F328" t="s">
        <v>197</v>
      </c>
      <c r="G328" s="17">
        <v>2</v>
      </c>
      <c r="H328" s="18">
        <v>25000</v>
      </c>
      <c r="I328" s="18">
        <v>100</v>
      </c>
      <c r="J328" s="17">
        <f t="shared" si="19"/>
        <v>0.02</v>
      </c>
      <c r="K328" s="18">
        <f t="shared" si="20"/>
        <v>500</v>
      </c>
    </row>
    <row r="329" spans="1:14" x14ac:dyDescent="0.35">
      <c r="A329" t="s">
        <v>233</v>
      </c>
      <c r="B329" s="24" t="str">
        <f t="shared" si="16"/>
        <v>Bún thịt nướngGiá</v>
      </c>
      <c r="C329" s="24" t="s">
        <v>8</v>
      </c>
      <c r="D329" t="s">
        <v>20</v>
      </c>
      <c r="E329" t="s">
        <v>300</v>
      </c>
      <c r="F329" t="s">
        <v>26</v>
      </c>
      <c r="G329" s="17">
        <v>2</v>
      </c>
      <c r="H329" s="18">
        <v>10000</v>
      </c>
      <c r="I329" s="18">
        <v>100</v>
      </c>
      <c r="J329" s="17">
        <f t="shared" si="19"/>
        <v>0.02</v>
      </c>
      <c r="K329" s="18">
        <f t="shared" si="20"/>
        <v>200</v>
      </c>
    </row>
    <row r="330" spans="1:14" x14ac:dyDescent="0.35">
      <c r="A330" t="s">
        <v>233</v>
      </c>
      <c r="B330" s="24" t="str">
        <f t="shared" si="16"/>
        <v>Bún thịt nướngSả</v>
      </c>
      <c r="C330" s="24" t="s">
        <v>8</v>
      </c>
      <c r="D330" t="s">
        <v>20</v>
      </c>
      <c r="E330" t="s">
        <v>300</v>
      </c>
      <c r="F330" t="s">
        <v>207</v>
      </c>
      <c r="G330" s="17">
        <v>0.4</v>
      </c>
      <c r="H330" s="18">
        <v>30000</v>
      </c>
      <c r="I330" s="18">
        <v>100</v>
      </c>
      <c r="J330" s="17">
        <f t="shared" si="19"/>
        <v>4.0000000000000001E-3</v>
      </c>
      <c r="K330" s="18">
        <f t="shared" si="20"/>
        <v>120</v>
      </c>
    </row>
    <row r="331" spans="1:14" x14ac:dyDescent="0.35">
      <c r="A331" t="s">
        <v>233</v>
      </c>
      <c r="B331" s="24" t="str">
        <f t="shared" si="16"/>
        <v>Bún thịt nướngĐậu phộng rang</v>
      </c>
      <c r="C331" s="24" t="s">
        <v>8</v>
      </c>
      <c r="D331" t="s">
        <v>20</v>
      </c>
      <c r="E331" t="s">
        <v>300</v>
      </c>
      <c r="F331" t="s">
        <v>303</v>
      </c>
      <c r="G331" s="17">
        <v>0.6</v>
      </c>
      <c r="H331" s="18">
        <v>50000</v>
      </c>
      <c r="I331" s="18">
        <v>100</v>
      </c>
      <c r="J331" s="17">
        <f t="shared" si="19"/>
        <v>6.0000000000000001E-3</v>
      </c>
      <c r="K331" s="18">
        <f t="shared" si="20"/>
        <v>300</v>
      </c>
    </row>
    <row r="332" spans="1:14" x14ac:dyDescent="0.35">
      <c r="A332" t="s">
        <v>233</v>
      </c>
      <c r="B332" s="24" t="str">
        <f t="shared" si="16"/>
        <v>Bún thịt nướngDưa leo</v>
      </c>
      <c r="C332" s="24" t="s">
        <v>8</v>
      </c>
      <c r="D332" t="s">
        <v>20</v>
      </c>
      <c r="E332" t="s">
        <v>300</v>
      </c>
      <c r="F332" t="s">
        <v>301</v>
      </c>
      <c r="G332" s="17">
        <v>2</v>
      </c>
      <c r="H332" s="18">
        <v>15000</v>
      </c>
      <c r="I332" s="18">
        <v>100</v>
      </c>
      <c r="J332" s="17">
        <f t="shared" si="19"/>
        <v>0.02</v>
      </c>
      <c r="K332" s="18">
        <f t="shared" si="20"/>
        <v>300</v>
      </c>
    </row>
    <row r="333" spans="1:14" x14ac:dyDescent="0.35">
      <c r="A333" t="s">
        <v>233</v>
      </c>
      <c r="B333" s="24" t="str">
        <f t="shared" si="16"/>
        <v>Bún thịt nướngĐu đủ xanh</v>
      </c>
      <c r="C333" s="24" t="s">
        <v>8</v>
      </c>
      <c r="D333" t="s">
        <v>20</v>
      </c>
      <c r="E333" t="s">
        <v>300</v>
      </c>
      <c r="F333" t="s">
        <v>302</v>
      </c>
      <c r="G333" s="17">
        <v>2</v>
      </c>
      <c r="H333" s="18">
        <v>12000</v>
      </c>
      <c r="I333" s="18">
        <v>100</v>
      </c>
      <c r="J333" s="17">
        <f t="shared" si="19"/>
        <v>0.02</v>
      </c>
      <c r="K333" s="18">
        <f t="shared" si="20"/>
        <v>240</v>
      </c>
    </row>
    <row r="334" spans="1:14" x14ac:dyDescent="0.35">
      <c r="A334" t="s">
        <v>233</v>
      </c>
      <c r="B334" s="24" t="str">
        <f t="shared" si="16"/>
        <v>Bún thịt nướngCà rốt</v>
      </c>
      <c r="C334" s="24" t="s">
        <v>8</v>
      </c>
      <c r="D334" t="s">
        <v>20</v>
      </c>
      <c r="E334" t="s">
        <v>300</v>
      </c>
      <c r="F334" t="s">
        <v>78</v>
      </c>
      <c r="G334" s="17">
        <v>0.5</v>
      </c>
      <c r="H334" s="18">
        <v>15000</v>
      </c>
      <c r="I334" s="18">
        <v>100</v>
      </c>
      <c r="J334" s="17">
        <f t="shared" si="19"/>
        <v>5.0000000000000001E-3</v>
      </c>
      <c r="K334" s="18">
        <f t="shared" si="20"/>
        <v>75</v>
      </c>
    </row>
    <row r="335" spans="1:14" x14ac:dyDescent="0.35">
      <c r="A335" t="s">
        <v>233</v>
      </c>
      <c r="B335" s="24" t="str">
        <f t="shared" si="16"/>
        <v>Bún thịt nướngNạc vai</v>
      </c>
      <c r="C335" s="24" t="s">
        <v>8</v>
      </c>
      <c r="D335" t="s">
        <v>20</v>
      </c>
      <c r="E335" t="s">
        <v>300</v>
      </c>
      <c r="F335" t="s">
        <v>60</v>
      </c>
      <c r="G335" s="17">
        <v>7.5</v>
      </c>
      <c r="H335" s="18">
        <v>90000</v>
      </c>
      <c r="I335" s="18">
        <v>100</v>
      </c>
      <c r="J335" s="17">
        <f t="shared" si="19"/>
        <v>7.4999999999999997E-2</v>
      </c>
      <c r="K335" s="18">
        <f t="shared" si="20"/>
        <v>6750</v>
      </c>
    </row>
    <row r="336" spans="1:14" x14ac:dyDescent="0.35">
      <c r="A336" t="s">
        <v>233</v>
      </c>
      <c r="B336" s="24" t="str">
        <f t="shared" si="16"/>
        <v>Bún thịt nướngMè trắng</v>
      </c>
      <c r="C336" s="24" t="s">
        <v>8</v>
      </c>
      <c r="D336" t="s">
        <v>20</v>
      </c>
      <c r="E336" t="s">
        <v>300</v>
      </c>
      <c r="F336" t="s">
        <v>377</v>
      </c>
      <c r="G336" s="17">
        <v>0.3</v>
      </c>
      <c r="H336" s="18">
        <v>50000</v>
      </c>
      <c r="I336" s="18">
        <v>100</v>
      </c>
      <c r="J336" s="17">
        <f t="shared" si="19"/>
        <v>3.0000000000000001E-3</v>
      </c>
      <c r="K336" s="18">
        <f t="shared" si="20"/>
        <v>150</v>
      </c>
    </row>
    <row r="337" spans="1:14" x14ac:dyDescent="0.35">
      <c r="A337" t="s">
        <v>233</v>
      </c>
      <c r="B337" s="24" t="str">
        <f t="shared" si="16"/>
        <v>Bún thịt nướngMắm cái</v>
      </c>
      <c r="C337" s="24" t="s">
        <v>8</v>
      </c>
      <c r="D337" t="s">
        <v>20</v>
      </c>
      <c r="E337" t="s">
        <v>300</v>
      </c>
      <c r="F337" t="s">
        <v>364</v>
      </c>
      <c r="G337" s="17">
        <v>2</v>
      </c>
      <c r="H337" s="18">
        <v>30000</v>
      </c>
      <c r="I337" s="18">
        <v>100</v>
      </c>
      <c r="J337" s="17">
        <f t="shared" si="19"/>
        <v>0.02</v>
      </c>
      <c r="K337" s="18">
        <f t="shared" si="20"/>
        <v>600</v>
      </c>
    </row>
    <row r="338" spans="1:14" x14ac:dyDescent="0.35">
      <c r="A338" t="s">
        <v>233</v>
      </c>
      <c r="B338" s="24" t="str">
        <f t="shared" si="16"/>
        <v>Bún thịt nướngThơm</v>
      </c>
      <c r="C338" s="24" t="s">
        <v>8</v>
      </c>
      <c r="D338" t="s">
        <v>20</v>
      </c>
      <c r="E338" t="s">
        <v>300</v>
      </c>
      <c r="F338" t="s">
        <v>4</v>
      </c>
      <c r="G338" s="17">
        <v>2</v>
      </c>
      <c r="H338" s="18">
        <v>17000</v>
      </c>
      <c r="I338" s="18">
        <v>100</v>
      </c>
      <c r="J338" s="17">
        <f t="shared" si="19"/>
        <v>0.02</v>
      </c>
      <c r="K338" s="18">
        <f t="shared" si="20"/>
        <v>340</v>
      </c>
    </row>
    <row r="339" spans="1:14" x14ac:dyDescent="0.35">
      <c r="A339" t="s">
        <v>233</v>
      </c>
      <c r="B339" s="24" t="str">
        <f t="shared" si="16"/>
        <v>Bún thịt nướngBún tươi</v>
      </c>
      <c r="C339" s="24" t="s">
        <v>8</v>
      </c>
      <c r="D339" t="s">
        <v>20</v>
      </c>
      <c r="E339" t="s">
        <v>300</v>
      </c>
      <c r="F339" t="s">
        <v>387</v>
      </c>
      <c r="G339" s="17">
        <v>33</v>
      </c>
      <c r="H339" s="18">
        <v>10000</v>
      </c>
      <c r="I339" s="18">
        <v>100</v>
      </c>
      <c r="J339" s="17">
        <f t="shared" si="19"/>
        <v>0.33</v>
      </c>
      <c r="K339" s="18">
        <f t="shared" si="20"/>
        <v>3300</v>
      </c>
    </row>
    <row r="340" spans="1:14" x14ac:dyDescent="0.35">
      <c r="A340" t="s">
        <v>232</v>
      </c>
      <c r="B340" s="24" t="str">
        <f t="shared" si="16"/>
        <v>Cá ngừ sốt càCá ngừ</v>
      </c>
      <c r="C340" s="24" t="s">
        <v>8</v>
      </c>
      <c r="D340" t="s">
        <v>18</v>
      </c>
      <c r="E340" t="s">
        <v>305</v>
      </c>
      <c r="F340" t="s">
        <v>304</v>
      </c>
      <c r="G340" s="17">
        <v>13</v>
      </c>
      <c r="H340" s="18">
        <v>32000</v>
      </c>
      <c r="I340" s="18">
        <v>100</v>
      </c>
      <c r="J340" s="17">
        <f t="shared" si="19"/>
        <v>0.13</v>
      </c>
      <c r="K340" s="18">
        <f t="shared" si="20"/>
        <v>4160</v>
      </c>
    </row>
    <row r="341" spans="1:14" x14ac:dyDescent="0.35">
      <c r="A341" t="s">
        <v>298</v>
      </c>
      <c r="B341" s="24" t="str">
        <f t="shared" si="16"/>
        <v>Cá ngừ sốt càCà chua</v>
      </c>
      <c r="C341" s="24" t="s">
        <v>8</v>
      </c>
      <c r="D341" t="s">
        <v>18</v>
      </c>
      <c r="E341" t="s">
        <v>305</v>
      </c>
      <c r="F341" t="s">
        <v>14</v>
      </c>
      <c r="G341" s="17">
        <v>2</v>
      </c>
      <c r="H341" s="18">
        <v>20000</v>
      </c>
      <c r="I341" s="18">
        <v>100</v>
      </c>
      <c r="J341" s="17">
        <f t="shared" si="19"/>
        <v>0.02</v>
      </c>
      <c r="K341" s="18">
        <f t="shared" si="20"/>
        <v>400</v>
      </c>
    </row>
    <row r="342" spans="1:14" x14ac:dyDescent="0.35">
      <c r="A342" t="s">
        <v>232</v>
      </c>
      <c r="B342" s="24" t="str">
        <f t="shared" si="16"/>
        <v>Cá ngừ kho dưaCá ngừ</v>
      </c>
      <c r="C342" s="24" t="s">
        <v>8</v>
      </c>
      <c r="D342" t="s">
        <v>18</v>
      </c>
      <c r="E342" t="s">
        <v>306</v>
      </c>
      <c r="F342" t="s">
        <v>304</v>
      </c>
      <c r="G342" s="17">
        <v>14</v>
      </c>
      <c r="H342" s="18">
        <v>32000</v>
      </c>
      <c r="I342" s="18">
        <v>100</v>
      </c>
      <c r="J342" s="17">
        <f t="shared" si="19"/>
        <v>0.14000000000000001</v>
      </c>
      <c r="K342" s="18">
        <f t="shared" si="20"/>
        <v>4480</v>
      </c>
    </row>
    <row r="343" spans="1:14" x14ac:dyDescent="0.35">
      <c r="A343" t="s">
        <v>298</v>
      </c>
      <c r="B343" s="24" t="str">
        <f t="shared" si="16"/>
        <v>Cá ngừ kho dưaDưa trái muối</v>
      </c>
      <c r="C343" s="24" t="s">
        <v>8</v>
      </c>
      <c r="D343" t="s">
        <v>18</v>
      </c>
      <c r="E343" t="s">
        <v>306</v>
      </c>
      <c r="F343" t="s">
        <v>307</v>
      </c>
      <c r="G343" s="17">
        <v>3.5</v>
      </c>
      <c r="H343" s="18">
        <v>15000</v>
      </c>
      <c r="I343" s="18">
        <v>100</v>
      </c>
      <c r="J343" s="17">
        <f t="shared" si="19"/>
        <v>3.5000000000000003E-2</v>
      </c>
      <c r="K343" s="18">
        <f t="shared" si="20"/>
        <v>525</v>
      </c>
    </row>
    <row r="344" spans="1:14" x14ac:dyDescent="0.35">
      <c r="A344" t="s">
        <v>232</v>
      </c>
      <c r="B344" s="24" t="str">
        <f t="shared" si="16"/>
        <v>Heo rang cháy cạnhHeo nọng</v>
      </c>
      <c r="C344" s="24" t="s">
        <v>8</v>
      </c>
      <c r="D344" t="s">
        <v>19</v>
      </c>
      <c r="E344" t="s">
        <v>308</v>
      </c>
      <c r="F344" t="s">
        <v>135</v>
      </c>
      <c r="G344" s="17">
        <v>6</v>
      </c>
      <c r="H344" s="18">
        <v>60000</v>
      </c>
      <c r="I344" s="18">
        <v>100</v>
      </c>
      <c r="J344" s="17">
        <f t="shared" si="19"/>
        <v>0.06</v>
      </c>
      <c r="K344" s="18">
        <f t="shared" si="20"/>
        <v>3600</v>
      </c>
    </row>
    <row r="345" spans="1:14" x14ac:dyDescent="0.35">
      <c r="A345" t="s">
        <v>232</v>
      </c>
      <c r="B345" s="24" t="str">
        <f t="shared" si="16"/>
        <v>Giò heo um đậuGiò heo</v>
      </c>
      <c r="C345" s="24" t="s">
        <v>8</v>
      </c>
      <c r="D345" t="s">
        <v>18</v>
      </c>
      <c r="E345" t="s">
        <v>492</v>
      </c>
      <c r="F345" t="s">
        <v>217</v>
      </c>
      <c r="G345" s="17">
        <v>11</v>
      </c>
      <c r="H345" s="18">
        <v>59000</v>
      </c>
      <c r="I345" s="18">
        <v>100</v>
      </c>
      <c r="J345" s="17">
        <f t="shared" si="19"/>
        <v>0.11</v>
      </c>
      <c r="K345" s="18">
        <f t="shared" si="20"/>
        <v>6490</v>
      </c>
    </row>
    <row r="346" spans="1:14" x14ac:dyDescent="0.35">
      <c r="A346" t="s">
        <v>232</v>
      </c>
      <c r="B346" s="24" t="str">
        <f t="shared" si="16"/>
        <v>Giò heo um đậuđậu phộng sống</v>
      </c>
      <c r="C346" s="24" t="s">
        <v>8</v>
      </c>
      <c r="D346" t="s">
        <v>18</v>
      </c>
      <c r="E346" t="s">
        <v>492</v>
      </c>
      <c r="F346" t="s">
        <v>468</v>
      </c>
      <c r="G346" s="17">
        <v>0.5</v>
      </c>
      <c r="H346" s="18">
        <v>50000</v>
      </c>
      <c r="I346" s="18">
        <v>100</v>
      </c>
      <c r="J346" s="17">
        <f t="shared" si="19"/>
        <v>5.0000000000000001E-3</v>
      </c>
      <c r="K346" s="18">
        <f t="shared" si="20"/>
        <v>250</v>
      </c>
    </row>
    <row r="347" spans="1:14" x14ac:dyDescent="0.35">
      <c r="A347" t="s">
        <v>298</v>
      </c>
      <c r="B347" s="24" t="str">
        <f t="shared" si="16"/>
        <v>Giò heo kho sảSả</v>
      </c>
      <c r="C347" s="24" t="s">
        <v>8</v>
      </c>
      <c r="D347" t="s">
        <v>18</v>
      </c>
      <c r="E347" t="s">
        <v>309</v>
      </c>
      <c r="F347" t="s">
        <v>207</v>
      </c>
      <c r="G347" s="17">
        <v>2</v>
      </c>
      <c r="H347" s="18">
        <v>25000</v>
      </c>
      <c r="I347" s="18">
        <v>100</v>
      </c>
      <c r="J347" s="17">
        <f t="shared" si="19"/>
        <v>0.02</v>
      </c>
      <c r="K347" s="18">
        <f t="shared" si="20"/>
        <v>500</v>
      </c>
    </row>
    <row r="348" spans="1:14" x14ac:dyDescent="0.35">
      <c r="A348" t="s">
        <v>298</v>
      </c>
      <c r="B348" s="24" t="str">
        <f t="shared" si="16"/>
        <v>Cải ngọt xàoCải ngọt</v>
      </c>
      <c r="C348" s="24" t="s">
        <v>8</v>
      </c>
      <c r="D348" t="s">
        <v>47</v>
      </c>
      <c r="E348" t="s">
        <v>310</v>
      </c>
      <c r="F348" t="s">
        <v>49</v>
      </c>
      <c r="G348" s="17">
        <v>9</v>
      </c>
      <c r="H348" s="18">
        <v>12000</v>
      </c>
      <c r="I348" s="18">
        <v>100</v>
      </c>
      <c r="J348" s="17">
        <f t="shared" si="19"/>
        <v>0.09</v>
      </c>
      <c r="K348" s="18">
        <f t="shared" si="20"/>
        <v>1080</v>
      </c>
    </row>
    <row r="349" spans="1:14" x14ac:dyDescent="0.35">
      <c r="A349" t="s">
        <v>298</v>
      </c>
      <c r="B349" s="24" t="str">
        <f t="shared" si="16"/>
        <v>Su su xàoSu su</v>
      </c>
      <c r="C349" s="24" t="s">
        <v>8</v>
      </c>
      <c r="D349" t="s">
        <v>47</v>
      </c>
      <c r="E349" t="s">
        <v>311</v>
      </c>
      <c r="F349" t="s">
        <v>313</v>
      </c>
      <c r="G349" s="17">
        <v>9.5</v>
      </c>
      <c r="H349" s="18">
        <v>12000</v>
      </c>
      <c r="I349" s="18">
        <v>100</v>
      </c>
      <c r="J349" s="17">
        <f t="shared" si="19"/>
        <v>9.5000000000000001E-2</v>
      </c>
      <c r="K349" s="18">
        <f t="shared" si="20"/>
        <v>1140</v>
      </c>
    </row>
    <row r="350" spans="1:14" x14ac:dyDescent="0.35">
      <c r="A350" t="s">
        <v>298</v>
      </c>
      <c r="B350" s="24" t="str">
        <f t="shared" si="16"/>
        <v>Mồng tơi nấu tômMồng tơi</v>
      </c>
      <c r="C350" s="24" t="s">
        <v>8</v>
      </c>
      <c r="D350" t="s">
        <v>12</v>
      </c>
      <c r="E350" t="s">
        <v>312</v>
      </c>
      <c r="F350" t="s">
        <v>211</v>
      </c>
      <c r="G350" s="17">
        <v>5</v>
      </c>
      <c r="H350" s="18">
        <v>10000</v>
      </c>
      <c r="I350" s="18">
        <v>100</v>
      </c>
      <c r="J350" s="17">
        <f t="shared" si="19"/>
        <v>0.05</v>
      </c>
      <c r="K350" s="18">
        <f t="shared" si="20"/>
        <v>500</v>
      </c>
      <c r="N350" s="30"/>
    </row>
    <row r="351" spans="1:14" x14ac:dyDescent="0.35">
      <c r="A351" t="s">
        <v>232</v>
      </c>
      <c r="B351" s="24" t="str">
        <f t="shared" si="16"/>
        <v>Mồng tơi nấu tômTôm</v>
      </c>
      <c r="C351" s="24" t="s">
        <v>8</v>
      </c>
      <c r="D351" t="s">
        <v>12</v>
      </c>
      <c r="E351" t="s">
        <v>312</v>
      </c>
      <c r="F351" t="s">
        <v>37</v>
      </c>
      <c r="G351" s="17">
        <v>0.4</v>
      </c>
      <c r="H351" s="18">
        <v>120000</v>
      </c>
      <c r="I351" s="18">
        <v>100</v>
      </c>
      <c r="J351" s="17">
        <f t="shared" si="19"/>
        <v>4.0000000000000001E-3</v>
      </c>
      <c r="K351" s="18">
        <f t="shared" si="20"/>
        <v>480</v>
      </c>
    </row>
    <row r="352" spans="1:14" x14ac:dyDescent="0.35">
      <c r="A352" t="s">
        <v>232</v>
      </c>
      <c r="B352" s="24" t="str">
        <f t="shared" si="16"/>
        <v>Cơm đùi gà rôtyĐùi gà tỏi</v>
      </c>
      <c r="C352" s="24" t="s">
        <v>8</v>
      </c>
      <c r="D352" t="s">
        <v>18</v>
      </c>
      <c r="E352" t="s">
        <v>314</v>
      </c>
      <c r="F352" t="s">
        <v>315</v>
      </c>
      <c r="G352" s="17">
        <v>1</v>
      </c>
      <c r="H352" s="18">
        <v>55000</v>
      </c>
      <c r="I352" s="18">
        <v>6</v>
      </c>
      <c r="J352" s="17">
        <f t="shared" si="19"/>
        <v>0.16666666666666666</v>
      </c>
      <c r="K352" s="18">
        <f t="shared" si="20"/>
        <v>9166.6666666666661</v>
      </c>
    </row>
    <row r="353" spans="1:14" x14ac:dyDescent="0.35">
      <c r="A353" t="s">
        <v>232</v>
      </c>
      <c r="B353" s="24" t="str">
        <f t="shared" si="16"/>
        <v>Cơm đùi gà rôtyTrứng gà</v>
      </c>
      <c r="C353" s="24" t="s">
        <v>8</v>
      </c>
      <c r="D353" t="s">
        <v>18</v>
      </c>
      <c r="E353" t="s">
        <v>314</v>
      </c>
      <c r="F353" t="s">
        <v>13</v>
      </c>
      <c r="G353" s="17">
        <v>80</v>
      </c>
      <c r="H353" s="18">
        <v>230</v>
      </c>
      <c r="I353" s="18">
        <v>100</v>
      </c>
      <c r="J353" s="17">
        <f t="shared" si="19"/>
        <v>0.8</v>
      </c>
      <c r="K353" s="18">
        <f t="shared" si="20"/>
        <v>184</v>
      </c>
    </row>
    <row r="354" spans="1:14" x14ac:dyDescent="0.35">
      <c r="A354" t="s">
        <v>298</v>
      </c>
      <c r="B354" s="24" t="str">
        <f t="shared" ref="B354:B417" si="21">E354&amp;F354</f>
        <v>Cơm đùi gà rôtyCà chua</v>
      </c>
      <c r="C354" s="24" t="s">
        <v>8</v>
      </c>
      <c r="D354" t="s">
        <v>18</v>
      </c>
      <c r="E354" t="s">
        <v>314</v>
      </c>
      <c r="F354" t="s">
        <v>14</v>
      </c>
      <c r="G354" s="17">
        <v>2</v>
      </c>
      <c r="H354" s="18">
        <v>20000</v>
      </c>
      <c r="I354" s="18">
        <v>100</v>
      </c>
      <c r="J354" s="17">
        <f t="shared" si="19"/>
        <v>0.02</v>
      </c>
      <c r="K354" s="18">
        <f t="shared" si="20"/>
        <v>400</v>
      </c>
    </row>
    <row r="355" spans="1:14" x14ac:dyDescent="0.35">
      <c r="A355" t="s">
        <v>298</v>
      </c>
      <c r="B355" s="24" t="str">
        <f t="shared" si="21"/>
        <v xml:space="preserve">Cơm đùi gà rôtyBí đỏ </v>
      </c>
      <c r="C355" s="24" t="s">
        <v>8</v>
      </c>
      <c r="D355" t="s">
        <v>18</v>
      </c>
      <c r="E355" t="s">
        <v>314</v>
      </c>
      <c r="F355" t="s">
        <v>316</v>
      </c>
      <c r="G355" s="17">
        <v>4</v>
      </c>
      <c r="H355" s="18">
        <v>12000</v>
      </c>
      <c r="I355" s="18">
        <v>100</v>
      </c>
      <c r="J355" s="17">
        <f t="shared" si="19"/>
        <v>0.04</v>
      </c>
      <c r="K355" s="18">
        <f t="shared" si="20"/>
        <v>480</v>
      </c>
    </row>
    <row r="356" spans="1:14" x14ac:dyDescent="0.35">
      <c r="A356" t="s">
        <v>232</v>
      </c>
      <c r="B356" s="24" t="str">
        <f t="shared" si="21"/>
        <v>Cơm đùi gà rôtyThịt xay</v>
      </c>
      <c r="C356" s="24" t="s">
        <v>8</v>
      </c>
      <c r="D356" t="s">
        <v>18</v>
      </c>
      <c r="E356" t="s">
        <v>314</v>
      </c>
      <c r="F356" t="s">
        <v>31</v>
      </c>
      <c r="G356" s="17">
        <v>0.4</v>
      </c>
      <c r="H356" s="18">
        <v>80000</v>
      </c>
      <c r="I356" s="18">
        <v>100</v>
      </c>
      <c r="J356" s="17">
        <f t="shared" si="19"/>
        <v>4.0000000000000001E-3</v>
      </c>
      <c r="K356" s="18">
        <f t="shared" si="20"/>
        <v>320</v>
      </c>
    </row>
    <row r="357" spans="1:14" x14ac:dyDescent="0.35">
      <c r="A357" t="s">
        <v>232</v>
      </c>
      <c r="B357" s="24" t="str">
        <f t="shared" si="21"/>
        <v>Thịt xay xào củ quảThịt xay</v>
      </c>
      <c r="C357" s="24" t="s">
        <v>8</v>
      </c>
      <c r="D357" t="s">
        <v>19</v>
      </c>
      <c r="E357" t="s">
        <v>318</v>
      </c>
      <c r="F357" t="s">
        <v>31</v>
      </c>
      <c r="G357" s="17">
        <v>1</v>
      </c>
      <c r="H357" s="18">
        <v>80000</v>
      </c>
      <c r="I357" s="18">
        <v>40</v>
      </c>
      <c r="J357" s="17">
        <f t="shared" si="19"/>
        <v>2.5000000000000001E-2</v>
      </c>
      <c r="K357" s="18">
        <f t="shared" si="20"/>
        <v>2000</v>
      </c>
    </row>
    <row r="358" spans="1:14" x14ac:dyDescent="0.35">
      <c r="A358" t="s">
        <v>298</v>
      </c>
      <c r="B358" s="24" t="str">
        <f t="shared" si="21"/>
        <v>Thịt xay xào củ quảCà rốt</v>
      </c>
      <c r="C358" s="24" t="s">
        <v>8</v>
      </c>
      <c r="D358" t="s">
        <v>19</v>
      </c>
      <c r="E358" t="s">
        <v>318</v>
      </c>
      <c r="F358" t="s">
        <v>78</v>
      </c>
      <c r="G358" s="17">
        <v>1</v>
      </c>
      <c r="H358" s="18">
        <v>16000</v>
      </c>
      <c r="I358" s="18">
        <v>30</v>
      </c>
      <c r="J358" s="17">
        <f t="shared" si="19"/>
        <v>3.3333333333333333E-2</v>
      </c>
      <c r="K358" s="18">
        <f t="shared" si="20"/>
        <v>533.33333333333337</v>
      </c>
    </row>
    <row r="359" spans="1:14" x14ac:dyDescent="0.35">
      <c r="A359" t="s">
        <v>298</v>
      </c>
      <c r="B359" s="24" t="str">
        <f t="shared" si="21"/>
        <v>Thịt xay xào củ quảKhoai tây</v>
      </c>
      <c r="C359" s="24" t="s">
        <v>8</v>
      </c>
      <c r="D359" t="s">
        <v>19</v>
      </c>
      <c r="E359" t="s">
        <v>318</v>
      </c>
      <c r="F359" t="s">
        <v>77</v>
      </c>
      <c r="G359" s="17">
        <v>1</v>
      </c>
      <c r="H359" s="18">
        <v>13000</v>
      </c>
      <c r="I359" s="18">
        <v>30</v>
      </c>
      <c r="J359" s="17">
        <f t="shared" si="19"/>
        <v>3.3333333333333333E-2</v>
      </c>
      <c r="K359" s="18">
        <f t="shared" si="20"/>
        <v>433.33333333333331</v>
      </c>
    </row>
    <row r="360" spans="1:14" x14ac:dyDescent="0.35">
      <c r="A360" t="s">
        <v>298</v>
      </c>
      <c r="B360" s="24" t="str">
        <f t="shared" si="21"/>
        <v>Thịt xay xào củ quảNấm mèo</v>
      </c>
      <c r="C360" s="24" t="s">
        <v>8</v>
      </c>
      <c r="D360" t="s">
        <v>19</v>
      </c>
      <c r="E360" t="s">
        <v>318</v>
      </c>
      <c r="F360" t="s">
        <v>28</v>
      </c>
      <c r="G360" s="17">
        <v>0.1</v>
      </c>
      <c r="H360" s="18">
        <v>110000</v>
      </c>
      <c r="I360" s="18">
        <v>40</v>
      </c>
      <c r="J360" s="17">
        <f t="shared" si="19"/>
        <v>2.5000000000000001E-3</v>
      </c>
      <c r="K360" s="18">
        <f t="shared" si="20"/>
        <v>275</v>
      </c>
    </row>
    <row r="361" spans="1:14" x14ac:dyDescent="0.35">
      <c r="A361" t="s">
        <v>232</v>
      </c>
      <c r="B361" s="24" t="str">
        <f t="shared" si="21"/>
        <v>Chả kho đậu khuônChả cá tấm chiên</v>
      </c>
      <c r="C361" s="24" t="s">
        <v>8</v>
      </c>
      <c r="D361" t="s">
        <v>19</v>
      </c>
      <c r="E361" t="s">
        <v>319</v>
      </c>
      <c r="F361" t="s">
        <v>268</v>
      </c>
      <c r="G361" s="17">
        <v>3</v>
      </c>
      <c r="H361" s="18">
        <v>90000</v>
      </c>
      <c r="I361" s="18">
        <v>100</v>
      </c>
      <c r="J361" s="17">
        <f t="shared" si="19"/>
        <v>0.03</v>
      </c>
      <c r="K361" s="18">
        <f t="shared" si="20"/>
        <v>2700</v>
      </c>
    </row>
    <row r="362" spans="1:14" x14ac:dyDescent="0.35">
      <c r="A362" t="s">
        <v>232</v>
      </c>
      <c r="B362" s="24" t="str">
        <f t="shared" si="21"/>
        <v>Chả kho đậu khuônĐậu khuôn chiên</v>
      </c>
      <c r="C362" s="24" t="s">
        <v>8</v>
      </c>
      <c r="D362" t="s">
        <v>19</v>
      </c>
      <c r="E362" t="s">
        <v>319</v>
      </c>
      <c r="F362" t="s">
        <v>299</v>
      </c>
      <c r="G362" s="17">
        <v>2</v>
      </c>
      <c r="H362" s="18">
        <v>1600</v>
      </c>
      <c r="I362" s="18">
        <v>3</v>
      </c>
      <c r="J362" s="17">
        <f t="shared" si="19"/>
        <v>0.66666666666666663</v>
      </c>
      <c r="K362" s="18">
        <f t="shared" si="20"/>
        <v>1066.6666666666667</v>
      </c>
    </row>
    <row r="363" spans="1:14" x14ac:dyDescent="0.35">
      <c r="A363" t="s">
        <v>232</v>
      </c>
      <c r="B363" s="24" t="str">
        <f t="shared" si="21"/>
        <v>Bún gà nấu nấmMá đùi gà</v>
      </c>
      <c r="C363" s="24" t="s">
        <v>8</v>
      </c>
      <c r="D363" t="s">
        <v>18</v>
      </c>
      <c r="E363" t="s">
        <v>320</v>
      </c>
      <c r="F363" t="s">
        <v>456</v>
      </c>
      <c r="G363" s="17">
        <v>11</v>
      </c>
      <c r="H363" s="18">
        <v>40000</v>
      </c>
      <c r="I363" s="18">
        <v>100</v>
      </c>
      <c r="J363" s="17">
        <f t="shared" si="19"/>
        <v>0.11</v>
      </c>
      <c r="K363" s="18">
        <f t="shared" si="20"/>
        <v>4400</v>
      </c>
    </row>
    <row r="364" spans="1:14" x14ac:dyDescent="0.35">
      <c r="A364" t="s">
        <v>298</v>
      </c>
      <c r="B364" s="24" t="str">
        <f>E364&amp;F364</f>
        <v>Bún gà nấu nấmNấm dai</v>
      </c>
      <c r="C364" s="24" t="s">
        <v>8</v>
      </c>
      <c r="D364" t="s">
        <v>18</v>
      </c>
      <c r="E364" t="s">
        <v>320</v>
      </c>
      <c r="F364" t="s">
        <v>325</v>
      </c>
      <c r="G364" s="17">
        <v>0.02</v>
      </c>
      <c r="H364" s="18">
        <v>16000</v>
      </c>
      <c r="I364" s="18">
        <v>1</v>
      </c>
      <c r="J364" s="17">
        <f t="shared" si="19"/>
        <v>0.02</v>
      </c>
      <c r="K364" s="18">
        <f t="shared" si="20"/>
        <v>320</v>
      </c>
    </row>
    <row r="365" spans="1:14" x14ac:dyDescent="0.35">
      <c r="A365" t="s">
        <v>298</v>
      </c>
      <c r="B365" s="24" t="str">
        <f>E365&amp;F365</f>
        <v>Bún gà nấu nấmNấm đùi gà</v>
      </c>
      <c r="C365" s="24" t="s">
        <v>8</v>
      </c>
      <c r="D365" t="s">
        <v>18</v>
      </c>
      <c r="E365" t="s">
        <v>320</v>
      </c>
      <c r="F365" t="s">
        <v>324</v>
      </c>
      <c r="G365" s="17">
        <v>1.4999999999999999E-2</v>
      </c>
      <c r="H365" s="18">
        <v>40000</v>
      </c>
      <c r="I365" s="18">
        <v>1</v>
      </c>
      <c r="J365" s="17">
        <f t="shared" si="19"/>
        <v>1.4999999999999999E-2</v>
      </c>
      <c r="K365" s="18">
        <f t="shared" si="20"/>
        <v>600</v>
      </c>
      <c r="N365" s="30"/>
    </row>
    <row r="366" spans="1:14" x14ac:dyDescent="0.35">
      <c r="A366" t="s">
        <v>298</v>
      </c>
      <c r="B366" s="24" t="str">
        <f t="shared" ref="B366:B372" si="22">E366&amp;F366</f>
        <v>Bún gà nấu nấmỚt xiêm</v>
      </c>
      <c r="C366" s="24" t="s">
        <v>8</v>
      </c>
      <c r="D366" t="s">
        <v>18</v>
      </c>
      <c r="E366" t="s">
        <v>320</v>
      </c>
      <c r="F366" t="s">
        <v>323</v>
      </c>
      <c r="G366" s="17">
        <v>1</v>
      </c>
      <c r="H366" s="18">
        <v>40000</v>
      </c>
      <c r="I366" s="18">
        <v>100</v>
      </c>
      <c r="J366" s="17">
        <f t="shared" si="19"/>
        <v>0.01</v>
      </c>
      <c r="K366" s="18">
        <f t="shared" si="20"/>
        <v>400</v>
      </c>
    </row>
    <row r="367" spans="1:14" x14ac:dyDescent="0.35">
      <c r="A367" t="s">
        <v>298</v>
      </c>
      <c r="B367" s="24" t="str">
        <f t="shared" si="22"/>
        <v>Bún gà nấu nấmHành lá</v>
      </c>
      <c r="C367" s="24" t="s">
        <v>8</v>
      </c>
      <c r="D367" t="s">
        <v>18</v>
      </c>
      <c r="E367" t="s">
        <v>320</v>
      </c>
      <c r="F367" t="s">
        <v>24</v>
      </c>
      <c r="G367" s="17">
        <v>1</v>
      </c>
      <c r="H367" s="18">
        <v>18000</v>
      </c>
      <c r="I367" s="18">
        <v>100</v>
      </c>
      <c r="J367" s="17">
        <f t="shared" si="19"/>
        <v>0.01</v>
      </c>
      <c r="K367" s="18">
        <f t="shared" si="20"/>
        <v>180</v>
      </c>
    </row>
    <row r="368" spans="1:14" x14ac:dyDescent="0.35">
      <c r="A368" t="s">
        <v>298</v>
      </c>
      <c r="B368" s="24" t="str">
        <f t="shared" si="22"/>
        <v>Bún gà nấu nấmNgò gai</v>
      </c>
      <c r="C368" s="24" t="s">
        <v>8</v>
      </c>
      <c r="D368" t="s">
        <v>18</v>
      </c>
      <c r="E368" t="s">
        <v>320</v>
      </c>
      <c r="F368" t="s">
        <v>101</v>
      </c>
      <c r="G368" s="17">
        <v>0.5</v>
      </c>
      <c r="H368" s="18">
        <v>35000</v>
      </c>
      <c r="I368" s="18">
        <v>100</v>
      </c>
      <c r="J368" s="17">
        <f t="shared" si="19"/>
        <v>5.0000000000000001E-3</v>
      </c>
      <c r="K368" s="18">
        <f t="shared" si="20"/>
        <v>175</v>
      </c>
    </row>
    <row r="369" spans="1:11" x14ac:dyDescent="0.35">
      <c r="A369" t="s">
        <v>298</v>
      </c>
      <c r="B369" s="24" t="str">
        <f t="shared" si="22"/>
        <v>Bún gà nấu nấmHành tây</v>
      </c>
      <c r="C369" s="24" t="s">
        <v>8</v>
      </c>
      <c r="D369" t="s">
        <v>18</v>
      </c>
      <c r="E369" t="s">
        <v>320</v>
      </c>
      <c r="F369" t="s">
        <v>35</v>
      </c>
      <c r="G369" s="17">
        <v>1</v>
      </c>
      <c r="H369" s="18">
        <v>11000</v>
      </c>
      <c r="I369" s="18">
        <v>100</v>
      </c>
      <c r="J369" s="17">
        <f t="shared" si="19"/>
        <v>0.01</v>
      </c>
      <c r="K369" s="18">
        <f t="shared" si="20"/>
        <v>110</v>
      </c>
    </row>
    <row r="370" spans="1:11" x14ac:dyDescent="0.35">
      <c r="A370" t="s">
        <v>298</v>
      </c>
      <c r="B370" s="24" t="str">
        <f t="shared" si="22"/>
        <v>Bún gà nấu nấmCủ cải</v>
      </c>
      <c r="C370" s="24" t="s">
        <v>8</v>
      </c>
      <c r="D370" t="s">
        <v>18</v>
      </c>
      <c r="E370" t="s">
        <v>320</v>
      </c>
      <c r="F370" t="s">
        <v>202</v>
      </c>
      <c r="G370" s="17">
        <v>2</v>
      </c>
      <c r="H370" s="18">
        <v>10000</v>
      </c>
      <c r="I370" s="18">
        <v>100</v>
      </c>
      <c r="J370" s="17">
        <f t="shared" si="19"/>
        <v>0.02</v>
      </c>
      <c r="K370" s="18">
        <f t="shared" si="20"/>
        <v>200</v>
      </c>
    </row>
    <row r="371" spans="1:11" x14ac:dyDescent="0.35">
      <c r="A371" t="s">
        <v>298</v>
      </c>
      <c r="B371" s="24" t="str">
        <f t="shared" si="22"/>
        <v>Bún gà nấu nấmCà rốt</v>
      </c>
      <c r="C371" s="24" t="s">
        <v>8</v>
      </c>
      <c r="D371" t="s">
        <v>18</v>
      </c>
      <c r="E371" t="s">
        <v>320</v>
      </c>
      <c r="F371" t="s">
        <v>78</v>
      </c>
      <c r="G371" s="17">
        <v>2</v>
      </c>
      <c r="H371" s="18">
        <v>16000</v>
      </c>
      <c r="I371" s="18">
        <v>100</v>
      </c>
      <c r="J371" s="17">
        <f t="shared" si="19"/>
        <v>0.02</v>
      </c>
      <c r="K371" s="18">
        <f t="shared" si="20"/>
        <v>320</v>
      </c>
    </row>
    <row r="372" spans="1:11" x14ac:dyDescent="0.35">
      <c r="A372" t="s">
        <v>298</v>
      </c>
      <c r="B372" s="24" t="str">
        <f t="shared" si="22"/>
        <v>Bún gà nấu nấmChanh</v>
      </c>
      <c r="C372" s="24" t="s">
        <v>8</v>
      </c>
      <c r="D372" t="s">
        <v>18</v>
      </c>
      <c r="E372" t="s">
        <v>320</v>
      </c>
      <c r="F372" t="s">
        <v>25</v>
      </c>
      <c r="G372" s="17">
        <v>0.8</v>
      </c>
      <c r="H372" s="18">
        <v>26000</v>
      </c>
      <c r="I372" s="18">
        <v>100</v>
      </c>
      <c r="J372" s="17">
        <f t="shared" si="19"/>
        <v>8.0000000000000002E-3</v>
      </c>
      <c r="K372" s="18">
        <f t="shared" si="20"/>
        <v>208</v>
      </c>
    </row>
    <row r="373" spans="1:11" x14ac:dyDescent="0.35">
      <c r="A373" t="s">
        <v>232</v>
      </c>
      <c r="B373" s="24" t="str">
        <f t="shared" si="21"/>
        <v>Thịt heo kho chảThịt  heo nọng</v>
      </c>
      <c r="C373" s="24" t="s">
        <v>8</v>
      </c>
      <c r="D373" t="s">
        <v>18</v>
      </c>
      <c r="E373" t="s">
        <v>321</v>
      </c>
      <c r="F373" t="s">
        <v>322</v>
      </c>
      <c r="G373" s="17">
        <v>3.5</v>
      </c>
      <c r="H373" s="18">
        <v>65000</v>
      </c>
      <c r="I373" s="18">
        <v>100</v>
      </c>
      <c r="J373" s="17">
        <f t="shared" si="19"/>
        <v>3.5000000000000003E-2</v>
      </c>
      <c r="K373" s="18">
        <f t="shared" si="20"/>
        <v>2275</v>
      </c>
    </row>
    <row r="374" spans="1:11" x14ac:dyDescent="0.35">
      <c r="A374" t="s">
        <v>232</v>
      </c>
      <c r="B374" s="24" t="str">
        <f t="shared" si="21"/>
        <v>Thịt heo kho chảChả cá tấm chiên</v>
      </c>
      <c r="C374" s="24" t="s">
        <v>8</v>
      </c>
      <c r="D374" t="s">
        <v>18</v>
      </c>
      <c r="E374" t="s">
        <v>321</v>
      </c>
      <c r="F374" t="s">
        <v>268</v>
      </c>
      <c r="G374" s="17">
        <v>2.5</v>
      </c>
      <c r="H374" s="18">
        <v>85000</v>
      </c>
      <c r="I374" s="18">
        <v>100</v>
      </c>
      <c r="J374" s="17">
        <f t="shared" si="19"/>
        <v>2.5000000000000001E-2</v>
      </c>
      <c r="K374" s="18">
        <f t="shared" si="20"/>
        <v>2125</v>
      </c>
    </row>
    <row r="375" spans="1:11" x14ac:dyDescent="0.35">
      <c r="A375" s="24" t="s">
        <v>232</v>
      </c>
      <c r="B375" s="24" t="str">
        <f t="shared" si="21"/>
        <v>Mỳ Thịt xíu trứngHeo đùi mông</v>
      </c>
      <c r="C375" s="24" t="s">
        <v>8</v>
      </c>
      <c r="D375" t="s">
        <v>20</v>
      </c>
      <c r="E375" t="s">
        <v>326</v>
      </c>
      <c r="F375" t="s">
        <v>30</v>
      </c>
      <c r="G375" s="17">
        <v>6</v>
      </c>
      <c r="H375" s="18">
        <v>100000</v>
      </c>
      <c r="I375" s="18">
        <v>100</v>
      </c>
      <c r="J375" s="17">
        <f>G375/I375</f>
        <v>0.06</v>
      </c>
      <c r="K375" s="18">
        <f t="shared" si="20"/>
        <v>6000</v>
      </c>
    </row>
    <row r="376" spans="1:11" x14ac:dyDescent="0.35">
      <c r="A376" s="24" t="s">
        <v>232</v>
      </c>
      <c r="B376" s="24" t="str">
        <f t="shared" si="21"/>
        <v>Mỳ Thịt xíu trứngTrứng cút lột sẵn</v>
      </c>
      <c r="C376" s="24" t="s">
        <v>8</v>
      </c>
      <c r="D376" t="s">
        <v>20</v>
      </c>
      <c r="E376" t="s">
        <v>326</v>
      </c>
      <c r="F376" t="s">
        <v>390</v>
      </c>
      <c r="G376" s="17">
        <v>300</v>
      </c>
      <c r="H376" s="18">
        <v>600</v>
      </c>
      <c r="I376" s="18">
        <v>100</v>
      </c>
      <c r="J376" s="17">
        <f t="shared" ref="J376:J437" si="23">G376/I376</f>
        <v>3</v>
      </c>
      <c r="K376" s="18">
        <f t="shared" si="20"/>
        <v>1800</v>
      </c>
    </row>
    <row r="377" spans="1:11" x14ac:dyDescent="0.35">
      <c r="A377" s="24" t="s">
        <v>233</v>
      </c>
      <c r="B377" s="24" t="str">
        <f t="shared" si="21"/>
        <v>Mỳ Thịt xíu trứngBánh phồng tôm</v>
      </c>
      <c r="C377" s="24" t="s">
        <v>8</v>
      </c>
      <c r="D377" t="s">
        <v>20</v>
      </c>
      <c r="E377" t="s">
        <v>326</v>
      </c>
      <c r="F377" t="s">
        <v>426</v>
      </c>
      <c r="G377" s="17">
        <v>3</v>
      </c>
      <c r="H377" s="18">
        <v>10000</v>
      </c>
      <c r="I377" s="18">
        <v>100</v>
      </c>
      <c r="J377" s="17">
        <f t="shared" si="23"/>
        <v>0.03</v>
      </c>
      <c r="K377" s="18">
        <f t="shared" si="20"/>
        <v>300</v>
      </c>
    </row>
    <row r="378" spans="1:11" x14ac:dyDescent="0.35">
      <c r="A378" s="24" t="s">
        <v>233</v>
      </c>
      <c r="B378" s="24" t="str">
        <f t="shared" si="21"/>
        <v xml:space="preserve">Mỳ Thịt xíu trứngXà lách </v>
      </c>
      <c r="C378" s="24" t="s">
        <v>8</v>
      </c>
      <c r="D378" t="s">
        <v>20</v>
      </c>
      <c r="E378" t="s">
        <v>326</v>
      </c>
      <c r="F378" t="s">
        <v>38</v>
      </c>
      <c r="G378" s="17">
        <v>2</v>
      </c>
      <c r="H378" s="18">
        <v>22000</v>
      </c>
      <c r="I378" s="18">
        <v>100</v>
      </c>
      <c r="J378" s="17">
        <f t="shared" si="23"/>
        <v>0.02</v>
      </c>
      <c r="K378" s="18">
        <f t="shared" si="20"/>
        <v>440</v>
      </c>
    </row>
    <row r="379" spans="1:11" x14ac:dyDescent="0.35">
      <c r="A379" s="24" t="s">
        <v>233</v>
      </c>
      <c r="B379" s="24" t="str">
        <f t="shared" si="21"/>
        <v>Mỳ Thịt xíu trứngSu trắng</v>
      </c>
      <c r="C379" s="24" t="s">
        <v>8</v>
      </c>
      <c r="D379" t="s">
        <v>20</v>
      </c>
      <c r="E379" t="s">
        <v>326</v>
      </c>
      <c r="F379" t="s">
        <v>39</v>
      </c>
      <c r="G379" s="17">
        <v>1</v>
      </c>
      <c r="H379" s="18">
        <v>10000</v>
      </c>
      <c r="I379" s="18">
        <v>100</v>
      </c>
      <c r="J379" s="17">
        <f t="shared" si="23"/>
        <v>0.01</v>
      </c>
      <c r="K379" s="18">
        <f t="shared" si="20"/>
        <v>100</v>
      </c>
    </row>
    <row r="380" spans="1:11" x14ac:dyDescent="0.35">
      <c r="A380" s="24" t="s">
        <v>233</v>
      </c>
      <c r="B380" s="24" t="str">
        <f t="shared" si="21"/>
        <v>Mỳ Thịt xíu trứngGiá</v>
      </c>
      <c r="C380" s="24" t="s">
        <v>8</v>
      </c>
      <c r="D380" t="s">
        <v>20</v>
      </c>
      <c r="E380" t="s">
        <v>326</v>
      </c>
      <c r="F380" s="24" t="s">
        <v>26</v>
      </c>
      <c r="G380" s="17">
        <v>2.5</v>
      </c>
      <c r="H380" s="18">
        <v>10000</v>
      </c>
      <c r="I380" s="18">
        <v>100</v>
      </c>
      <c r="J380" s="17">
        <f t="shared" si="23"/>
        <v>2.5000000000000001E-2</v>
      </c>
      <c r="K380" s="18">
        <f t="shared" si="20"/>
        <v>250</v>
      </c>
    </row>
    <row r="381" spans="1:11" x14ac:dyDescent="0.35">
      <c r="A381" s="24" t="s">
        <v>233</v>
      </c>
      <c r="B381" s="24" t="str">
        <f t="shared" si="21"/>
        <v>Mỳ Thịt xíu trứngHành lá</v>
      </c>
      <c r="C381" s="24" t="s">
        <v>8</v>
      </c>
      <c r="D381" t="s">
        <v>20</v>
      </c>
      <c r="E381" t="s">
        <v>326</v>
      </c>
      <c r="F381" t="s">
        <v>24</v>
      </c>
      <c r="G381" s="17">
        <v>0.4</v>
      </c>
      <c r="H381" s="18">
        <v>20000</v>
      </c>
      <c r="I381" s="18">
        <v>100</v>
      </c>
      <c r="J381" s="17">
        <f t="shared" si="23"/>
        <v>4.0000000000000001E-3</v>
      </c>
      <c r="K381" s="18">
        <f t="shared" si="20"/>
        <v>80</v>
      </c>
    </row>
    <row r="382" spans="1:11" x14ac:dyDescent="0.35">
      <c r="A382" s="24" t="s">
        <v>233</v>
      </c>
      <c r="B382" s="24" t="str">
        <f t="shared" si="21"/>
        <v>Mỳ Thịt xíu trứngNgò gai</v>
      </c>
      <c r="C382" s="24" t="s">
        <v>8</v>
      </c>
      <c r="D382" t="s">
        <v>20</v>
      </c>
      <c r="E382" t="s">
        <v>326</v>
      </c>
      <c r="F382" t="s">
        <v>101</v>
      </c>
      <c r="G382" s="17">
        <v>0.2</v>
      </c>
      <c r="H382" s="18">
        <v>35000</v>
      </c>
      <c r="I382" s="18">
        <v>100</v>
      </c>
      <c r="J382" s="17">
        <f t="shared" si="23"/>
        <v>2E-3</v>
      </c>
      <c r="K382" s="18">
        <f t="shared" si="20"/>
        <v>70</v>
      </c>
    </row>
    <row r="383" spans="1:11" x14ac:dyDescent="0.35">
      <c r="A383" s="24" t="s">
        <v>233</v>
      </c>
      <c r="B383" s="24" t="str">
        <f t="shared" si="21"/>
        <v>Mỳ Thịt xíu trứngQuế</v>
      </c>
      <c r="C383" s="24" t="s">
        <v>8</v>
      </c>
      <c r="D383" t="s">
        <v>20</v>
      </c>
      <c r="E383" t="s">
        <v>326</v>
      </c>
      <c r="F383" t="s">
        <v>40</v>
      </c>
      <c r="G383" s="17">
        <v>0.3</v>
      </c>
      <c r="H383" s="18">
        <v>30000</v>
      </c>
      <c r="I383" s="18">
        <v>100</v>
      </c>
      <c r="J383" s="17">
        <f t="shared" si="23"/>
        <v>3.0000000000000001E-3</v>
      </c>
      <c r="K383" s="18">
        <f t="shared" ref="K383:K450" si="24">(G383*H383)/I383</f>
        <v>90</v>
      </c>
    </row>
    <row r="384" spans="1:11" x14ac:dyDescent="0.35">
      <c r="A384" s="24" t="s">
        <v>233</v>
      </c>
      <c r="B384" s="24" t="str">
        <f t="shared" si="21"/>
        <v>Mỳ Thịt xíu trứngChanh</v>
      </c>
      <c r="C384" s="24" t="s">
        <v>8</v>
      </c>
      <c r="D384" t="s">
        <v>20</v>
      </c>
      <c r="E384" t="s">
        <v>326</v>
      </c>
      <c r="F384" t="s">
        <v>25</v>
      </c>
      <c r="G384" s="17">
        <v>0.8</v>
      </c>
      <c r="H384" s="18">
        <v>26000</v>
      </c>
      <c r="I384" s="18">
        <v>100</v>
      </c>
      <c r="J384" s="17">
        <f t="shared" si="23"/>
        <v>8.0000000000000002E-3</v>
      </c>
      <c r="K384" s="18">
        <f t="shared" si="24"/>
        <v>208</v>
      </c>
    </row>
    <row r="385" spans="1:11" x14ac:dyDescent="0.35">
      <c r="A385" s="24" t="s">
        <v>233</v>
      </c>
      <c r="B385" s="24" t="str">
        <f t="shared" si="21"/>
        <v>Heo xào đậu veđậu ve</v>
      </c>
      <c r="C385" s="24" t="s">
        <v>8</v>
      </c>
      <c r="D385" t="s">
        <v>491</v>
      </c>
      <c r="E385" t="s">
        <v>329</v>
      </c>
      <c r="F385" t="s">
        <v>459</v>
      </c>
      <c r="G385" s="17">
        <v>5</v>
      </c>
      <c r="H385" s="18">
        <v>25000</v>
      </c>
      <c r="I385" s="18">
        <v>100</v>
      </c>
      <c r="J385" s="17">
        <f t="shared" si="23"/>
        <v>0.05</v>
      </c>
      <c r="K385" s="18">
        <f t="shared" si="24"/>
        <v>1250</v>
      </c>
    </row>
    <row r="386" spans="1:11" x14ac:dyDescent="0.35">
      <c r="A386" s="24" t="s">
        <v>233</v>
      </c>
      <c r="B386" s="24" t="str">
        <f t="shared" si="21"/>
        <v>Heo xào đậu venạc vai</v>
      </c>
      <c r="C386" s="24" t="s">
        <v>8</v>
      </c>
      <c r="D386" t="s">
        <v>491</v>
      </c>
      <c r="E386" t="s">
        <v>329</v>
      </c>
      <c r="F386" s="24" t="s">
        <v>443</v>
      </c>
      <c r="G386" s="17">
        <v>2</v>
      </c>
      <c r="H386" s="18">
        <v>85000</v>
      </c>
      <c r="I386" s="18">
        <v>100</v>
      </c>
      <c r="J386" s="17">
        <f t="shared" si="23"/>
        <v>0.02</v>
      </c>
      <c r="K386" s="18">
        <f t="shared" si="24"/>
        <v>1700</v>
      </c>
    </row>
    <row r="387" spans="1:11" x14ac:dyDescent="0.35">
      <c r="A387" s="24" t="s">
        <v>232</v>
      </c>
      <c r="B387" s="24" t="str">
        <f t="shared" si="21"/>
        <v>Heo xào đậu veba chỉ lóc sườn</v>
      </c>
      <c r="C387" s="24" t="s">
        <v>8</v>
      </c>
      <c r="D387" t="s">
        <v>19</v>
      </c>
      <c r="E387" t="s">
        <v>329</v>
      </c>
      <c r="F387" t="s">
        <v>460</v>
      </c>
      <c r="G387" s="17">
        <v>1.5</v>
      </c>
      <c r="H387" s="18">
        <v>90000</v>
      </c>
      <c r="I387" s="18">
        <v>100</v>
      </c>
      <c r="J387" s="17">
        <f t="shared" si="23"/>
        <v>1.4999999999999999E-2</v>
      </c>
      <c r="K387" s="18">
        <f t="shared" si="24"/>
        <v>1350</v>
      </c>
    </row>
    <row r="388" spans="1:11" x14ac:dyDescent="0.35">
      <c r="A388" s="24" t="s">
        <v>233</v>
      </c>
      <c r="B388" s="24" t="str">
        <f t="shared" si="21"/>
        <v>Rau má nấu tômRau má</v>
      </c>
      <c r="C388" s="24" t="s">
        <v>8</v>
      </c>
      <c r="D388" t="s">
        <v>12</v>
      </c>
      <c r="E388" t="s">
        <v>330</v>
      </c>
      <c r="F388" s="24" t="s">
        <v>119</v>
      </c>
      <c r="G388" s="17">
        <v>18</v>
      </c>
      <c r="H388" s="18">
        <v>18000</v>
      </c>
      <c r="I388" s="18">
        <v>520</v>
      </c>
      <c r="J388" s="17">
        <f t="shared" si="23"/>
        <v>3.4615384615384617E-2</v>
      </c>
      <c r="K388" s="18">
        <f t="shared" si="24"/>
        <v>623.07692307692309</v>
      </c>
    </row>
    <row r="389" spans="1:11" x14ac:dyDescent="0.35">
      <c r="A389" s="24" t="s">
        <v>232</v>
      </c>
      <c r="B389" s="24" t="str">
        <f t="shared" si="21"/>
        <v>Rau má nấu tômTôm</v>
      </c>
      <c r="C389" s="24" t="s">
        <v>8</v>
      </c>
      <c r="D389" t="s">
        <v>12</v>
      </c>
      <c r="E389" t="s">
        <v>330</v>
      </c>
      <c r="F389" t="s">
        <v>37</v>
      </c>
      <c r="G389" s="17">
        <v>1.5</v>
      </c>
      <c r="H389" s="18">
        <v>130000</v>
      </c>
      <c r="I389" s="18">
        <v>500</v>
      </c>
      <c r="J389" s="17">
        <f t="shared" si="23"/>
        <v>3.0000000000000001E-3</v>
      </c>
      <c r="K389" s="18">
        <f t="shared" si="24"/>
        <v>390</v>
      </c>
    </row>
    <row r="390" spans="1:11" x14ac:dyDescent="0.35">
      <c r="A390" s="24" t="s">
        <v>232</v>
      </c>
      <c r="B390" s="24" t="str">
        <f t="shared" si="21"/>
        <v>Cơm thịt xá xíuHeo đùi mông</v>
      </c>
      <c r="C390" s="24" t="s">
        <v>8</v>
      </c>
      <c r="D390" t="s">
        <v>18</v>
      </c>
      <c r="E390" t="s">
        <v>331</v>
      </c>
      <c r="F390" t="s">
        <v>30</v>
      </c>
      <c r="G390" s="17">
        <v>6</v>
      </c>
      <c r="H390" s="18">
        <v>100000</v>
      </c>
      <c r="I390" s="18">
        <v>100</v>
      </c>
      <c r="J390" s="17">
        <f t="shared" si="23"/>
        <v>0.06</v>
      </c>
      <c r="K390" s="18">
        <f t="shared" si="24"/>
        <v>6000</v>
      </c>
    </row>
    <row r="391" spans="1:11" x14ac:dyDescent="0.35">
      <c r="A391" s="24" t="s">
        <v>233</v>
      </c>
      <c r="B391" s="24" t="str">
        <f t="shared" si="21"/>
        <v>Cơm thịt xá xíuCà chua</v>
      </c>
      <c r="C391" s="24" t="s">
        <v>8</v>
      </c>
      <c r="D391" t="s">
        <v>18</v>
      </c>
      <c r="E391" t="s">
        <v>331</v>
      </c>
      <c r="F391" t="s">
        <v>14</v>
      </c>
      <c r="G391" s="17">
        <v>2</v>
      </c>
      <c r="H391" s="18">
        <v>20000</v>
      </c>
      <c r="I391" s="18">
        <v>100</v>
      </c>
      <c r="J391" s="17">
        <f t="shared" si="23"/>
        <v>0.02</v>
      </c>
      <c r="K391" s="18">
        <f t="shared" si="24"/>
        <v>400</v>
      </c>
    </row>
    <row r="392" spans="1:11" x14ac:dyDescent="0.35">
      <c r="A392" s="24" t="s">
        <v>233</v>
      </c>
      <c r="B392" s="24" t="str">
        <f t="shared" si="21"/>
        <v>Cơm thịt xá xíuDưa leo</v>
      </c>
      <c r="C392" s="24" t="s">
        <v>8</v>
      </c>
      <c r="D392" t="s">
        <v>18</v>
      </c>
      <c r="E392" t="s">
        <v>331</v>
      </c>
      <c r="F392" t="s">
        <v>301</v>
      </c>
      <c r="G392" s="17">
        <v>3</v>
      </c>
      <c r="H392" s="18">
        <v>10000</v>
      </c>
      <c r="I392" s="18">
        <v>100</v>
      </c>
      <c r="J392" s="17">
        <f t="shared" si="23"/>
        <v>0.03</v>
      </c>
      <c r="K392" s="18">
        <f t="shared" si="24"/>
        <v>300</v>
      </c>
    </row>
    <row r="393" spans="1:11" x14ac:dyDescent="0.35">
      <c r="A393" s="24" t="s">
        <v>232</v>
      </c>
      <c r="B393" s="24" t="str">
        <f t="shared" si="21"/>
        <v>Cơm thịt xá xíuTrứng gà</v>
      </c>
      <c r="C393" s="24" t="s">
        <v>8</v>
      </c>
      <c r="D393" t="s">
        <v>18</v>
      </c>
      <c r="E393" t="s">
        <v>331</v>
      </c>
      <c r="F393" t="s">
        <v>13</v>
      </c>
      <c r="G393" s="17">
        <v>100</v>
      </c>
      <c r="H393" s="18">
        <v>2200</v>
      </c>
      <c r="I393" s="18">
        <v>100</v>
      </c>
      <c r="J393" s="17">
        <f t="shared" si="23"/>
        <v>1</v>
      </c>
      <c r="K393" s="18">
        <f t="shared" si="24"/>
        <v>2200</v>
      </c>
    </row>
    <row r="394" spans="1:11" x14ac:dyDescent="0.35">
      <c r="A394" s="24" t="s">
        <v>233</v>
      </c>
      <c r="B394" s="24" t="str">
        <f t="shared" si="21"/>
        <v>Cơm thịt xá xíuRong biển khô</v>
      </c>
      <c r="C394" s="24" t="s">
        <v>8</v>
      </c>
      <c r="D394" t="s">
        <v>18</v>
      </c>
      <c r="E394" t="s">
        <v>331</v>
      </c>
      <c r="F394" t="s">
        <v>332</v>
      </c>
      <c r="G394" s="17">
        <v>0.5</v>
      </c>
      <c r="H394" s="18">
        <v>200000</v>
      </c>
      <c r="I394" s="18">
        <v>150</v>
      </c>
      <c r="J394" s="17">
        <f t="shared" si="23"/>
        <v>3.3333333333333335E-3</v>
      </c>
      <c r="K394" s="18">
        <f t="shared" si="24"/>
        <v>666.66666666666663</v>
      </c>
    </row>
    <row r="395" spans="1:11" x14ac:dyDescent="0.35">
      <c r="A395" s="24" t="s">
        <v>232</v>
      </c>
      <c r="B395" s="24" t="str">
        <f t="shared" si="21"/>
        <v>Cơm thịt xá xíuTôm</v>
      </c>
      <c r="C395" s="24" t="s">
        <v>8</v>
      </c>
      <c r="D395" t="s">
        <v>18</v>
      </c>
      <c r="E395" t="s">
        <v>331</v>
      </c>
      <c r="F395" t="s">
        <v>37</v>
      </c>
      <c r="G395" s="17">
        <v>0.5</v>
      </c>
      <c r="H395" s="18">
        <v>130000</v>
      </c>
      <c r="I395" s="18">
        <v>150</v>
      </c>
      <c r="J395" s="17">
        <f t="shared" si="23"/>
        <v>3.3333333333333335E-3</v>
      </c>
      <c r="K395" s="18">
        <f t="shared" si="24"/>
        <v>433.33333333333331</v>
      </c>
    </row>
    <row r="396" spans="1:11" x14ac:dyDescent="0.35">
      <c r="A396" s="24" t="s">
        <v>232</v>
      </c>
      <c r="B396" s="24" t="str">
        <f t="shared" si="21"/>
        <v>Tim heo xào măngTim heo</v>
      </c>
      <c r="C396" s="24" t="s">
        <v>8</v>
      </c>
      <c r="D396" t="s">
        <v>19</v>
      </c>
      <c r="E396" t="s">
        <v>334</v>
      </c>
      <c r="F396" t="s">
        <v>333</v>
      </c>
      <c r="G396" s="17">
        <v>0.05</v>
      </c>
      <c r="H396" s="18">
        <v>50000</v>
      </c>
      <c r="I396" s="18">
        <v>1</v>
      </c>
      <c r="J396" s="17">
        <f t="shared" si="23"/>
        <v>0.05</v>
      </c>
      <c r="K396" s="18">
        <f t="shared" si="24"/>
        <v>2500</v>
      </c>
    </row>
    <row r="397" spans="1:11" x14ac:dyDescent="0.35">
      <c r="A397" s="24" t="s">
        <v>233</v>
      </c>
      <c r="B397" s="24" t="str">
        <f t="shared" si="21"/>
        <v>Tim heo xào măngMăng vàng</v>
      </c>
      <c r="C397" s="24" t="s">
        <v>8</v>
      </c>
      <c r="D397" t="s">
        <v>19</v>
      </c>
      <c r="E397" t="s">
        <v>334</v>
      </c>
      <c r="F397" t="s">
        <v>136</v>
      </c>
      <c r="G397" s="17">
        <v>0.05</v>
      </c>
      <c r="H397" s="18">
        <v>25000</v>
      </c>
      <c r="I397" s="18">
        <v>1</v>
      </c>
      <c r="J397" s="17">
        <f t="shared" si="23"/>
        <v>0.05</v>
      </c>
      <c r="K397" s="18">
        <f t="shared" si="24"/>
        <v>1250</v>
      </c>
    </row>
    <row r="398" spans="1:11" x14ac:dyDescent="0.35">
      <c r="A398" s="24" t="s">
        <v>232</v>
      </c>
      <c r="B398" s="24" t="str">
        <f t="shared" si="21"/>
        <v>Thịt heo ngâm mắmHeo đùi mông</v>
      </c>
      <c r="C398" s="24" t="s">
        <v>8</v>
      </c>
      <c r="D398" t="s">
        <v>18</v>
      </c>
      <c r="E398" t="s">
        <v>337</v>
      </c>
      <c r="F398" t="s">
        <v>30</v>
      </c>
      <c r="G398" s="17">
        <v>4.5</v>
      </c>
      <c r="H398" s="18">
        <v>100000</v>
      </c>
      <c r="I398" s="18">
        <v>100</v>
      </c>
      <c r="J398" s="17">
        <f t="shared" si="23"/>
        <v>4.4999999999999998E-2</v>
      </c>
      <c r="K398" s="18">
        <f t="shared" si="24"/>
        <v>4500</v>
      </c>
    </row>
    <row r="399" spans="1:11" x14ac:dyDescent="0.35">
      <c r="A399" s="24" t="s">
        <v>232</v>
      </c>
      <c r="B399" s="24" t="str">
        <f t="shared" si="21"/>
        <v>Chả cá chiên sả ớtChả cá tấm</v>
      </c>
      <c r="C399" s="24" t="s">
        <v>8</v>
      </c>
      <c r="D399" t="s">
        <v>19</v>
      </c>
      <c r="E399" t="s">
        <v>338</v>
      </c>
      <c r="F399" t="s">
        <v>339</v>
      </c>
      <c r="G399" s="17">
        <v>3.5</v>
      </c>
      <c r="H399" s="18">
        <v>90000</v>
      </c>
      <c r="I399" s="18">
        <v>100</v>
      </c>
      <c r="J399" s="17">
        <f t="shared" si="23"/>
        <v>3.5000000000000003E-2</v>
      </c>
      <c r="K399" s="18">
        <f t="shared" si="24"/>
        <v>3150</v>
      </c>
    </row>
    <row r="400" spans="1:11" x14ac:dyDescent="0.35">
      <c r="A400" s="24" t="s">
        <v>233</v>
      </c>
      <c r="B400" s="24" t="str">
        <f t="shared" si="21"/>
        <v>Chả cá chiên sả ớtSả</v>
      </c>
      <c r="C400" s="24" t="s">
        <v>8</v>
      </c>
      <c r="D400" t="s">
        <v>19</v>
      </c>
      <c r="E400" t="s">
        <v>338</v>
      </c>
      <c r="F400" t="s">
        <v>207</v>
      </c>
      <c r="G400" s="17">
        <v>0.5</v>
      </c>
      <c r="H400" s="18">
        <v>10000</v>
      </c>
      <c r="I400" s="18">
        <v>100</v>
      </c>
      <c r="J400" s="17">
        <f t="shared" si="23"/>
        <v>5.0000000000000001E-3</v>
      </c>
      <c r="K400" s="18">
        <f t="shared" si="24"/>
        <v>50</v>
      </c>
    </row>
    <row r="401" spans="1:14" x14ac:dyDescent="0.35">
      <c r="A401" s="24" t="s">
        <v>233</v>
      </c>
      <c r="B401" s="24" t="str">
        <f t="shared" si="21"/>
        <v>Canh chuaMăng chua</v>
      </c>
      <c r="C401" s="24" t="s">
        <v>8</v>
      </c>
      <c r="D401" t="s">
        <v>12</v>
      </c>
      <c r="E401" t="s">
        <v>340</v>
      </c>
      <c r="F401" t="s">
        <v>189</v>
      </c>
      <c r="G401" s="17">
        <v>2</v>
      </c>
      <c r="H401" s="18">
        <v>25000</v>
      </c>
      <c r="I401" s="18">
        <v>130</v>
      </c>
      <c r="J401" s="17">
        <f t="shared" si="23"/>
        <v>1.5384615384615385E-2</v>
      </c>
      <c r="K401" s="18">
        <f t="shared" si="24"/>
        <v>384.61538461538464</v>
      </c>
    </row>
    <row r="402" spans="1:14" x14ac:dyDescent="0.35">
      <c r="A402" s="24" t="s">
        <v>233</v>
      </c>
      <c r="B402" s="24" t="str">
        <f t="shared" si="21"/>
        <v>Canh chuaThơm</v>
      </c>
      <c r="C402" s="24" t="s">
        <v>8</v>
      </c>
      <c r="D402" t="s">
        <v>12</v>
      </c>
      <c r="E402" t="s">
        <v>340</v>
      </c>
      <c r="F402" t="s">
        <v>4</v>
      </c>
      <c r="G402" s="17">
        <v>1.5</v>
      </c>
      <c r="H402" s="18">
        <v>18000</v>
      </c>
      <c r="I402" s="18">
        <v>130</v>
      </c>
      <c r="J402" s="17">
        <f t="shared" si="23"/>
        <v>1.1538461538461539E-2</v>
      </c>
      <c r="K402" s="18">
        <f t="shared" si="24"/>
        <v>207.69230769230768</v>
      </c>
    </row>
    <row r="403" spans="1:14" x14ac:dyDescent="0.35">
      <c r="A403" s="24" t="s">
        <v>233</v>
      </c>
      <c r="B403" s="24" t="str">
        <f t="shared" si="21"/>
        <v>Canh chuaCà chua</v>
      </c>
      <c r="C403" s="24" t="s">
        <v>8</v>
      </c>
      <c r="D403" t="s">
        <v>12</v>
      </c>
      <c r="E403" t="s">
        <v>340</v>
      </c>
      <c r="F403" t="s">
        <v>14</v>
      </c>
      <c r="G403" s="17">
        <v>1</v>
      </c>
      <c r="H403" s="18">
        <v>25000</v>
      </c>
      <c r="I403" s="18">
        <v>130</v>
      </c>
      <c r="J403" s="17">
        <f t="shared" si="23"/>
        <v>7.6923076923076927E-3</v>
      </c>
      <c r="K403" s="18">
        <f t="shared" si="24"/>
        <v>192.30769230769232</v>
      </c>
      <c r="N403" s="30"/>
    </row>
    <row r="404" spans="1:14" x14ac:dyDescent="0.35">
      <c r="A404" s="24" t="s">
        <v>233</v>
      </c>
      <c r="B404" s="24" t="str">
        <f t="shared" si="21"/>
        <v>Canh chuaRau ngũ điếc</v>
      </c>
      <c r="C404" s="24" t="s">
        <v>8</v>
      </c>
      <c r="D404" t="s">
        <v>12</v>
      </c>
      <c r="E404" t="s">
        <v>340</v>
      </c>
      <c r="F404" t="s">
        <v>336</v>
      </c>
      <c r="G404" s="17">
        <v>0.5</v>
      </c>
      <c r="H404" s="18">
        <v>30000</v>
      </c>
      <c r="I404" s="18">
        <v>130</v>
      </c>
      <c r="J404" s="17">
        <f t="shared" si="23"/>
        <v>3.8461538461538464E-3</v>
      </c>
      <c r="K404" s="18">
        <f t="shared" si="24"/>
        <v>115.38461538461539</v>
      </c>
    </row>
    <row r="405" spans="1:14" x14ac:dyDescent="0.35">
      <c r="A405" s="24" t="s">
        <v>233</v>
      </c>
      <c r="B405" s="24" t="str">
        <f t="shared" si="21"/>
        <v>Canh chuaHành lá</v>
      </c>
      <c r="C405" s="24" t="s">
        <v>8</v>
      </c>
      <c r="D405" t="s">
        <v>12</v>
      </c>
      <c r="E405" t="s">
        <v>340</v>
      </c>
      <c r="F405" t="s">
        <v>24</v>
      </c>
      <c r="G405" s="17">
        <v>0.5</v>
      </c>
      <c r="H405" s="18">
        <v>25000</v>
      </c>
      <c r="I405" s="18">
        <v>130</v>
      </c>
      <c r="J405" s="17">
        <f t="shared" si="23"/>
        <v>3.8461538461538464E-3</v>
      </c>
      <c r="K405" s="18">
        <f t="shared" si="24"/>
        <v>96.15384615384616</v>
      </c>
    </row>
    <row r="406" spans="1:14" x14ac:dyDescent="0.35">
      <c r="A406" s="24" t="s">
        <v>233</v>
      </c>
      <c r="B406" s="24" t="str">
        <f t="shared" si="21"/>
        <v>Mít non nấu tômMít non</v>
      </c>
      <c r="C406" s="24" t="s">
        <v>8</v>
      </c>
      <c r="D406" t="s">
        <v>12</v>
      </c>
      <c r="E406" t="s">
        <v>342</v>
      </c>
      <c r="F406" t="s">
        <v>343</v>
      </c>
      <c r="G406" s="17">
        <v>22</v>
      </c>
      <c r="H406" s="18">
        <v>15000</v>
      </c>
      <c r="I406" s="18">
        <v>630</v>
      </c>
      <c r="J406" s="17">
        <f t="shared" si="23"/>
        <v>3.4920634920634921E-2</v>
      </c>
      <c r="K406" s="18">
        <f t="shared" si="24"/>
        <v>523.80952380952385</v>
      </c>
    </row>
    <row r="407" spans="1:14" x14ac:dyDescent="0.35">
      <c r="A407" s="24" t="s">
        <v>232</v>
      </c>
      <c r="B407" s="24" t="str">
        <f t="shared" si="21"/>
        <v>Mít non nấu tômTôm</v>
      </c>
      <c r="C407" s="24" t="s">
        <v>8</v>
      </c>
      <c r="D407" t="s">
        <v>12</v>
      </c>
      <c r="E407" t="s">
        <v>342</v>
      </c>
      <c r="F407" t="s">
        <v>37</v>
      </c>
      <c r="G407" s="17">
        <v>1.5</v>
      </c>
      <c r="H407" s="18">
        <v>130000</v>
      </c>
      <c r="I407" s="18">
        <v>630</v>
      </c>
      <c r="J407" s="17">
        <f t="shared" si="23"/>
        <v>2.3809523809523812E-3</v>
      </c>
      <c r="K407" s="18">
        <f t="shared" si="24"/>
        <v>309.52380952380952</v>
      </c>
    </row>
    <row r="408" spans="1:14" x14ac:dyDescent="0.35">
      <c r="A408" s="24" t="s">
        <v>233</v>
      </c>
      <c r="B408" s="24" t="str">
        <f t="shared" si="21"/>
        <v>Mít non nấu tômLá lót</v>
      </c>
      <c r="C408" s="24" t="s">
        <v>8</v>
      </c>
      <c r="D408" t="s">
        <v>12</v>
      </c>
      <c r="E408" t="s">
        <v>342</v>
      </c>
      <c r="F408" t="s">
        <v>341</v>
      </c>
      <c r="G408" s="17">
        <v>1</v>
      </c>
      <c r="H408" s="18">
        <v>25000</v>
      </c>
      <c r="I408" s="18">
        <v>630</v>
      </c>
      <c r="J408" s="17">
        <f t="shared" si="23"/>
        <v>1.5873015873015873E-3</v>
      </c>
      <c r="K408" s="18">
        <f t="shared" si="24"/>
        <v>39.682539682539684</v>
      </c>
    </row>
    <row r="409" spans="1:14" ht="15.5" x14ac:dyDescent="0.35">
      <c r="A409" s="24" t="s">
        <v>232</v>
      </c>
      <c r="B409" s="24" t="str">
        <f t="shared" si="21"/>
        <v>Thịt kho dưa muốiThịt heo nọng</v>
      </c>
      <c r="C409" s="24" t="s">
        <v>8</v>
      </c>
      <c r="D409" t="s">
        <v>18</v>
      </c>
      <c r="E409" t="s">
        <v>347</v>
      </c>
      <c r="F409" t="s">
        <v>346</v>
      </c>
      <c r="G409" s="39">
        <v>0.02</v>
      </c>
      <c r="H409" s="74">
        <v>65000</v>
      </c>
      <c r="I409" s="18">
        <v>1</v>
      </c>
      <c r="J409" s="17">
        <f t="shared" si="23"/>
        <v>0.02</v>
      </c>
      <c r="K409" s="18">
        <f t="shared" si="24"/>
        <v>1300</v>
      </c>
    </row>
    <row r="410" spans="1:14" ht="15.5" x14ac:dyDescent="0.35">
      <c r="A410" s="24" t="s">
        <v>232</v>
      </c>
      <c r="B410" s="24" t="str">
        <f t="shared" si="21"/>
        <v>Thịt kho dưa muốiThịt đùi mông</v>
      </c>
      <c r="C410" s="24" t="s">
        <v>8</v>
      </c>
      <c r="D410" t="s">
        <v>18</v>
      </c>
      <c r="E410" t="s">
        <v>347</v>
      </c>
      <c r="F410" t="s">
        <v>46</v>
      </c>
      <c r="G410" s="39">
        <v>0.02</v>
      </c>
      <c r="H410" s="74">
        <v>100000</v>
      </c>
      <c r="I410" s="18">
        <v>1</v>
      </c>
      <c r="J410" s="17">
        <f t="shared" si="23"/>
        <v>0.02</v>
      </c>
      <c r="K410" s="18">
        <f t="shared" si="24"/>
        <v>2000</v>
      </c>
    </row>
    <row r="411" spans="1:14" ht="15.5" x14ac:dyDescent="0.35">
      <c r="A411" s="24" t="s">
        <v>233</v>
      </c>
      <c r="B411" s="24" t="str">
        <f t="shared" si="21"/>
        <v>Thịt kho dưa muốiDưa trái muối</v>
      </c>
      <c r="C411" s="24" t="s">
        <v>8</v>
      </c>
      <c r="D411" t="s">
        <v>18</v>
      </c>
      <c r="E411" t="s">
        <v>347</v>
      </c>
      <c r="F411" s="39" t="s">
        <v>307</v>
      </c>
      <c r="G411" s="40">
        <v>0.05</v>
      </c>
      <c r="H411" s="18">
        <v>15000</v>
      </c>
      <c r="I411" s="18">
        <v>1</v>
      </c>
      <c r="J411" s="17">
        <f t="shared" si="23"/>
        <v>0.05</v>
      </c>
      <c r="K411" s="18">
        <f t="shared" si="24"/>
        <v>750</v>
      </c>
    </row>
    <row r="412" spans="1:14" ht="15.5" x14ac:dyDescent="0.35">
      <c r="A412" s="24" t="s">
        <v>233</v>
      </c>
      <c r="B412" s="24" t="str">
        <f t="shared" si="21"/>
        <v>Tôm thịt rim củ cảiBa chỉ ĐL</v>
      </c>
      <c r="C412" s="24" t="s">
        <v>8</v>
      </c>
      <c r="D412" t="s">
        <v>18</v>
      </c>
      <c r="E412" t="s">
        <v>352</v>
      </c>
      <c r="F412" s="39" t="s">
        <v>351</v>
      </c>
      <c r="G412" s="40">
        <v>0.03</v>
      </c>
      <c r="H412" s="18">
        <v>80000</v>
      </c>
      <c r="I412" s="18">
        <v>1</v>
      </c>
      <c r="J412" s="17">
        <f t="shared" si="23"/>
        <v>0.03</v>
      </c>
      <c r="K412" s="18">
        <f t="shared" si="24"/>
        <v>2400</v>
      </c>
    </row>
    <row r="413" spans="1:14" ht="15.5" x14ac:dyDescent="0.35">
      <c r="A413" s="24" t="s">
        <v>233</v>
      </c>
      <c r="B413" s="24" t="str">
        <f t="shared" si="21"/>
        <v>Tôm thịt rim củ cảiTôm</v>
      </c>
      <c r="C413" s="24" t="s">
        <v>8</v>
      </c>
      <c r="D413" t="s">
        <v>18</v>
      </c>
      <c r="E413" t="s">
        <v>352</v>
      </c>
      <c r="F413" s="39" t="s">
        <v>37</v>
      </c>
      <c r="G413" s="74">
        <v>1</v>
      </c>
      <c r="H413" s="18">
        <v>145000</v>
      </c>
      <c r="I413" s="18">
        <v>60</v>
      </c>
      <c r="J413" s="17">
        <f t="shared" si="23"/>
        <v>1.6666666666666666E-2</v>
      </c>
      <c r="K413" s="18">
        <f t="shared" si="24"/>
        <v>2416.6666666666665</v>
      </c>
    </row>
    <row r="414" spans="1:14" ht="15.5" x14ac:dyDescent="0.35">
      <c r="A414" s="24" t="s">
        <v>233</v>
      </c>
      <c r="B414" s="24" t="str">
        <f t="shared" si="21"/>
        <v>Tôm thịt rim củ cảiCủ cải</v>
      </c>
      <c r="C414" s="24" t="s">
        <v>8</v>
      </c>
      <c r="D414" t="s">
        <v>18</v>
      </c>
      <c r="E414" t="s">
        <v>352</v>
      </c>
      <c r="F414" s="39" t="s">
        <v>202</v>
      </c>
      <c r="G414" s="74">
        <v>0.03</v>
      </c>
      <c r="H414" s="18">
        <v>12000</v>
      </c>
      <c r="I414" s="18">
        <v>1</v>
      </c>
      <c r="J414" s="17">
        <f t="shared" si="23"/>
        <v>0.03</v>
      </c>
      <c r="K414" s="18">
        <f t="shared" si="24"/>
        <v>360</v>
      </c>
    </row>
    <row r="415" spans="1:14" ht="15.5" x14ac:dyDescent="0.35">
      <c r="A415" s="24" t="s">
        <v>233</v>
      </c>
      <c r="B415" s="24" t="str">
        <f t="shared" si="21"/>
        <v>Cải thìa xàoCải thìa</v>
      </c>
      <c r="C415" s="24" t="s">
        <v>8</v>
      </c>
      <c r="D415" t="s">
        <v>47</v>
      </c>
      <c r="E415" t="s">
        <v>353</v>
      </c>
      <c r="F415" s="39" t="s">
        <v>350</v>
      </c>
      <c r="G415" s="74">
        <v>9.5</v>
      </c>
      <c r="H415" s="18">
        <v>10000</v>
      </c>
      <c r="I415" s="18">
        <v>100</v>
      </c>
      <c r="J415" s="17">
        <f t="shared" si="23"/>
        <v>9.5000000000000001E-2</v>
      </c>
      <c r="K415" s="18">
        <f t="shared" si="24"/>
        <v>950</v>
      </c>
    </row>
    <row r="416" spans="1:14" ht="15.5" x14ac:dyDescent="0.35">
      <c r="A416" s="24" t="s">
        <v>233</v>
      </c>
      <c r="B416" s="24" t="str">
        <f t="shared" si="21"/>
        <v>Đậu ve xàoĐậu ve</v>
      </c>
      <c r="C416" s="24" t="s">
        <v>8</v>
      </c>
      <c r="D416" t="s">
        <v>47</v>
      </c>
      <c r="E416" t="s">
        <v>356</v>
      </c>
      <c r="F416" s="39" t="s">
        <v>327</v>
      </c>
      <c r="G416" s="74">
        <v>8.5</v>
      </c>
      <c r="H416" s="18">
        <v>15000</v>
      </c>
      <c r="I416" s="18">
        <v>100</v>
      </c>
      <c r="J416" s="17">
        <f t="shared" si="23"/>
        <v>8.5000000000000006E-2</v>
      </c>
      <c r="K416" s="18">
        <f t="shared" si="24"/>
        <v>1275</v>
      </c>
    </row>
    <row r="417" spans="1:11" ht="15.5" x14ac:dyDescent="0.35">
      <c r="A417" s="24" t="s">
        <v>232</v>
      </c>
      <c r="B417" s="24" t="str">
        <f t="shared" si="21"/>
        <v>Tôm thịt rim mặnTôm ~150c/kg</v>
      </c>
      <c r="C417" s="24" t="s">
        <v>8</v>
      </c>
      <c r="D417" t="s">
        <v>18</v>
      </c>
      <c r="E417" t="s">
        <v>396</v>
      </c>
      <c r="F417" s="39" t="s">
        <v>365</v>
      </c>
      <c r="G417" s="74">
        <v>1</v>
      </c>
      <c r="H417" s="18">
        <v>90000</v>
      </c>
      <c r="I417" s="18">
        <v>37</v>
      </c>
      <c r="J417" s="17">
        <f t="shared" si="23"/>
        <v>2.7027027027027029E-2</v>
      </c>
      <c r="K417" s="18">
        <f t="shared" si="24"/>
        <v>2432.4324324324325</v>
      </c>
    </row>
    <row r="418" spans="1:11" ht="15.5" x14ac:dyDescent="0.35">
      <c r="A418" s="24" t="s">
        <v>232</v>
      </c>
      <c r="B418" s="24" t="str">
        <f t="shared" ref="B418:B469" si="25">E418&amp;F418</f>
        <v>Tôm thịt rim mặnNạc đùi ĐL</v>
      </c>
      <c r="C418" s="24" t="s">
        <v>8</v>
      </c>
      <c r="D418" t="s">
        <v>18</v>
      </c>
      <c r="E418" t="s">
        <v>396</v>
      </c>
      <c r="F418" s="39" t="s">
        <v>385</v>
      </c>
      <c r="G418" s="40">
        <v>0.04</v>
      </c>
      <c r="H418" s="18">
        <v>98000</v>
      </c>
      <c r="I418" s="18">
        <v>1</v>
      </c>
      <c r="J418" s="17">
        <f t="shared" si="23"/>
        <v>0.04</v>
      </c>
      <c r="K418" s="18">
        <f t="shared" si="24"/>
        <v>3920</v>
      </c>
    </row>
    <row r="419" spans="1:11" ht="15.5" x14ac:dyDescent="0.35">
      <c r="A419" s="24" t="s">
        <v>232</v>
      </c>
      <c r="B419" s="24" t="str">
        <f t="shared" si="25"/>
        <v>Lưỡi heo xào thơm càLưỡi heo</v>
      </c>
      <c r="C419" s="24" t="s">
        <v>8</v>
      </c>
      <c r="D419" t="s">
        <v>18</v>
      </c>
      <c r="E419" t="s">
        <v>397</v>
      </c>
      <c r="F419" s="39" t="s">
        <v>383</v>
      </c>
      <c r="G419" s="92">
        <v>5.5E-2</v>
      </c>
      <c r="H419" s="18">
        <v>65000</v>
      </c>
      <c r="I419" s="18">
        <v>1</v>
      </c>
      <c r="J419" s="17">
        <f t="shared" si="23"/>
        <v>5.5E-2</v>
      </c>
      <c r="K419" s="18">
        <f t="shared" si="24"/>
        <v>3575</v>
      </c>
    </row>
    <row r="420" spans="1:11" ht="15.5" x14ac:dyDescent="0.35">
      <c r="A420" s="24" t="s">
        <v>233</v>
      </c>
      <c r="B420" s="24" t="str">
        <f t="shared" si="25"/>
        <v>Lưỡi heo xào thơm càThơm</v>
      </c>
      <c r="C420" s="24" t="s">
        <v>8</v>
      </c>
      <c r="D420" t="s">
        <v>18</v>
      </c>
      <c r="E420" t="s">
        <v>397</v>
      </c>
      <c r="F420" s="39" t="s">
        <v>4</v>
      </c>
      <c r="G420" s="92">
        <v>2.5000000000000001E-2</v>
      </c>
      <c r="H420" s="18">
        <v>18000</v>
      </c>
      <c r="I420" s="18">
        <v>1</v>
      </c>
      <c r="J420" s="17">
        <f t="shared" si="23"/>
        <v>2.5000000000000001E-2</v>
      </c>
      <c r="K420" s="18">
        <f t="shared" si="24"/>
        <v>450</v>
      </c>
    </row>
    <row r="421" spans="1:11" ht="15.5" x14ac:dyDescent="0.35">
      <c r="A421" s="24" t="s">
        <v>233</v>
      </c>
      <c r="B421" s="24" t="str">
        <f t="shared" si="25"/>
        <v>Lưỡi heo xào thơm càCà chua</v>
      </c>
      <c r="C421" s="24" t="s">
        <v>8</v>
      </c>
      <c r="D421" t="s">
        <v>18</v>
      </c>
      <c r="E421" t="s">
        <v>397</v>
      </c>
      <c r="F421" s="39" t="s">
        <v>14</v>
      </c>
      <c r="G421" s="92">
        <v>0.02</v>
      </c>
      <c r="H421" s="18">
        <v>15000</v>
      </c>
      <c r="I421" s="18">
        <v>1</v>
      </c>
      <c r="J421" s="17">
        <f t="shared" si="23"/>
        <v>0.02</v>
      </c>
      <c r="K421" s="18">
        <f t="shared" si="24"/>
        <v>300</v>
      </c>
    </row>
    <row r="422" spans="1:11" ht="15.5" x14ac:dyDescent="0.35">
      <c r="A422" s="24" t="s">
        <v>233</v>
      </c>
      <c r="B422" s="24" t="str">
        <f t="shared" si="25"/>
        <v>Lưỡi heo xào thơm càNgò rí</v>
      </c>
      <c r="C422" s="24" t="s">
        <v>8</v>
      </c>
      <c r="D422" t="s">
        <v>18</v>
      </c>
      <c r="E422" t="s">
        <v>397</v>
      </c>
      <c r="F422" s="39" t="s">
        <v>369</v>
      </c>
      <c r="G422" s="92">
        <v>0.1</v>
      </c>
      <c r="H422" s="18">
        <v>35000</v>
      </c>
      <c r="I422" s="18">
        <v>20</v>
      </c>
      <c r="J422" s="17">
        <f t="shared" si="23"/>
        <v>5.0000000000000001E-3</v>
      </c>
      <c r="K422" s="18">
        <f t="shared" si="24"/>
        <v>175</v>
      </c>
    </row>
    <row r="423" spans="1:11" ht="15.5" x14ac:dyDescent="0.35">
      <c r="A423" s="24" t="s">
        <v>233</v>
      </c>
      <c r="B423" s="24" t="str">
        <f t="shared" si="25"/>
        <v>Bún chayCà rốt</v>
      </c>
      <c r="C423" s="24" t="s">
        <v>393</v>
      </c>
      <c r="D423" t="s">
        <v>18</v>
      </c>
      <c r="E423" t="s">
        <v>375</v>
      </c>
      <c r="F423" s="39" t="s">
        <v>78</v>
      </c>
      <c r="G423" s="74">
        <v>0.5</v>
      </c>
      <c r="H423" s="18">
        <v>15000</v>
      </c>
      <c r="I423" s="18">
        <v>14</v>
      </c>
      <c r="J423" s="17">
        <f t="shared" si="23"/>
        <v>3.5714285714285712E-2</v>
      </c>
      <c r="K423" s="18">
        <f t="shared" si="24"/>
        <v>535.71428571428567</v>
      </c>
    </row>
    <row r="424" spans="1:11" ht="15.5" x14ac:dyDescent="0.35">
      <c r="A424" s="24" t="s">
        <v>233</v>
      </c>
      <c r="B424" s="24" t="str">
        <f t="shared" si="25"/>
        <v>Bún chayCủ cải</v>
      </c>
      <c r="C424" s="24" t="s">
        <v>393</v>
      </c>
      <c r="D424" t="s">
        <v>18</v>
      </c>
      <c r="E424" t="s">
        <v>375</v>
      </c>
      <c r="F424" s="39" t="s">
        <v>202</v>
      </c>
      <c r="G424" s="74">
        <v>0.5</v>
      </c>
      <c r="H424" s="18">
        <v>10000</v>
      </c>
      <c r="I424" s="18">
        <v>14</v>
      </c>
      <c r="J424" s="17">
        <f t="shared" si="23"/>
        <v>3.5714285714285712E-2</v>
      </c>
      <c r="K424" s="18">
        <f t="shared" si="24"/>
        <v>357.14285714285717</v>
      </c>
    </row>
    <row r="425" spans="1:11" ht="15.5" x14ac:dyDescent="0.35">
      <c r="A425" s="24" t="s">
        <v>233</v>
      </c>
      <c r="B425" s="24" t="str">
        <f t="shared" si="25"/>
        <v>Bún chayBí đỏ</v>
      </c>
      <c r="C425" s="24" t="s">
        <v>393</v>
      </c>
      <c r="D425" t="s">
        <v>18</v>
      </c>
      <c r="E425" t="s">
        <v>375</v>
      </c>
      <c r="F425" s="39" t="s">
        <v>103</v>
      </c>
      <c r="G425" s="74">
        <v>0.5</v>
      </c>
      <c r="H425" s="18">
        <v>12000</v>
      </c>
      <c r="I425" s="18">
        <v>14</v>
      </c>
      <c r="J425" s="17">
        <f t="shared" si="23"/>
        <v>3.5714285714285712E-2</v>
      </c>
      <c r="K425" s="18">
        <f t="shared" si="24"/>
        <v>428.57142857142856</v>
      </c>
    </row>
    <row r="426" spans="1:11" ht="15.5" x14ac:dyDescent="0.35">
      <c r="A426" s="24" t="s">
        <v>233</v>
      </c>
      <c r="B426" s="24" t="str">
        <f t="shared" si="25"/>
        <v>Bún chayPhù chúc khô</v>
      </c>
      <c r="C426" s="24" t="s">
        <v>393</v>
      </c>
      <c r="D426" t="s">
        <v>18</v>
      </c>
      <c r="E426" t="s">
        <v>375</v>
      </c>
      <c r="F426" s="39" t="s">
        <v>355</v>
      </c>
      <c r="G426" s="40">
        <v>0.15</v>
      </c>
      <c r="H426" s="18">
        <v>80000</v>
      </c>
      <c r="I426" s="18">
        <v>14</v>
      </c>
      <c r="J426" s="17">
        <f t="shared" si="23"/>
        <v>1.0714285714285714E-2</v>
      </c>
      <c r="K426" s="18">
        <f t="shared" si="24"/>
        <v>857.14285714285711</v>
      </c>
    </row>
    <row r="427" spans="1:11" ht="15.5" x14ac:dyDescent="0.35">
      <c r="A427" s="24" t="s">
        <v>233</v>
      </c>
      <c r="B427" s="24" t="str">
        <f t="shared" si="25"/>
        <v>Bún chayChả chay</v>
      </c>
      <c r="C427" s="24" t="s">
        <v>393</v>
      </c>
      <c r="D427" t="s">
        <v>18</v>
      </c>
      <c r="E427" t="s">
        <v>375</v>
      </c>
      <c r="F427" s="39" t="s">
        <v>344</v>
      </c>
      <c r="G427" s="74">
        <v>0.5</v>
      </c>
      <c r="H427" s="18">
        <v>80000</v>
      </c>
      <c r="I427" s="18">
        <v>14</v>
      </c>
      <c r="J427" s="17">
        <f t="shared" si="23"/>
        <v>3.5714285714285712E-2</v>
      </c>
      <c r="K427" s="18">
        <f t="shared" si="24"/>
        <v>2857.1428571428573</v>
      </c>
    </row>
    <row r="428" spans="1:11" ht="15.5" x14ac:dyDescent="0.35">
      <c r="A428" s="24" t="s">
        <v>233</v>
      </c>
      <c r="B428" s="24" t="str">
        <f t="shared" si="25"/>
        <v>Bún chayNấm dai</v>
      </c>
      <c r="C428" s="24" t="s">
        <v>393</v>
      </c>
      <c r="D428" t="s">
        <v>18</v>
      </c>
      <c r="E428" t="s">
        <v>375</v>
      </c>
      <c r="F428" s="39" t="s">
        <v>325</v>
      </c>
      <c r="G428" s="74">
        <v>0.5</v>
      </c>
      <c r="H428" s="18">
        <v>45000</v>
      </c>
      <c r="I428" s="18">
        <v>14</v>
      </c>
      <c r="J428" s="17">
        <f t="shared" si="23"/>
        <v>3.5714285714285712E-2</v>
      </c>
      <c r="K428" s="18">
        <f t="shared" si="24"/>
        <v>1607.1428571428571</v>
      </c>
    </row>
    <row r="429" spans="1:11" ht="15.5" x14ac:dyDescent="0.35">
      <c r="A429" s="24" t="s">
        <v>233</v>
      </c>
      <c r="B429" s="24" t="str">
        <f t="shared" si="25"/>
        <v>Bún xào căn cuộnCăn cuộn</v>
      </c>
      <c r="C429" s="24" t="s">
        <v>393</v>
      </c>
      <c r="D429" t="s">
        <v>18</v>
      </c>
      <c r="E429" t="s">
        <v>398</v>
      </c>
      <c r="F429" s="39" t="s">
        <v>360</v>
      </c>
      <c r="G429" s="17">
        <v>12</v>
      </c>
      <c r="I429" s="18">
        <v>10</v>
      </c>
      <c r="J429" s="17">
        <f t="shared" si="23"/>
        <v>1.2</v>
      </c>
      <c r="K429" s="18">
        <f t="shared" si="24"/>
        <v>0</v>
      </c>
    </row>
    <row r="430" spans="1:11" ht="15.5" x14ac:dyDescent="0.35">
      <c r="A430" s="24" t="s">
        <v>233</v>
      </c>
      <c r="B430" s="24" t="str">
        <f t="shared" si="25"/>
        <v>Bún xào căn cuộnBún khô</v>
      </c>
      <c r="C430" s="24" t="s">
        <v>393</v>
      </c>
      <c r="D430" t="s">
        <v>18</v>
      </c>
      <c r="E430" t="s">
        <v>398</v>
      </c>
      <c r="F430" s="39" t="s">
        <v>368</v>
      </c>
      <c r="G430" s="17">
        <v>0.03</v>
      </c>
      <c r="I430" s="18">
        <v>10</v>
      </c>
      <c r="J430" s="17">
        <f t="shared" si="23"/>
        <v>3.0000000000000001E-3</v>
      </c>
      <c r="K430" s="18">
        <f t="shared" si="24"/>
        <v>0</v>
      </c>
    </row>
    <row r="431" spans="1:11" ht="15.5" x14ac:dyDescent="0.35">
      <c r="A431" s="24" t="s">
        <v>233</v>
      </c>
      <c r="B431" s="24" t="str">
        <f t="shared" si="25"/>
        <v>Bún xào căn cuộnNgò rí</v>
      </c>
      <c r="C431" s="24" t="s">
        <v>393</v>
      </c>
      <c r="D431" t="s">
        <v>18</v>
      </c>
      <c r="E431" t="s">
        <v>398</v>
      </c>
      <c r="F431" s="39" t="s">
        <v>369</v>
      </c>
      <c r="G431" s="17">
        <v>0.1</v>
      </c>
      <c r="H431" s="18">
        <v>35000</v>
      </c>
      <c r="I431" s="18">
        <v>10</v>
      </c>
      <c r="J431" s="17">
        <f t="shared" si="23"/>
        <v>0.01</v>
      </c>
      <c r="K431" s="18">
        <f t="shared" si="24"/>
        <v>350</v>
      </c>
    </row>
    <row r="432" spans="1:11" ht="15.5" x14ac:dyDescent="0.35">
      <c r="A432" s="24" t="s">
        <v>232</v>
      </c>
      <c r="B432" s="24" t="str">
        <f t="shared" si="25"/>
        <v>Xíu  mại trứng cútChả quết</v>
      </c>
      <c r="C432" s="24" t="s">
        <v>8</v>
      </c>
      <c r="D432" t="s">
        <v>18</v>
      </c>
      <c r="E432" t="s">
        <v>435</v>
      </c>
      <c r="F432" s="39" t="s">
        <v>166</v>
      </c>
      <c r="G432" s="89">
        <v>0.6</v>
      </c>
      <c r="H432" s="18">
        <v>120000</v>
      </c>
      <c r="I432" s="18">
        <v>75</v>
      </c>
      <c r="J432" s="17">
        <f t="shared" si="23"/>
        <v>8.0000000000000002E-3</v>
      </c>
      <c r="K432" s="18">
        <f t="shared" si="24"/>
        <v>960</v>
      </c>
    </row>
    <row r="433" spans="1:11" ht="15.5" x14ac:dyDescent="0.35">
      <c r="A433" s="24" t="s">
        <v>232</v>
      </c>
      <c r="B433" s="24" t="str">
        <f t="shared" si="25"/>
        <v>Xíu  mại trứng cútThịt nọng xay mịn</v>
      </c>
      <c r="C433" s="24" t="s">
        <v>8</v>
      </c>
      <c r="D433" t="s">
        <v>18</v>
      </c>
      <c r="E433" t="s">
        <v>435</v>
      </c>
      <c r="F433" s="39" t="s">
        <v>425</v>
      </c>
      <c r="G433" s="89">
        <v>1.7</v>
      </c>
      <c r="H433" s="18">
        <v>70000</v>
      </c>
      <c r="I433" s="18">
        <v>75</v>
      </c>
      <c r="J433" s="17">
        <f t="shared" si="23"/>
        <v>2.2666666666666665E-2</v>
      </c>
      <c r="K433" s="18">
        <f t="shared" si="24"/>
        <v>1586.6666666666667</v>
      </c>
    </row>
    <row r="434" spans="1:11" ht="15.5" x14ac:dyDescent="0.35">
      <c r="A434" s="24" t="s">
        <v>232</v>
      </c>
      <c r="B434" s="24" t="str">
        <f t="shared" si="25"/>
        <v>Xíu  mại trứng cúttrứng cút lọt sẵn</v>
      </c>
      <c r="C434" s="24" t="s">
        <v>8</v>
      </c>
      <c r="D434" t="s">
        <v>18</v>
      </c>
      <c r="E434" t="s">
        <v>435</v>
      </c>
      <c r="F434" s="39" t="s">
        <v>424</v>
      </c>
      <c r="G434" s="89">
        <v>150</v>
      </c>
      <c r="H434" s="18">
        <v>600</v>
      </c>
      <c r="I434" s="18">
        <v>75</v>
      </c>
      <c r="J434" s="17">
        <f t="shared" si="23"/>
        <v>2</v>
      </c>
      <c r="K434" s="18">
        <f t="shared" si="24"/>
        <v>1200</v>
      </c>
    </row>
    <row r="435" spans="1:11" ht="15.5" x14ac:dyDescent="0.35">
      <c r="A435" s="24" t="s">
        <v>298</v>
      </c>
      <c r="B435" s="24" t="str">
        <f t="shared" si="25"/>
        <v>Xíu  mại trứng cútBún tàu</v>
      </c>
      <c r="C435" s="24" t="s">
        <v>8</v>
      </c>
      <c r="D435" t="s">
        <v>18</v>
      </c>
      <c r="E435" t="s">
        <v>435</v>
      </c>
      <c r="F435" s="39" t="s">
        <v>417</v>
      </c>
      <c r="G435" s="89">
        <v>0.1</v>
      </c>
      <c r="H435" s="18">
        <v>30000</v>
      </c>
      <c r="I435" s="18">
        <v>75</v>
      </c>
      <c r="J435" s="17">
        <f t="shared" si="23"/>
        <v>1.3333333333333335E-3</v>
      </c>
      <c r="K435" s="18">
        <f t="shared" si="24"/>
        <v>40</v>
      </c>
    </row>
    <row r="436" spans="1:11" ht="15.5" x14ac:dyDescent="0.35">
      <c r="A436" s="24" t="s">
        <v>298</v>
      </c>
      <c r="B436" s="24" t="str">
        <f t="shared" si="25"/>
        <v>Xíu  mại trứng cútNấm mèo khô</v>
      </c>
      <c r="C436" s="24" t="s">
        <v>8</v>
      </c>
      <c r="D436" t="s">
        <v>18</v>
      </c>
      <c r="E436" t="s">
        <v>435</v>
      </c>
      <c r="F436" s="39" t="s">
        <v>357</v>
      </c>
      <c r="G436" s="89">
        <v>0.05</v>
      </c>
      <c r="H436" s="18">
        <v>120000</v>
      </c>
      <c r="I436" s="18">
        <v>75</v>
      </c>
      <c r="J436" s="17">
        <f t="shared" si="23"/>
        <v>6.6666666666666675E-4</v>
      </c>
      <c r="K436" s="18">
        <f t="shared" si="24"/>
        <v>80</v>
      </c>
    </row>
    <row r="437" spans="1:11" ht="15.5" x14ac:dyDescent="0.35">
      <c r="A437" s="24" t="s">
        <v>298</v>
      </c>
      <c r="B437" s="24" t="str">
        <f t="shared" si="25"/>
        <v>Xíu  mại trứng cútHành lá</v>
      </c>
      <c r="C437" s="24" t="s">
        <v>8</v>
      </c>
      <c r="D437" t="s">
        <v>18</v>
      </c>
      <c r="E437" t="s">
        <v>435</v>
      </c>
      <c r="F437" s="39" t="s">
        <v>24</v>
      </c>
      <c r="G437" s="89">
        <v>0.4</v>
      </c>
      <c r="H437" s="18">
        <v>20000</v>
      </c>
      <c r="I437" s="18">
        <v>75</v>
      </c>
      <c r="J437" s="17">
        <f t="shared" si="23"/>
        <v>5.333333333333334E-3</v>
      </c>
      <c r="K437" s="18">
        <f t="shared" si="24"/>
        <v>106.66666666666667</v>
      </c>
    </row>
    <row r="438" spans="1:11" ht="15.5" x14ac:dyDescent="0.35">
      <c r="A438" s="24" t="s">
        <v>298</v>
      </c>
      <c r="B438" s="24" t="str">
        <f t="shared" si="25"/>
        <v>Xíu  mại trứng cútCà chua</v>
      </c>
      <c r="C438" s="24" t="s">
        <v>8</v>
      </c>
      <c r="D438" t="s">
        <v>18</v>
      </c>
      <c r="E438" t="s">
        <v>435</v>
      </c>
      <c r="F438" s="39" t="s">
        <v>14</v>
      </c>
      <c r="G438" s="89">
        <v>0.3</v>
      </c>
      <c r="H438" s="18">
        <v>15000</v>
      </c>
      <c r="I438" s="18">
        <v>75</v>
      </c>
      <c r="J438" s="17">
        <f t="shared" ref="J438:J501" si="26">G438/I438</f>
        <v>4.0000000000000001E-3</v>
      </c>
      <c r="K438" s="18">
        <f t="shared" si="24"/>
        <v>60</v>
      </c>
    </row>
    <row r="439" spans="1:11" ht="15.5" x14ac:dyDescent="0.35">
      <c r="A439" s="24" t="s">
        <v>232</v>
      </c>
      <c r="B439" s="24" t="str">
        <f t="shared" si="25"/>
        <v>Mực xào thơm càMực tép</v>
      </c>
      <c r="C439" s="24" t="s">
        <v>8</v>
      </c>
      <c r="D439" t="s">
        <v>18</v>
      </c>
      <c r="E439" s="39" t="s">
        <v>436</v>
      </c>
      <c r="F439" s="39" t="s">
        <v>427</v>
      </c>
      <c r="G439" s="89">
        <v>2.7</v>
      </c>
      <c r="H439" s="18">
        <v>120000</v>
      </c>
      <c r="I439" s="18">
        <v>78</v>
      </c>
      <c r="J439" s="17">
        <f t="shared" si="26"/>
        <v>3.4615384615384617E-2</v>
      </c>
      <c r="K439" s="18">
        <f t="shared" si="24"/>
        <v>4153.8461538461543</v>
      </c>
    </row>
    <row r="440" spans="1:11" ht="15.5" x14ac:dyDescent="0.35">
      <c r="A440" s="24" t="s">
        <v>298</v>
      </c>
      <c r="B440" s="24" t="str">
        <f t="shared" si="25"/>
        <v>Mực xào thơm càThơm</v>
      </c>
      <c r="C440" s="24" t="s">
        <v>8</v>
      </c>
      <c r="D440" t="s">
        <v>18</v>
      </c>
      <c r="E440" s="39" t="s">
        <v>436</v>
      </c>
      <c r="F440" s="39" t="s">
        <v>4</v>
      </c>
      <c r="G440" s="89">
        <v>1.5</v>
      </c>
      <c r="H440" s="18">
        <v>22000</v>
      </c>
      <c r="I440" s="18">
        <v>78</v>
      </c>
      <c r="J440" s="17">
        <f t="shared" si="26"/>
        <v>1.9230769230769232E-2</v>
      </c>
      <c r="K440" s="18">
        <f t="shared" si="24"/>
        <v>423.07692307692309</v>
      </c>
    </row>
    <row r="441" spans="1:11" ht="15.5" x14ac:dyDescent="0.35">
      <c r="A441" s="24" t="s">
        <v>298</v>
      </c>
      <c r="B441" s="24" t="str">
        <f t="shared" si="25"/>
        <v>Mực xào thơm càCà chua</v>
      </c>
      <c r="C441" s="24" t="s">
        <v>8</v>
      </c>
      <c r="D441" t="s">
        <v>18</v>
      </c>
      <c r="E441" s="39" t="s">
        <v>436</v>
      </c>
      <c r="F441" s="39" t="s">
        <v>14</v>
      </c>
      <c r="G441" s="89">
        <v>0.5</v>
      </c>
      <c r="H441" s="18">
        <v>15000</v>
      </c>
      <c r="I441" s="18">
        <v>78</v>
      </c>
      <c r="J441" s="17">
        <f t="shared" si="26"/>
        <v>6.41025641025641E-3</v>
      </c>
      <c r="K441" s="18">
        <f t="shared" si="24"/>
        <v>96.15384615384616</v>
      </c>
    </row>
    <row r="442" spans="1:11" ht="15.5" x14ac:dyDescent="0.35">
      <c r="A442" s="24" t="s">
        <v>298</v>
      </c>
      <c r="B442" s="24" t="str">
        <f t="shared" si="25"/>
        <v>Mực xào thơm càHành tây</v>
      </c>
      <c r="C442" s="24" t="s">
        <v>8</v>
      </c>
      <c r="D442" t="s">
        <v>18</v>
      </c>
      <c r="E442" s="39" t="s">
        <v>436</v>
      </c>
      <c r="F442" s="39" t="s">
        <v>35</v>
      </c>
      <c r="G442" s="89">
        <v>1.5</v>
      </c>
      <c r="H442" s="18">
        <v>12000</v>
      </c>
      <c r="I442" s="18">
        <v>78</v>
      </c>
      <c r="J442" s="17">
        <f t="shared" si="26"/>
        <v>1.9230769230769232E-2</v>
      </c>
      <c r="K442" s="18">
        <f t="shared" si="24"/>
        <v>230.76923076923077</v>
      </c>
    </row>
    <row r="443" spans="1:11" ht="15.5" x14ac:dyDescent="0.35">
      <c r="A443" s="24" t="s">
        <v>298</v>
      </c>
      <c r="B443" s="24" t="str">
        <f t="shared" si="25"/>
        <v>Mực xào thơm càNgò gai</v>
      </c>
      <c r="C443" s="24" t="s">
        <v>8</v>
      </c>
      <c r="D443" t="s">
        <v>18</v>
      </c>
      <c r="E443" s="39" t="s">
        <v>436</v>
      </c>
      <c r="F443" s="39" t="s">
        <v>101</v>
      </c>
      <c r="G443" s="89">
        <v>0.1</v>
      </c>
      <c r="H443" s="18">
        <v>35000</v>
      </c>
      <c r="I443" s="18">
        <v>78</v>
      </c>
      <c r="J443" s="17">
        <f t="shared" si="26"/>
        <v>1.2820512820512821E-3</v>
      </c>
      <c r="K443" s="18">
        <f t="shared" si="24"/>
        <v>44.871794871794869</v>
      </c>
    </row>
    <row r="444" spans="1:11" ht="15.5" x14ac:dyDescent="0.35">
      <c r="A444" s="24" t="s">
        <v>298</v>
      </c>
      <c r="B444" s="24" t="str">
        <f t="shared" si="25"/>
        <v>Giò heo kho măngBắp giò heo</v>
      </c>
      <c r="C444" s="24" t="s">
        <v>8</v>
      </c>
      <c r="D444" t="s">
        <v>18</v>
      </c>
      <c r="E444" s="39" t="s">
        <v>278</v>
      </c>
      <c r="F444" s="39" t="s">
        <v>421</v>
      </c>
      <c r="G444" s="89">
        <v>10.5</v>
      </c>
      <c r="H444" s="18">
        <v>59000</v>
      </c>
      <c r="I444" s="18">
        <v>100</v>
      </c>
      <c r="J444" s="17">
        <f t="shared" si="26"/>
        <v>0.105</v>
      </c>
      <c r="K444" s="18">
        <f t="shared" si="24"/>
        <v>6195</v>
      </c>
    </row>
    <row r="445" spans="1:11" ht="15.5" x14ac:dyDescent="0.35">
      <c r="A445" s="24" t="s">
        <v>298</v>
      </c>
      <c r="B445" s="24" t="str">
        <f t="shared" si="25"/>
        <v>Giò heo kho măngSả</v>
      </c>
      <c r="C445" s="24" t="s">
        <v>8</v>
      </c>
      <c r="D445" t="s">
        <v>18</v>
      </c>
      <c r="E445" s="39" t="s">
        <v>278</v>
      </c>
      <c r="F445" s="39" t="s">
        <v>207</v>
      </c>
      <c r="G445" s="89">
        <v>0.3</v>
      </c>
      <c r="H445" s="18">
        <v>22000</v>
      </c>
      <c r="I445" s="18">
        <v>100</v>
      </c>
      <c r="J445" s="17">
        <f t="shared" si="26"/>
        <v>3.0000000000000001E-3</v>
      </c>
      <c r="K445" s="18">
        <f t="shared" si="24"/>
        <v>66</v>
      </c>
    </row>
    <row r="446" spans="1:11" ht="15.5" x14ac:dyDescent="0.35">
      <c r="A446" s="24" t="s">
        <v>298</v>
      </c>
      <c r="B446" s="24" t="str">
        <f t="shared" si="25"/>
        <v>Giò heo kho măngMăng vàng cục</v>
      </c>
      <c r="C446" s="24" t="s">
        <v>8</v>
      </c>
      <c r="D446" t="s">
        <v>18</v>
      </c>
      <c r="E446" s="39" t="s">
        <v>278</v>
      </c>
      <c r="F446" s="39" t="s">
        <v>388</v>
      </c>
      <c r="G446" s="89">
        <v>3</v>
      </c>
      <c r="H446" s="18">
        <v>25000</v>
      </c>
      <c r="I446" s="18">
        <v>100</v>
      </c>
      <c r="J446" s="17">
        <f t="shared" si="26"/>
        <v>0.03</v>
      </c>
      <c r="K446" s="18">
        <f t="shared" si="24"/>
        <v>750</v>
      </c>
    </row>
    <row r="447" spans="1:11" ht="15.5" x14ac:dyDescent="0.35">
      <c r="A447" s="24" t="s">
        <v>298</v>
      </c>
      <c r="B447" s="24" t="str">
        <f t="shared" si="25"/>
        <v>Chả cá viên sốt càChả cá viên</v>
      </c>
      <c r="C447" s="24" t="s">
        <v>8</v>
      </c>
      <c r="D447" t="s">
        <v>19</v>
      </c>
      <c r="E447" s="39" t="s">
        <v>437</v>
      </c>
      <c r="F447" s="39" t="s">
        <v>430</v>
      </c>
      <c r="G447" s="89">
        <v>1</v>
      </c>
      <c r="H447" s="18">
        <v>70000</v>
      </c>
      <c r="I447" s="18">
        <v>25</v>
      </c>
      <c r="J447" s="17">
        <f t="shared" si="26"/>
        <v>0.04</v>
      </c>
      <c r="K447" s="18">
        <f t="shared" si="24"/>
        <v>2800</v>
      </c>
    </row>
    <row r="448" spans="1:11" ht="15.5" x14ac:dyDescent="0.35">
      <c r="A448" s="24" t="s">
        <v>298</v>
      </c>
      <c r="B448" s="24" t="str">
        <f t="shared" si="25"/>
        <v>Chả cá viên sốt càCà chua</v>
      </c>
      <c r="C448" s="24" t="s">
        <v>8</v>
      </c>
      <c r="D448" t="s">
        <v>19</v>
      </c>
      <c r="E448" s="39" t="s">
        <v>437</v>
      </c>
      <c r="F448" s="39" t="s">
        <v>14</v>
      </c>
      <c r="G448" s="89">
        <v>0.2</v>
      </c>
      <c r="H448" s="18">
        <v>22000</v>
      </c>
      <c r="I448" s="18">
        <v>25</v>
      </c>
      <c r="J448" s="17">
        <f t="shared" si="26"/>
        <v>8.0000000000000002E-3</v>
      </c>
      <c r="K448" s="18">
        <f t="shared" si="24"/>
        <v>176</v>
      </c>
    </row>
    <row r="449" spans="1:11" x14ac:dyDescent="0.35">
      <c r="A449" s="24" t="s">
        <v>298</v>
      </c>
      <c r="B449" s="24" t="str">
        <f t="shared" si="25"/>
        <v>Heo kho đậu khuônHeo nọng nạc</v>
      </c>
      <c r="C449" s="24" t="s">
        <v>8</v>
      </c>
      <c r="D449" t="s">
        <v>18</v>
      </c>
      <c r="E449" t="s">
        <v>438</v>
      </c>
      <c r="F449" t="s">
        <v>370</v>
      </c>
      <c r="G449" s="17">
        <v>1</v>
      </c>
      <c r="H449" s="18">
        <v>70000</v>
      </c>
      <c r="I449" s="18">
        <v>78</v>
      </c>
      <c r="J449" s="17">
        <f t="shared" si="26"/>
        <v>1.282051282051282E-2</v>
      </c>
      <c r="K449" s="18">
        <f t="shared" si="24"/>
        <v>897.43589743589746</v>
      </c>
    </row>
    <row r="450" spans="1:11" x14ac:dyDescent="0.35">
      <c r="A450" s="24" t="s">
        <v>298</v>
      </c>
      <c r="B450" s="24" t="str">
        <f t="shared" si="25"/>
        <v>Heo kho đậu khuônHeo nạc vai</v>
      </c>
      <c r="C450" s="24" t="s">
        <v>8</v>
      </c>
      <c r="D450" t="s">
        <v>18</v>
      </c>
      <c r="E450" t="s">
        <v>438</v>
      </c>
      <c r="F450" t="s">
        <v>283</v>
      </c>
      <c r="G450" s="17">
        <v>1.8</v>
      </c>
      <c r="H450" s="18">
        <v>110000</v>
      </c>
      <c r="I450" s="18">
        <v>78</v>
      </c>
      <c r="J450" s="17">
        <f t="shared" si="26"/>
        <v>2.3076923076923078E-2</v>
      </c>
      <c r="K450" s="18">
        <f t="shared" si="24"/>
        <v>2538.4615384615386</v>
      </c>
    </row>
    <row r="451" spans="1:11" x14ac:dyDescent="0.35">
      <c r="A451" s="24" t="s">
        <v>298</v>
      </c>
      <c r="B451" s="24" t="str">
        <f t="shared" si="25"/>
        <v>Heo kho đậu khuônĐậu khuôn chiên lát nhỏ</v>
      </c>
      <c r="C451" s="24" t="s">
        <v>8</v>
      </c>
      <c r="D451" t="s">
        <v>18</v>
      </c>
      <c r="E451" t="s">
        <v>438</v>
      </c>
      <c r="F451" t="s">
        <v>394</v>
      </c>
      <c r="G451" s="17">
        <v>48</v>
      </c>
      <c r="H451" s="18">
        <v>1600</v>
      </c>
      <c r="I451" s="18">
        <v>78</v>
      </c>
      <c r="J451" s="17">
        <f t="shared" si="26"/>
        <v>0.61538461538461542</v>
      </c>
      <c r="K451" s="18">
        <f t="shared" ref="K451:K514" si="27">(G451*H451)/I451</f>
        <v>984.61538461538464</v>
      </c>
    </row>
    <row r="452" spans="1:11" x14ac:dyDescent="0.35">
      <c r="A452" s="24" t="s">
        <v>232</v>
      </c>
      <c r="B452" s="24" t="str">
        <f t="shared" si="25"/>
        <v>Tôm xào mướpTôm ~150c</v>
      </c>
      <c r="C452" s="24" t="s">
        <v>8</v>
      </c>
      <c r="D452" t="s">
        <v>19</v>
      </c>
      <c r="E452" t="s">
        <v>439</v>
      </c>
      <c r="F452" t="s">
        <v>411</v>
      </c>
      <c r="G452" s="17">
        <v>2</v>
      </c>
      <c r="H452" s="18">
        <v>90000</v>
      </c>
      <c r="I452" s="18">
        <v>78</v>
      </c>
      <c r="J452" s="17">
        <f t="shared" si="26"/>
        <v>2.564102564102564E-2</v>
      </c>
      <c r="K452" s="18">
        <f t="shared" si="27"/>
        <v>2307.6923076923076</v>
      </c>
    </row>
    <row r="453" spans="1:11" x14ac:dyDescent="0.35">
      <c r="A453" s="24" t="s">
        <v>298</v>
      </c>
      <c r="B453" s="24" t="str">
        <f t="shared" si="25"/>
        <v>Tôm xào mướpMướp</v>
      </c>
      <c r="C453" s="24" t="s">
        <v>8</v>
      </c>
      <c r="D453" t="s">
        <v>19</v>
      </c>
      <c r="E453" t="s">
        <v>439</v>
      </c>
      <c r="F453" t="s">
        <v>72</v>
      </c>
      <c r="G453" s="17">
        <v>5.5</v>
      </c>
      <c r="H453" s="18">
        <v>12000</v>
      </c>
      <c r="I453" s="18">
        <v>78</v>
      </c>
      <c r="J453" s="17">
        <f t="shared" si="26"/>
        <v>7.0512820512820512E-2</v>
      </c>
      <c r="K453" s="18">
        <f t="shared" si="27"/>
        <v>846.15384615384619</v>
      </c>
    </row>
    <row r="454" spans="1:11" x14ac:dyDescent="0.35">
      <c r="A454" s="24" t="s">
        <v>298</v>
      </c>
      <c r="B454" s="24" t="str">
        <f t="shared" si="25"/>
        <v>Tôm xào mướpHành lá</v>
      </c>
      <c r="C454" s="24" t="s">
        <v>8</v>
      </c>
      <c r="D454" t="s">
        <v>19</v>
      </c>
      <c r="E454" t="s">
        <v>439</v>
      </c>
      <c r="F454" t="s">
        <v>24</v>
      </c>
      <c r="G454" s="17">
        <v>0.3</v>
      </c>
      <c r="H454" s="18">
        <v>20000</v>
      </c>
      <c r="I454" s="18">
        <v>78</v>
      </c>
      <c r="J454" s="17">
        <f t="shared" si="26"/>
        <v>3.8461538461538459E-3</v>
      </c>
      <c r="K454" s="18">
        <f t="shared" si="27"/>
        <v>76.92307692307692</v>
      </c>
    </row>
    <row r="455" spans="1:11" x14ac:dyDescent="0.35">
      <c r="A455" s="24" t="s">
        <v>232</v>
      </c>
      <c r="B455" s="24" t="str">
        <f t="shared" si="25"/>
        <v>Gà kho sả nghệmá đùi gà</v>
      </c>
      <c r="C455" s="24" t="s">
        <v>8</v>
      </c>
      <c r="D455" t="s">
        <v>18</v>
      </c>
      <c r="E455" t="s">
        <v>440</v>
      </c>
      <c r="F455" t="s">
        <v>464</v>
      </c>
      <c r="G455" s="17">
        <v>12</v>
      </c>
      <c r="H455" s="18">
        <v>40000</v>
      </c>
      <c r="I455" s="18">
        <v>100</v>
      </c>
      <c r="J455" s="17">
        <f t="shared" si="26"/>
        <v>0.12</v>
      </c>
      <c r="K455" s="18">
        <f t="shared" si="27"/>
        <v>4800</v>
      </c>
    </row>
    <row r="456" spans="1:11" x14ac:dyDescent="0.35">
      <c r="A456" s="24" t="s">
        <v>298</v>
      </c>
      <c r="B456" s="24" t="str">
        <f t="shared" si="25"/>
        <v>Gà kho sả nghệSả</v>
      </c>
      <c r="C456" s="24" t="s">
        <v>8</v>
      </c>
      <c r="D456" t="s">
        <v>18</v>
      </c>
      <c r="E456" t="s">
        <v>440</v>
      </c>
      <c r="F456" t="s">
        <v>207</v>
      </c>
      <c r="G456" s="17">
        <v>0.5</v>
      </c>
      <c r="H456" s="18">
        <v>25000</v>
      </c>
      <c r="I456" s="18">
        <v>100</v>
      </c>
      <c r="J456" s="17">
        <f t="shared" si="26"/>
        <v>5.0000000000000001E-3</v>
      </c>
      <c r="K456" s="18">
        <f t="shared" si="27"/>
        <v>125</v>
      </c>
    </row>
    <row r="457" spans="1:11" x14ac:dyDescent="0.35">
      <c r="A457" s="24" t="s">
        <v>298</v>
      </c>
      <c r="B457" s="24" t="str">
        <f t="shared" si="25"/>
        <v>Gà kho sả nghệNghệ</v>
      </c>
      <c r="C457" s="24" t="s">
        <v>8</v>
      </c>
      <c r="D457" t="s">
        <v>18</v>
      </c>
      <c r="E457" t="s">
        <v>440</v>
      </c>
      <c r="F457" t="s">
        <v>154</v>
      </c>
      <c r="G457" s="17">
        <v>0.5</v>
      </c>
      <c r="H457" s="18">
        <v>25000</v>
      </c>
      <c r="I457" s="18">
        <v>100</v>
      </c>
      <c r="J457" s="17">
        <f t="shared" si="26"/>
        <v>5.0000000000000001E-3</v>
      </c>
      <c r="K457" s="18">
        <f t="shared" si="27"/>
        <v>125</v>
      </c>
    </row>
    <row r="458" spans="1:11" x14ac:dyDescent="0.35">
      <c r="A458" s="24" t="s">
        <v>232</v>
      </c>
      <c r="B458" s="24" t="str">
        <f t="shared" si="25"/>
        <v>Gà xé trộn hànhmá đùi gà</v>
      </c>
      <c r="C458" s="24" t="s">
        <v>8</v>
      </c>
      <c r="D458" t="s">
        <v>18</v>
      </c>
      <c r="E458" t="s">
        <v>441</v>
      </c>
      <c r="F458" t="s">
        <v>464</v>
      </c>
      <c r="G458" s="17">
        <v>8.5</v>
      </c>
      <c r="H458" s="18">
        <v>40000</v>
      </c>
      <c r="I458" s="18">
        <v>100</v>
      </c>
      <c r="J458" s="17">
        <f t="shared" si="26"/>
        <v>8.5000000000000006E-2</v>
      </c>
      <c r="K458" s="18">
        <f t="shared" si="27"/>
        <v>3400</v>
      </c>
    </row>
    <row r="459" spans="1:11" x14ac:dyDescent="0.35">
      <c r="A459" s="24" t="s">
        <v>298</v>
      </c>
      <c r="B459" s="24" t="str">
        <f t="shared" si="25"/>
        <v>Gà xé trộn hànhHành tây</v>
      </c>
      <c r="C459" s="24" t="s">
        <v>8</v>
      </c>
      <c r="D459" t="s">
        <v>18</v>
      </c>
      <c r="E459" t="s">
        <v>441</v>
      </c>
      <c r="F459" t="s">
        <v>35</v>
      </c>
      <c r="G459" s="17">
        <v>3</v>
      </c>
      <c r="H459" s="18">
        <v>15000</v>
      </c>
      <c r="I459" s="18">
        <v>100</v>
      </c>
      <c r="J459" s="17">
        <f t="shared" si="26"/>
        <v>0.03</v>
      </c>
      <c r="K459" s="18">
        <f t="shared" si="27"/>
        <v>450</v>
      </c>
    </row>
    <row r="460" spans="1:11" x14ac:dyDescent="0.35">
      <c r="A460" s="24" t="s">
        <v>298</v>
      </c>
      <c r="B460" s="24" t="str">
        <f t="shared" si="25"/>
        <v>Gà xé trộn hànhRau răm</v>
      </c>
      <c r="C460" s="24" t="s">
        <v>8</v>
      </c>
      <c r="D460" t="s">
        <v>18</v>
      </c>
      <c r="E460" t="s">
        <v>441</v>
      </c>
      <c r="F460" t="s">
        <v>69</v>
      </c>
      <c r="G460" s="17">
        <v>0.5</v>
      </c>
      <c r="H460" s="18">
        <v>30000</v>
      </c>
      <c r="I460" s="18">
        <v>100</v>
      </c>
      <c r="J460" s="17">
        <f t="shared" si="26"/>
        <v>5.0000000000000001E-3</v>
      </c>
      <c r="K460" s="18">
        <f t="shared" si="27"/>
        <v>150</v>
      </c>
    </row>
    <row r="461" spans="1:11" x14ac:dyDescent="0.35">
      <c r="A461" s="24" t="s">
        <v>232</v>
      </c>
      <c r="B461" s="24" t="str">
        <f t="shared" si="25"/>
        <v>Thịt kho sả ruốcHeo nọng nạc</v>
      </c>
      <c r="C461" s="24" t="s">
        <v>8</v>
      </c>
      <c r="D461" t="s">
        <v>18</v>
      </c>
      <c r="E461" t="s">
        <v>442</v>
      </c>
      <c r="F461" t="s">
        <v>370</v>
      </c>
      <c r="G461" s="17">
        <v>1.2</v>
      </c>
      <c r="H461" s="18">
        <v>70000</v>
      </c>
      <c r="I461" s="18">
        <v>78</v>
      </c>
      <c r="J461" s="17">
        <f t="shared" si="26"/>
        <v>1.5384615384615384E-2</v>
      </c>
      <c r="K461" s="18">
        <f t="shared" si="27"/>
        <v>1076.9230769230769</v>
      </c>
    </row>
    <row r="462" spans="1:11" x14ac:dyDescent="0.35">
      <c r="A462" s="24" t="s">
        <v>232</v>
      </c>
      <c r="B462" s="24" t="str">
        <f t="shared" si="25"/>
        <v>Thịt kho sả ruốcThịt nạc vai</v>
      </c>
      <c r="C462" s="24" t="s">
        <v>8</v>
      </c>
      <c r="D462" t="s">
        <v>18</v>
      </c>
      <c r="E462" t="s">
        <v>442</v>
      </c>
      <c r="F462" t="s">
        <v>85</v>
      </c>
      <c r="G462" s="17">
        <v>2.2999999999999998</v>
      </c>
      <c r="H462" s="18">
        <v>110000</v>
      </c>
      <c r="I462" s="18">
        <v>78</v>
      </c>
      <c r="J462" s="17">
        <f t="shared" si="26"/>
        <v>2.9487179487179487E-2</v>
      </c>
      <c r="K462" s="18">
        <f t="shared" si="27"/>
        <v>3243.5897435897432</v>
      </c>
    </row>
    <row r="463" spans="1:11" x14ac:dyDescent="0.35">
      <c r="A463" s="24" t="s">
        <v>298</v>
      </c>
      <c r="B463" s="24" t="str">
        <f t="shared" si="25"/>
        <v>Thịt kho sả ruốcSả</v>
      </c>
      <c r="C463" s="24" t="s">
        <v>8</v>
      </c>
      <c r="D463" t="s">
        <v>18</v>
      </c>
      <c r="E463" t="s">
        <v>442</v>
      </c>
      <c r="F463" t="s">
        <v>207</v>
      </c>
      <c r="G463" s="17">
        <v>0.5</v>
      </c>
      <c r="H463" s="18">
        <v>25000</v>
      </c>
      <c r="I463" s="18">
        <v>78</v>
      </c>
      <c r="J463" s="17">
        <f t="shared" si="26"/>
        <v>6.41025641025641E-3</v>
      </c>
      <c r="K463" s="18">
        <f t="shared" si="27"/>
        <v>160.25641025641025</v>
      </c>
    </row>
    <row r="464" spans="1:11" x14ac:dyDescent="0.35">
      <c r="A464" s="24" t="s">
        <v>232</v>
      </c>
      <c r="B464" s="24" t="str">
        <f t="shared" si="25"/>
        <v>Thịt kho sả ruốcMắm ruốc</v>
      </c>
      <c r="C464" s="24" t="s">
        <v>8</v>
      </c>
      <c r="D464" t="s">
        <v>18</v>
      </c>
      <c r="E464" t="s">
        <v>442</v>
      </c>
      <c r="F464" t="s">
        <v>282</v>
      </c>
      <c r="G464" s="17">
        <v>0.5</v>
      </c>
      <c r="H464" s="18">
        <v>35000</v>
      </c>
      <c r="I464" s="18">
        <v>78</v>
      </c>
      <c r="J464" s="17">
        <f t="shared" si="26"/>
        <v>6.41025641025641E-3</v>
      </c>
      <c r="K464" s="18">
        <f t="shared" si="27"/>
        <v>224.35897435897436</v>
      </c>
    </row>
    <row r="465" spans="1:11" x14ac:dyDescent="0.35">
      <c r="A465" s="24" t="s">
        <v>232</v>
      </c>
      <c r="B465" s="24" t="str">
        <f t="shared" si="25"/>
        <v>Thịt rim chả cáHeo nọng nạc</v>
      </c>
      <c r="C465" s="24" t="s">
        <v>8</v>
      </c>
      <c r="D465" t="s">
        <v>18</v>
      </c>
      <c r="E465" t="s">
        <v>446</v>
      </c>
      <c r="F465" t="s">
        <v>370</v>
      </c>
      <c r="G465" s="17">
        <v>1</v>
      </c>
      <c r="H465" s="18">
        <v>80000</v>
      </c>
      <c r="I465" s="18">
        <v>100</v>
      </c>
      <c r="J465" s="17">
        <f t="shared" si="26"/>
        <v>0.01</v>
      </c>
      <c r="K465" s="18">
        <f t="shared" si="27"/>
        <v>800</v>
      </c>
    </row>
    <row r="466" spans="1:11" x14ac:dyDescent="0.35">
      <c r="A466" s="24" t="s">
        <v>232</v>
      </c>
      <c r="B466" s="24" t="str">
        <f t="shared" si="25"/>
        <v>Thịt rim chả cáNạc vai</v>
      </c>
      <c r="C466" s="24" t="s">
        <v>8</v>
      </c>
      <c r="D466" t="s">
        <v>18</v>
      </c>
      <c r="E466" t="s">
        <v>446</v>
      </c>
      <c r="F466" t="s">
        <v>60</v>
      </c>
      <c r="G466" s="17">
        <v>2.5</v>
      </c>
      <c r="H466" s="18">
        <v>85000</v>
      </c>
      <c r="I466" s="18">
        <v>100</v>
      </c>
      <c r="J466" s="17">
        <f t="shared" si="26"/>
        <v>2.5000000000000001E-2</v>
      </c>
      <c r="K466" s="18">
        <f t="shared" si="27"/>
        <v>2125</v>
      </c>
    </row>
    <row r="467" spans="1:11" x14ac:dyDescent="0.35">
      <c r="A467" s="24" t="s">
        <v>232</v>
      </c>
      <c r="B467" s="24" t="str">
        <f t="shared" si="25"/>
        <v>Thịt rim chả cáChả cá tâm</v>
      </c>
      <c r="C467" s="24" t="s">
        <v>8</v>
      </c>
      <c r="D467" t="s">
        <v>18</v>
      </c>
      <c r="E467" t="s">
        <v>446</v>
      </c>
      <c r="F467" t="s">
        <v>445</v>
      </c>
      <c r="G467" s="17">
        <v>2.5</v>
      </c>
      <c r="H467" s="18">
        <v>60000</v>
      </c>
      <c r="I467" s="18">
        <v>100</v>
      </c>
      <c r="J467" s="17">
        <f t="shared" si="26"/>
        <v>2.5000000000000001E-2</v>
      </c>
      <c r="K467" s="18">
        <f t="shared" si="27"/>
        <v>1500</v>
      </c>
    </row>
    <row r="468" spans="1:11" x14ac:dyDescent="0.35">
      <c r="A468" s="24" t="s">
        <v>232</v>
      </c>
      <c r="B468" s="24" t="str">
        <f t="shared" si="25"/>
        <v>Gà chiên mắmGà enfood</v>
      </c>
      <c r="C468" s="24" t="s">
        <v>8</v>
      </c>
      <c r="D468" t="s">
        <v>18</v>
      </c>
      <c r="E468" t="s">
        <v>455</v>
      </c>
      <c r="F468" t="s">
        <v>407</v>
      </c>
      <c r="G468" s="17">
        <v>13</v>
      </c>
      <c r="H468" s="18">
        <v>55000</v>
      </c>
      <c r="I468" s="18">
        <v>100</v>
      </c>
      <c r="J468" s="17">
        <f t="shared" si="26"/>
        <v>0.13</v>
      </c>
      <c r="K468" s="18">
        <f t="shared" si="27"/>
        <v>7150</v>
      </c>
    </row>
    <row r="469" spans="1:11" x14ac:dyDescent="0.35">
      <c r="A469" s="24" t="s">
        <v>232</v>
      </c>
      <c r="B469" s="24" t="str">
        <f t="shared" si="25"/>
        <v>Gà chiên mắmSả</v>
      </c>
      <c r="C469" s="24" t="s">
        <v>8</v>
      </c>
      <c r="D469" t="s">
        <v>18</v>
      </c>
      <c r="E469" t="s">
        <v>455</v>
      </c>
      <c r="F469" t="s">
        <v>207</v>
      </c>
      <c r="G469" s="17">
        <v>0.5</v>
      </c>
      <c r="H469" s="18">
        <v>25000</v>
      </c>
      <c r="I469" s="18">
        <v>100</v>
      </c>
      <c r="J469" s="17">
        <f t="shared" si="26"/>
        <v>5.0000000000000001E-3</v>
      </c>
      <c r="K469" s="18">
        <f t="shared" si="27"/>
        <v>125</v>
      </c>
    </row>
    <row r="470" spans="1:11" x14ac:dyDescent="0.35">
      <c r="A470" s="24" t="s">
        <v>233</v>
      </c>
      <c r="B470" s="24" t="str">
        <f t="shared" ref="B470:B534" si="28">E470&amp;F470</f>
        <v>Mỳ Thịt xíu trứngMỳ tươi</v>
      </c>
      <c r="C470" s="24" t="s">
        <v>8</v>
      </c>
      <c r="D470" t="s">
        <v>20</v>
      </c>
      <c r="E470" t="s">
        <v>326</v>
      </c>
      <c r="F470" t="s">
        <v>389</v>
      </c>
      <c r="G470" s="17">
        <v>33</v>
      </c>
      <c r="H470" s="18">
        <v>10000</v>
      </c>
      <c r="I470" s="18">
        <v>100</v>
      </c>
      <c r="J470" s="17">
        <f t="shared" si="26"/>
        <v>0.33</v>
      </c>
      <c r="K470" s="18">
        <f t="shared" si="27"/>
        <v>3300</v>
      </c>
    </row>
    <row r="471" spans="1:11" x14ac:dyDescent="0.35">
      <c r="A471" s="24" t="s">
        <v>233</v>
      </c>
      <c r="B471" s="24" t="str">
        <f t="shared" si="28"/>
        <v>Mỳ Thịt xíu trứngcua đồng</v>
      </c>
      <c r="C471" s="24" t="s">
        <v>8</v>
      </c>
      <c r="D471" t="s">
        <v>20</v>
      </c>
      <c r="E471" t="s">
        <v>326</v>
      </c>
      <c r="F471" t="s">
        <v>476</v>
      </c>
      <c r="G471" s="17">
        <v>0.5</v>
      </c>
      <c r="H471" s="18">
        <v>50000</v>
      </c>
      <c r="I471" s="18">
        <v>100</v>
      </c>
      <c r="J471" s="17">
        <f t="shared" si="26"/>
        <v>5.0000000000000001E-3</v>
      </c>
      <c r="K471" s="18">
        <f t="shared" si="27"/>
        <v>250</v>
      </c>
    </row>
    <row r="472" spans="1:11" x14ac:dyDescent="0.35">
      <c r="A472" s="24" t="s">
        <v>233</v>
      </c>
      <c r="B472" s="24" t="str">
        <f t="shared" si="28"/>
        <v>Cà ri gà + bánh mìCà rốt</v>
      </c>
      <c r="C472" s="24" t="s">
        <v>8</v>
      </c>
      <c r="D472" t="s">
        <v>20</v>
      </c>
      <c r="E472" t="s">
        <v>480</v>
      </c>
      <c r="F472" t="s">
        <v>78</v>
      </c>
      <c r="G472" s="17">
        <v>8.5</v>
      </c>
      <c r="H472" s="18">
        <v>15000</v>
      </c>
      <c r="I472" s="18">
        <v>100</v>
      </c>
      <c r="J472" s="17">
        <f t="shared" si="26"/>
        <v>8.5000000000000006E-2</v>
      </c>
      <c r="K472" s="18">
        <f t="shared" si="27"/>
        <v>1275</v>
      </c>
    </row>
    <row r="473" spans="1:11" x14ac:dyDescent="0.35">
      <c r="A473" s="24" t="s">
        <v>233</v>
      </c>
      <c r="B473" s="24" t="str">
        <f t="shared" si="28"/>
        <v>Cà ri gà + bánh mìKhoai tây</v>
      </c>
      <c r="C473" s="24" t="s">
        <v>8</v>
      </c>
      <c r="D473" t="s">
        <v>20</v>
      </c>
      <c r="E473" t="s">
        <v>480</v>
      </c>
      <c r="F473" t="s">
        <v>77</v>
      </c>
      <c r="G473" s="17">
        <v>8.5</v>
      </c>
      <c r="H473" s="18">
        <v>12000</v>
      </c>
      <c r="I473" s="18">
        <v>100</v>
      </c>
      <c r="J473" s="17">
        <f t="shared" si="26"/>
        <v>8.5000000000000006E-2</v>
      </c>
      <c r="K473" s="18">
        <f t="shared" si="27"/>
        <v>1020</v>
      </c>
    </row>
    <row r="474" spans="1:11" x14ac:dyDescent="0.35">
      <c r="A474" s="24" t="s">
        <v>233</v>
      </c>
      <c r="B474" s="24" t="str">
        <f t="shared" si="28"/>
        <v>Cà ri gà + bánh mìKhoai lang</v>
      </c>
      <c r="C474" s="24" t="s">
        <v>8</v>
      </c>
      <c r="D474" t="s">
        <v>20</v>
      </c>
      <c r="E474" t="s">
        <v>480</v>
      </c>
      <c r="F474" t="s">
        <v>404</v>
      </c>
      <c r="G474" s="17">
        <v>5</v>
      </c>
      <c r="H474" s="18">
        <v>20000</v>
      </c>
      <c r="I474" s="18">
        <v>100</v>
      </c>
      <c r="J474" s="17">
        <f t="shared" si="26"/>
        <v>0.05</v>
      </c>
      <c r="K474" s="18">
        <f t="shared" si="27"/>
        <v>1000</v>
      </c>
    </row>
    <row r="475" spans="1:11" x14ac:dyDescent="0.35">
      <c r="A475" s="24" t="s">
        <v>233</v>
      </c>
      <c r="B475" s="24" t="str">
        <f t="shared" si="28"/>
        <v>Cà ri gà + bánh mìHành tây</v>
      </c>
      <c r="C475" s="24" t="s">
        <v>8</v>
      </c>
      <c r="D475" t="s">
        <v>20</v>
      </c>
      <c r="E475" t="s">
        <v>480</v>
      </c>
      <c r="F475" t="s">
        <v>35</v>
      </c>
      <c r="G475" s="17">
        <v>1.2</v>
      </c>
      <c r="H475" s="18">
        <v>15000</v>
      </c>
      <c r="I475" s="18">
        <v>100</v>
      </c>
      <c r="J475" s="17">
        <f t="shared" si="26"/>
        <v>1.2E-2</v>
      </c>
      <c r="K475" s="18">
        <f t="shared" si="27"/>
        <v>180</v>
      </c>
    </row>
    <row r="476" spans="1:11" x14ac:dyDescent="0.35">
      <c r="A476" s="24" t="s">
        <v>233</v>
      </c>
      <c r="B476" s="24" t="str">
        <f t="shared" si="28"/>
        <v>Cà ri gà + bánh mìRau quế</v>
      </c>
      <c r="C476" s="24" t="s">
        <v>8</v>
      </c>
      <c r="D476" t="s">
        <v>20</v>
      </c>
      <c r="E476" t="s">
        <v>480</v>
      </c>
      <c r="F476" t="s">
        <v>23</v>
      </c>
      <c r="G476" s="17">
        <v>0.4</v>
      </c>
      <c r="H476" s="18">
        <v>30000</v>
      </c>
      <c r="I476" s="18">
        <v>100</v>
      </c>
      <c r="J476" s="17">
        <f t="shared" si="26"/>
        <v>4.0000000000000001E-3</v>
      </c>
      <c r="K476" s="18">
        <f t="shared" si="27"/>
        <v>120</v>
      </c>
    </row>
    <row r="477" spans="1:11" x14ac:dyDescent="0.35">
      <c r="A477" s="24" t="s">
        <v>233</v>
      </c>
      <c r="B477" s="24" t="str">
        <f t="shared" si="28"/>
        <v>Cà ri gà + bánh mìHành lá</v>
      </c>
      <c r="C477" s="24" t="s">
        <v>8</v>
      </c>
      <c r="D477" t="s">
        <v>20</v>
      </c>
      <c r="E477" t="s">
        <v>480</v>
      </c>
      <c r="F477" t="s">
        <v>24</v>
      </c>
      <c r="G477" s="17">
        <v>0.5</v>
      </c>
      <c r="H477" s="18">
        <v>20000</v>
      </c>
      <c r="I477" s="18">
        <v>100</v>
      </c>
      <c r="J477" s="17">
        <f t="shared" si="26"/>
        <v>5.0000000000000001E-3</v>
      </c>
      <c r="K477" s="18">
        <f t="shared" si="27"/>
        <v>100</v>
      </c>
    </row>
    <row r="478" spans="1:11" x14ac:dyDescent="0.35">
      <c r="A478" s="24" t="s">
        <v>233</v>
      </c>
      <c r="B478" s="24" t="str">
        <f t="shared" si="28"/>
        <v>Cà ri gà + bánh mìNgò gai</v>
      </c>
      <c r="C478" s="24" t="s">
        <v>8</v>
      </c>
      <c r="D478" t="s">
        <v>20</v>
      </c>
      <c r="E478" t="s">
        <v>480</v>
      </c>
      <c r="F478" t="s">
        <v>101</v>
      </c>
      <c r="G478" s="17">
        <v>0.2</v>
      </c>
      <c r="H478" s="18">
        <v>30000</v>
      </c>
      <c r="I478" s="18">
        <v>100</v>
      </c>
      <c r="J478" s="17">
        <f t="shared" si="26"/>
        <v>2E-3</v>
      </c>
      <c r="K478" s="18">
        <f t="shared" si="27"/>
        <v>60</v>
      </c>
    </row>
    <row r="479" spans="1:11" x14ac:dyDescent="0.35">
      <c r="A479" s="24" t="s">
        <v>233</v>
      </c>
      <c r="B479" s="24" t="str">
        <f t="shared" si="28"/>
        <v>Cà ri gà + bánh mìNước cốt dừa tươi</v>
      </c>
      <c r="C479" s="24" t="s">
        <v>8</v>
      </c>
      <c r="D479" t="s">
        <v>20</v>
      </c>
      <c r="E479" t="s">
        <v>480</v>
      </c>
      <c r="F479" t="s">
        <v>412</v>
      </c>
      <c r="G479" s="17">
        <v>1</v>
      </c>
      <c r="H479" s="18">
        <v>30000</v>
      </c>
      <c r="I479" s="18">
        <v>100</v>
      </c>
      <c r="J479" s="17">
        <f t="shared" si="26"/>
        <v>0.01</v>
      </c>
      <c r="K479" s="18">
        <f t="shared" si="27"/>
        <v>300</v>
      </c>
    </row>
    <row r="480" spans="1:11" x14ac:dyDescent="0.35">
      <c r="A480" s="24" t="s">
        <v>233</v>
      </c>
      <c r="B480" s="24" t="str">
        <f t="shared" si="28"/>
        <v>Cà ri gà + bánh mìSữa tươi ko đường</v>
      </c>
      <c r="C480" s="24" t="s">
        <v>8</v>
      </c>
      <c r="D480" t="s">
        <v>20</v>
      </c>
      <c r="E480" t="s">
        <v>480</v>
      </c>
      <c r="F480" t="s">
        <v>423</v>
      </c>
      <c r="G480" s="17">
        <v>3</v>
      </c>
      <c r="H480" s="18">
        <v>7000</v>
      </c>
      <c r="I480" s="18">
        <v>100</v>
      </c>
      <c r="J480" s="17">
        <f t="shared" si="26"/>
        <v>0.03</v>
      </c>
      <c r="K480" s="18">
        <f t="shared" si="27"/>
        <v>210</v>
      </c>
    </row>
    <row r="481" spans="1:11" x14ac:dyDescent="0.35">
      <c r="A481" s="24" t="s">
        <v>233</v>
      </c>
      <c r="B481" s="24" t="str">
        <f t="shared" si="28"/>
        <v>Cà ri gà + bánh mìSốt cà ri</v>
      </c>
      <c r="C481" s="24" t="s">
        <v>8</v>
      </c>
      <c r="D481" t="s">
        <v>20</v>
      </c>
      <c r="E481" t="s">
        <v>480</v>
      </c>
      <c r="F481" t="s">
        <v>422</v>
      </c>
      <c r="G481" s="17">
        <v>2</v>
      </c>
      <c r="H481" s="18">
        <v>10000</v>
      </c>
      <c r="I481" s="18">
        <v>100</v>
      </c>
      <c r="J481" s="17">
        <f t="shared" si="26"/>
        <v>0.02</v>
      </c>
      <c r="K481" s="18">
        <f t="shared" si="27"/>
        <v>200</v>
      </c>
    </row>
    <row r="482" spans="1:11" x14ac:dyDescent="0.35">
      <c r="A482" s="24" t="s">
        <v>233</v>
      </c>
      <c r="B482" s="24" t="str">
        <f t="shared" si="28"/>
        <v>Cà ri gà + bánh mìSả</v>
      </c>
      <c r="C482" s="24" t="s">
        <v>8</v>
      </c>
      <c r="D482" t="s">
        <v>20</v>
      </c>
      <c r="E482" t="s">
        <v>480</v>
      </c>
      <c r="F482" t="s">
        <v>207</v>
      </c>
      <c r="G482" s="17">
        <v>1.2</v>
      </c>
      <c r="H482" s="18">
        <v>30000</v>
      </c>
      <c r="I482" s="18">
        <v>100</v>
      </c>
      <c r="J482" s="17">
        <f t="shared" si="26"/>
        <v>1.2E-2</v>
      </c>
      <c r="K482" s="18">
        <f t="shared" si="27"/>
        <v>360</v>
      </c>
    </row>
    <row r="483" spans="1:11" x14ac:dyDescent="0.35">
      <c r="A483" s="24" t="s">
        <v>233</v>
      </c>
      <c r="B483" s="24" t="str">
        <f t="shared" si="28"/>
        <v>Cà ri gà + bánh mìmá đùi gà</v>
      </c>
      <c r="C483" s="24" t="s">
        <v>8</v>
      </c>
      <c r="D483" t="s">
        <v>20</v>
      </c>
      <c r="E483" t="s">
        <v>480</v>
      </c>
      <c r="F483" t="s">
        <v>464</v>
      </c>
      <c r="G483" s="17">
        <v>13.5</v>
      </c>
      <c r="H483" s="18">
        <v>40000</v>
      </c>
      <c r="I483" s="18">
        <v>100</v>
      </c>
      <c r="J483" s="17">
        <f t="shared" si="26"/>
        <v>0.13500000000000001</v>
      </c>
      <c r="K483" s="18">
        <f t="shared" si="27"/>
        <v>5400</v>
      </c>
    </row>
    <row r="484" spans="1:11" x14ac:dyDescent="0.35">
      <c r="A484" s="24" t="s">
        <v>233</v>
      </c>
      <c r="B484" s="24" t="str">
        <f t="shared" si="28"/>
        <v>Cà ri gà + bánh mìBánh mì</v>
      </c>
      <c r="C484" s="24" t="s">
        <v>8</v>
      </c>
      <c r="D484" t="s">
        <v>20</v>
      </c>
      <c r="E484" t="s">
        <v>480</v>
      </c>
      <c r="F484" t="s">
        <v>395</v>
      </c>
      <c r="G484" s="17">
        <v>100</v>
      </c>
      <c r="H484" s="18">
        <v>2000</v>
      </c>
      <c r="I484" s="18">
        <v>100</v>
      </c>
      <c r="J484" s="17">
        <f t="shared" si="26"/>
        <v>1</v>
      </c>
      <c r="K484" s="18">
        <f t="shared" si="27"/>
        <v>2000</v>
      </c>
    </row>
    <row r="485" spans="1:11" x14ac:dyDescent="0.35">
      <c r="A485" s="24" t="s">
        <v>233</v>
      </c>
      <c r="B485" s="24" t="str">
        <f t="shared" si="28"/>
        <v>Cà ri gà + bánh mìChanh</v>
      </c>
      <c r="C485" s="24" t="s">
        <v>8</v>
      </c>
      <c r="D485" t="s">
        <v>20</v>
      </c>
      <c r="E485" t="s">
        <v>480</v>
      </c>
      <c r="F485" t="s">
        <v>25</v>
      </c>
      <c r="G485" s="17">
        <v>0.8</v>
      </c>
      <c r="H485" s="18">
        <v>25000</v>
      </c>
      <c r="I485" s="18">
        <v>100</v>
      </c>
      <c r="J485" s="17">
        <f t="shared" si="26"/>
        <v>8.0000000000000002E-3</v>
      </c>
      <c r="K485" s="18">
        <f t="shared" si="27"/>
        <v>200</v>
      </c>
    </row>
    <row r="486" spans="1:11" x14ac:dyDescent="0.35">
      <c r="A486" s="24" t="s">
        <v>233</v>
      </c>
      <c r="B486" s="24" t="str">
        <f t="shared" si="28"/>
        <v>Cà ri bò + bánh mỳCà rốt</v>
      </c>
      <c r="C486" s="24" t="s">
        <v>8</v>
      </c>
      <c r="D486" t="s">
        <v>20</v>
      </c>
      <c r="E486" t="s">
        <v>345</v>
      </c>
      <c r="F486" t="s">
        <v>78</v>
      </c>
      <c r="G486" s="17">
        <v>8.5</v>
      </c>
      <c r="H486" s="18">
        <v>15000</v>
      </c>
      <c r="I486" s="18">
        <v>100</v>
      </c>
      <c r="J486" s="17">
        <f t="shared" si="26"/>
        <v>8.5000000000000006E-2</v>
      </c>
      <c r="K486" s="18">
        <f t="shared" si="27"/>
        <v>1275</v>
      </c>
    </row>
    <row r="487" spans="1:11" x14ac:dyDescent="0.35">
      <c r="A487" s="24" t="s">
        <v>233</v>
      </c>
      <c r="B487" s="24" t="str">
        <f t="shared" si="28"/>
        <v>Cà ri bò + bánh mỳKhoai tây</v>
      </c>
      <c r="C487" s="24" t="s">
        <v>8</v>
      </c>
      <c r="D487" t="s">
        <v>20</v>
      </c>
      <c r="E487" t="s">
        <v>345</v>
      </c>
      <c r="F487" t="s">
        <v>77</v>
      </c>
      <c r="G487" s="17">
        <v>8.5</v>
      </c>
      <c r="H487" s="18">
        <v>12000</v>
      </c>
      <c r="I487" s="18">
        <v>100</v>
      </c>
      <c r="J487" s="17">
        <f t="shared" si="26"/>
        <v>8.5000000000000006E-2</v>
      </c>
      <c r="K487" s="18">
        <f t="shared" si="27"/>
        <v>1020</v>
      </c>
    </row>
    <row r="488" spans="1:11" x14ac:dyDescent="0.35">
      <c r="A488" s="24" t="s">
        <v>233</v>
      </c>
      <c r="B488" s="24" t="str">
        <f t="shared" si="28"/>
        <v>Cà ri bò + bánh mỳKhoai lang</v>
      </c>
      <c r="C488" s="24" t="s">
        <v>8</v>
      </c>
      <c r="D488" t="s">
        <v>20</v>
      </c>
      <c r="E488" t="s">
        <v>345</v>
      </c>
      <c r="F488" t="s">
        <v>404</v>
      </c>
      <c r="G488" s="17">
        <v>5</v>
      </c>
      <c r="H488" s="18">
        <v>20000</v>
      </c>
      <c r="I488" s="18">
        <v>100</v>
      </c>
      <c r="J488" s="17">
        <f t="shared" si="26"/>
        <v>0.05</v>
      </c>
      <c r="K488" s="18">
        <f t="shared" si="27"/>
        <v>1000</v>
      </c>
    </row>
    <row r="489" spans="1:11" x14ac:dyDescent="0.35">
      <c r="A489" s="24" t="s">
        <v>233</v>
      </c>
      <c r="B489" s="24" t="str">
        <f t="shared" si="28"/>
        <v>Cà ri bò + bánh mỳHành tây</v>
      </c>
      <c r="C489" s="24" t="s">
        <v>8</v>
      </c>
      <c r="D489" t="s">
        <v>20</v>
      </c>
      <c r="E489" t="s">
        <v>345</v>
      </c>
      <c r="F489" t="s">
        <v>35</v>
      </c>
      <c r="G489" s="17">
        <v>1.2</v>
      </c>
      <c r="H489" s="18">
        <v>15000</v>
      </c>
      <c r="I489" s="18">
        <v>100</v>
      </c>
      <c r="J489" s="17">
        <f t="shared" si="26"/>
        <v>1.2E-2</v>
      </c>
      <c r="K489" s="18">
        <f t="shared" si="27"/>
        <v>180</v>
      </c>
    </row>
    <row r="490" spans="1:11" x14ac:dyDescent="0.35">
      <c r="A490" s="24" t="s">
        <v>233</v>
      </c>
      <c r="B490" s="24" t="str">
        <f t="shared" si="28"/>
        <v>Cà ri bò + bánh mỳRau quế</v>
      </c>
      <c r="C490" s="24" t="s">
        <v>8</v>
      </c>
      <c r="D490" t="s">
        <v>20</v>
      </c>
      <c r="E490" t="s">
        <v>345</v>
      </c>
      <c r="F490" t="s">
        <v>23</v>
      </c>
      <c r="G490" s="17">
        <v>0.4</v>
      </c>
      <c r="H490" s="18">
        <v>30000</v>
      </c>
      <c r="I490" s="18">
        <v>100</v>
      </c>
      <c r="J490" s="17">
        <f t="shared" si="26"/>
        <v>4.0000000000000001E-3</v>
      </c>
      <c r="K490" s="18">
        <f t="shared" si="27"/>
        <v>120</v>
      </c>
    </row>
    <row r="491" spans="1:11" x14ac:dyDescent="0.35">
      <c r="A491" s="24" t="s">
        <v>233</v>
      </c>
      <c r="B491" s="24" t="str">
        <f t="shared" si="28"/>
        <v>Cà ri bò + bánh mỳHành lá</v>
      </c>
      <c r="C491" s="24" t="s">
        <v>8</v>
      </c>
      <c r="D491" t="s">
        <v>20</v>
      </c>
      <c r="E491" t="s">
        <v>345</v>
      </c>
      <c r="F491" t="s">
        <v>24</v>
      </c>
      <c r="G491" s="17">
        <v>0.5</v>
      </c>
      <c r="H491" s="18">
        <v>20000</v>
      </c>
      <c r="I491" s="18">
        <v>100</v>
      </c>
      <c r="J491" s="17">
        <f t="shared" si="26"/>
        <v>5.0000000000000001E-3</v>
      </c>
      <c r="K491" s="18">
        <f t="shared" si="27"/>
        <v>100</v>
      </c>
    </row>
    <row r="492" spans="1:11" x14ac:dyDescent="0.35">
      <c r="A492" s="24" t="s">
        <v>233</v>
      </c>
      <c r="B492" s="24" t="str">
        <f t="shared" si="28"/>
        <v>Cà ri bò + bánh mỳNgò gai</v>
      </c>
      <c r="C492" s="24" t="s">
        <v>8</v>
      </c>
      <c r="D492" t="s">
        <v>20</v>
      </c>
      <c r="E492" t="s">
        <v>345</v>
      </c>
      <c r="F492" t="s">
        <v>101</v>
      </c>
      <c r="G492" s="17">
        <v>0.2</v>
      </c>
      <c r="H492" s="18">
        <v>30000</v>
      </c>
      <c r="I492" s="18">
        <v>100</v>
      </c>
      <c r="J492" s="17">
        <f t="shared" si="26"/>
        <v>2E-3</v>
      </c>
      <c r="K492" s="18">
        <f t="shared" si="27"/>
        <v>60</v>
      </c>
    </row>
    <row r="493" spans="1:11" x14ac:dyDescent="0.35">
      <c r="A493" s="24" t="s">
        <v>233</v>
      </c>
      <c r="B493" s="24" t="str">
        <f t="shared" si="28"/>
        <v>Cà ri bò + bánh mỳNước cốt dừa tươi</v>
      </c>
      <c r="C493" s="24" t="s">
        <v>8</v>
      </c>
      <c r="D493" t="s">
        <v>20</v>
      </c>
      <c r="E493" t="s">
        <v>345</v>
      </c>
      <c r="F493" t="s">
        <v>412</v>
      </c>
      <c r="G493" s="17">
        <v>1</v>
      </c>
      <c r="H493" s="18">
        <v>30000</v>
      </c>
      <c r="I493" s="18">
        <v>100</v>
      </c>
      <c r="J493" s="17">
        <f t="shared" si="26"/>
        <v>0.01</v>
      </c>
      <c r="K493" s="18">
        <f t="shared" si="27"/>
        <v>300</v>
      </c>
    </row>
    <row r="494" spans="1:11" x14ac:dyDescent="0.35">
      <c r="A494" s="24" t="s">
        <v>233</v>
      </c>
      <c r="B494" s="24" t="str">
        <f t="shared" si="28"/>
        <v>Cà ri bò + bánh mỳSữa tươi ko đường</v>
      </c>
      <c r="C494" s="24" t="s">
        <v>8</v>
      </c>
      <c r="D494" t="s">
        <v>20</v>
      </c>
      <c r="E494" t="s">
        <v>345</v>
      </c>
      <c r="F494" t="s">
        <v>423</v>
      </c>
      <c r="G494" s="17">
        <v>2</v>
      </c>
      <c r="H494" s="18">
        <v>7000</v>
      </c>
      <c r="I494" s="18">
        <v>100</v>
      </c>
      <c r="J494" s="17">
        <f t="shared" si="26"/>
        <v>0.02</v>
      </c>
      <c r="K494" s="18">
        <f t="shared" si="27"/>
        <v>140</v>
      </c>
    </row>
    <row r="495" spans="1:11" x14ac:dyDescent="0.35">
      <c r="A495" s="24" t="s">
        <v>233</v>
      </c>
      <c r="B495" s="24" t="str">
        <f t="shared" si="28"/>
        <v>Cà ri bò + bánh mỳSốt cà ri</v>
      </c>
      <c r="C495" s="24" t="s">
        <v>8</v>
      </c>
      <c r="D495" t="s">
        <v>20</v>
      </c>
      <c r="E495" t="s">
        <v>345</v>
      </c>
      <c r="F495" t="s">
        <v>422</v>
      </c>
      <c r="G495" s="17">
        <v>2</v>
      </c>
      <c r="H495" s="18">
        <v>10000</v>
      </c>
      <c r="I495" s="18">
        <v>100</v>
      </c>
      <c r="J495" s="17">
        <f t="shared" si="26"/>
        <v>0.02</v>
      </c>
      <c r="K495" s="18">
        <f t="shared" si="27"/>
        <v>200</v>
      </c>
    </row>
    <row r="496" spans="1:11" x14ac:dyDescent="0.35">
      <c r="A496" s="24" t="s">
        <v>233</v>
      </c>
      <c r="B496" s="24" t="str">
        <f t="shared" si="28"/>
        <v>Cà ri bò + bánh mỳSả</v>
      </c>
      <c r="C496" s="24" t="s">
        <v>8</v>
      </c>
      <c r="D496" t="s">
        <v>20</v>
      </c>
      <c r="E496" t="s">
        <v>345</v>
      </c>
      <c r="F496" t="s">
        <v>207</v>
      </c>
      <c r="G496" s="17">
        <v>1.2</v>
      </c>
      <c r="H496" s="18">
        <v>30000</v>
      </c>
      <c r="I496" s="18">
        <v>100</v>
      </c>
      <c r="J496" s="17">
        <f t="shared" si="26"/>
        <v>1.2E-2</v>
      </c>
      <c r="K496" s="18">
        <f t="shared" si="27"/>
        <v>360</v>
      </c>
    </row>
    <row r="497" spans="1:11" x14ac:dyDescent="0.35">
      <c r="A497" s="24" t="s">
        <v>233</v>
      </c>
      <c r="B497" s="24" t="str">
        <f t="shared" si="28"/>
        <v>Cà ri bò + bánh mỳbò M19</v>
      </c>
      <c r="C497" s="24" t="s">
        <v>8</v>
      </c>
      <c r="D497" t="s">
        <v>20</v>
      </c>
      <c r="E497" t="s">
        <v>345</v>
      </c>
      <c r="F497" t="s">
        <v>481</v>
      </c>
      <c r="G497" s="17">
        <v>7.5</v>
      </c>
      <c r="H497" s="18">
        <v>90000</v>
      </c>
      <c r="I497" s="18">
        <v>100</v>
      </c>
      <c r="J497" s="17">
        <f t="shared" si="26"/>
        <v>7.4999999999999997E-2</v>
      </c>
      <c r="K497" s="18">
        <f t="shared" si="27"/>
        <v>6750</v>
      </c>
    </row>
    <row r="498" spans="1:11" x14ac:dyDescent="0.35">
      <c r="A498" s="24" t="s">
        <v>233</v>
      </c>
      <c r="B498" s="24" t="str">
        <f t="shared" si="28"/>
        <v>Cà ri bò + bánh mỳBánh mì</v>
      </c>
      <c r="C498" s="24" t="s">
        <v>8</v>
      </c>
      <c r="D498" t="s">
        <v>20</v>
      </c>
      <c r="E498" t="s">
        <v>345</v>
      </c>
      <c r="F498" t="s">
        <v>395</v>
      </c>
      <c r="G498" s="17">
        <v>100</v>
      </c>
      <c r="H498" s="18">
        <v>2000</v>
      </c>
      <c r="I498" s="18">
        <v>100</v>
      </c>
      <c r="J498" s="17">
        <f t="shared" si="26"/>
        <v>1</v>
      </c>
      <c r="K498" s="18">
        <f t="shared" si="27"/>
        <v>2000</v>
      </c>
    </row>
    <row r="499" spans="1:11" x14ac:dyDescent="0.35">
      <c r="A499" s="24" t="s">
        <v>233</v>
      </c>
      <c r="B499" s="24" t="str">
        <f t="shared" si="28"/>
        <v>Cà ri bò + bánh mỳChanh</v>
      </c>
      <c r="C499" s="24" t="s">
        <v>8</v>
      </c>
      <c r="D499" t="s">
        <v>20</v>
      </c>
      <c r="E499" t="s">
        <v>345</v>
      </c>
      <c r="F499" t="s">
        <v>25</v>
      </c>
      <c r="G499" s="17">
        <v>0.8</v>
      </c>
      <c r="H499" s="18">
        <v>25000</v>
      </c>
      <c r="I499" s="18">
        <v>100</v>
      </c>
      <c r="J499" s="17">
        <f t="shared" si="26"/>
        <v>8.0000000000000002E-3</v>
      </c>
      <c r="K499" s="18">
        <f t="shared" si="27"/>
        <v>200</v>
      </c>
    </row>
    <row r="500" spans="1:11" x14ac:dyDescent="0.35">
      <c r="A500" s="24" t="s">
        <v>233</v>
      </c>
      <c r="B500" s="24" t="str">
        <f t="shared" si="28"/>
        <v>Phở bòChanh</v>
      </c>
      <c r="C500" s="24" t="s">
        <v>8</v>
      </c>
      <c r="D500" t="s">
        <v>20</v>
      </c>
      <c r="E500" t="s">
        <v>482</v>
      </c>
      <c r="F500" t="s">
        <v>25</v>
      </c>
      <c r="G500" s="17">
        <v>0.8</v>
      </c>
      <c r="H500" s="18">
        <v>25000</v>
      </c>
      <c r="I500" s="18">
        <v>100</v>
      </c>
      <c r="J500" s="17">
        <f t="shared" si="26"/>
        <v>8.0000000000000002E-3</v>
      </c>
      <c r="K500" s="18">
        <f t="shared" si="27"/>
        <v>200</v>
      </c>
    </row>
    <row r="501" spans="1:11" x14ac:dyDescent="0.35">
      <c r="A501" s="24" t="s">
        <v>233</v>
      </c>
      <c r="B501" s="24" t="str">
        <f t="shared" si="28"/>
        <v>Phở bòGiá</v>
      </c>
      <c r="C501" s="24" t="s">
        <v>8</v>
      </c>
      <c r="D501" t="s">
        <v>20</v>
      </c>
      <c r="E501" t="s">
        <v>482</v>
      </c>
      <c r="F501" t="s">
        <v>26</v>
      </c>
      <c r="G501" s="17">
        <v>2.5</v>
      </c>
      <c r="H501" s="18">
        <v>25000</v>
      </c>
      <c r="I501" s="18">
        <v>100</v>
      </c>
      <c r="J501" s="17">
        <f t="shared" si="26"/>
        <v>2.5000000000000001E-2</v>
      </c>
      <c r="K501" s="18">
        <f t="shared" si="27"/>
        <v>625</v>
      </c>
    </row>
    <row r="502" spans="1:11" x14ac:dyDescent="0.35">
      <c r="A502" s="24" t="s">
        <v>233</v>
      </c>
      <c r="B502" s="24" t="str">
        <f t="shared" si="28"/>
        <v>Phở bòHành lá</v>
      </c>
      <c r="C502" s="24" t="s">
        <v>8</v>
      </c>
      <c r="D502" t="s">
        <v>20</v>
      </c>
      <c r="E502" t="s">
        <v>482</v>
      </c>
      <c r="F502" t="s">
        <v>24</v>
      </c>
      <c r="G502" s="17">
        <v>0.5</v>
      </c>
      <c r="H502" s="18">
        <v>25000</v>
      </c>
      <c r="I502" s="18">
        <v>100</v>
      </c>
      <c r="J502" s="17">
        <f t="shared" ref="J502:J565" si="29">G502/I502</f>
        <v>5.0000000000000001E-3</v>
      </c>
      <c r="K502" s="18">
        <f t="shared" si="27"/>
        <v>125</v>
      </c>
    </row>
    <row r="503" spans="1:11" x14ac:dyDescent="0.35">
      <c r="A503" s="24" t="s">
        <v>233</v>
      </c>
      <c r="B503" s="24" t="str">
        <f t="shared" si="28"/>
        <v>Phở bòHành tây</v>
      </c>
      <c r="C503" s="24" t="s">
        <v>8</v>
      </c>
      <c r="D503" t="s">
        <v>20</v>
      </c>
      <c r="E503" t="s">
        <v>482</v>
      </c>
      <c r="F503" t="s">
        <v>35</v>
      </c>
      <c r="G503" s="17">
        <v>1.2</v>
      </c>
      <c r="H503" s="18">
        <v>25000</v>
      </c>
      <c r="I503" s="18">
        <v>100</v>
      </c>
      <c r="J503" s="17">
        <f t="shared" si="29"/>
        <v>1.2E-2</v>
      </c>
      <c r="K503" s="18">
        <f t="shared" si="27"/>
        <v>300</v>
      </c>
    </row>
    <row r="504" spans="1:11" x14ac:dyDescent="0.35">
      <c r="A504" s="24" t="s">
        <v>233</v>
      </c>
      <c r="B504" s="24" t="str">
        <f t="shared" si="28"/>
        <v>Phở bòNgò gai</v>
      </c>
      <c r="C504" s="24" t="s">
        <v>8</v>
      </c>
      <c r="D504" t="s">
        <v>20</v>
      </c>
      <c r="E504" t="s">
        <v>482</v>
      </c>
      <c r="F504" t="s">
        <v>101</v>
      </c>
      <c r="G504" s="17">
        <v>0.2</v>
      </c>
      <c r="H504" s="18">
        <v>25000</v>
      </c>
      <c r="I504" s="18">
        <v>100</v>
      </c>
      <c r="J504" s="17">
        <f t="shared" si="29"/>
        <v>2E-3</v>
      </c>
      <c r="K504" s="18">
        <f t="shared" si="27"/>
        <v>50</v>
      </c>
    </row>
    <row r="505" spans="1:11" x14ac:dyDescent="0.35">
      <c r="A505" s="24" t="s">
        <v>233</v>
      </c>
      <c r="B505" s="24" t="str">
        <f t="shared" si="28"/>
        <v>Phở bòRau quế</v>
      </c>
      <c r="C505" s="24" t="s">
        <v>8</v>
      </c>
      <c r="D505" t="s">
        <v>20</v>
      </c>
      <c r="E505" t="s">
        <v>482</v>
      </c>
      <c r="F505" t="s">
        <v>23</v>
      </c>
      <c r="G505" s="17">
        <v>0.3</v>
      </c>
      <c r="H505" s="18">
        <v>25000</v>
      </c>
      <c r="I505" s="18">
        <v>100</v>
      </c>
      <c r="J505" s="17">
        <f t="shared" si="29"/>
        <v>3.0000000000000001E-3</v>
      </c>
      <c r="K505" s="18">
        <f t="shared" si="27"/>
        <v>75</v>
      </c>
    </row>
    <row r="506" spans="1:11" x14ac:dyDescent="0.35">
      <c r="A506" s="24" t="s">
        <v>233</v>
      </c>
      <c r="B506" s="24" t="str">
        <f t="shared" si="28"/>
        <v>Phở bòBò M42</v>
      </c>
      <c r="C506" s="24" t="s">
        <v>8</v>
      </c>
      <c r="D506" t="s">
        <v>20</v>
      </c>
      <c r="E506" t="s">
        <v>482</v>
      </c>
      <c r="F506" t="s">
        <v>406</v>
      </c>
      <c r="G506" s="17">
        <v>6.5</v>
      </c>
      <c r="H506" s="18">
        <v>25000</v>
      </c>
      <c r="I506" s="18">
        <v>100</v>
      </c>
      <c r="J506" s="17">
        <f t="shared" si="29"/>
        <v>6.5000000000000002E-2</v>
      </c>
      <c r="K506" s="18">
        <f t="shared" si="27"/>
        <v>1625</v>
      </c>
    </row>
    <row r="507" spans="1:11" x14ac:dyDescent="0.35">
      <c r="A507" s="24" t="s">
        <v>233</v>
      </c>
      <c r="B507" s="24" t="str">
        <f t="shared" si="28"/>
        <v>Phở bòxương ống bò</v>
      </c>
      <c r="C507" s="24" t="s">
        <v>8</v>
      </c>
      <c r="D507" t="s">
        <v>20</v>
      </c>
      <c r="E507" t="s">
        <v>482</v>
      </c>
      <c r="F507" t="s">
        <v>432</v>
      </c>
      <c r="G507" s="17">
        <v>2</v>
      </c>
      <c r="H507" s="18">
        <v>25000</v>
      </c>
      <c r="I507" s="18">
        <v>100</v>
      </c>
      <c r="J507" s="17">
        <f t="shared" si="29"/>
        <v>0.02</v>
      </c>
      <c r="K507" s="18">
        <f t="shared" si="27"/>
        <v>500</v>
      </c>
    </row>
    <row r="508" spans="1:11" x14ac:dyDescent="0.35">
      <c r="A508" s="24" t="s">
        <v>233</v>
      </c>
      <c r="B508" s="24" t="str">
        <f t="shared" si="28"/>
        <v>Phở bòXà lách</v>
      </c>
      <c r="C508" s="24" t="s">
        <v>8</v>
      </c>
      <c r="D508" t="s">
        <v>20</v>
      </c>
      <c r="E508" t="s">
        <v>482</v>
      </c>
      <c r="F508" t="s">
        <v>197</v>
      </c>
      <c r="G508" s="17">
        <v>2</v>
      </c>
      <c r="H508" s="18">
        <v>25000</v>
      </c>
      <c r="I508" s="18">
        <v>100</v>
      </c>
      <c r="J508" s="17">
        <f t="shared" si="29"/>
        <v>0.02</v>
      </c>
      <c r="K508" s="18">
        <f t="shared" si="27"/>
        <v>500</v>
      </c>
    </row>
    <row r="509" spans="1:11" x14ac:dyDescent="0.35">
      <c r="A509" s="24" t="s">
        <v>233</v>
      </c>
      <c r="B509" s="24" t="str">
        <f t="shared" si="28"/>
        <v>Phở bòCủ cải</v>
      </c>
      <c r="C509" s="24" t="s">
        <v>8</v>
      </c>
      <c r="D509" t="s">
        <v>20</v>
      </c>
      <c r="E509" t="s">
        <v>482</v>
      </c>
      <c r="F509" t="s">
        <v>202</v>
      </c>
      <c r="G509" s="17">
        <v>1</v>
      </c>
      <c r="H509" s="18">
        <v>25000</v>
      </c>
      <c r="I509" s="18">
        <v>100</v>
      </c>
      <c r="J509" s="17">
        <f t="shared" si="29"/>
        <v>0.01</v>
      </c>
      <c r="K509" s="18">
        <f t="shared" si="27"/>
        <v>250</v>
      </c>
    </row>
    <row r="510" spans="1:11" x14ac:dyDescent="0.35">
      <c r="A510" s="24" t="s">
        <v>233</v>
      </c>
      <c r="B510" s="24" t="str">
        <f t="shared" si="28"/>
        <v>Phở bòĐu đủ xanh</v>
      </c>
      <c r="C510" s="24" t="s">
        <v>8</v>
      </c>
      <c r="D510" t="s">
        <v>20</v>
      </c>
      <c r="E510" t="s">
        <v>482</v>
      </c>
      <c r="F510" t="s">
        <v>302</v>
      </c>
      <c r="G510" s="17">
        <v>0.8</v>
      </c>
      <c r="H510" s="18">
        <v>25000</v>
      </c>
      <c r="I510" s="18">
        <v>100</v>
      </c>
      <c r="J510" s="17">
        <f t="shared" si="29"/>
        <v>8.0000000000000002E-3</v>
      </c>
      <c r="K510" s="18">
        <f t="shared" si="27"/>
        <v>200</v>
      </c>
    </row>
    <row r="511" spans="1:11" x14ac:dyDescent="0.35">
      <c r="A511" s="24" t="s">
        <v>233</v>
      </c>
      <c r="B511" s="24" t="str">
        <f t="shared" si="28"/>
        <v>Phở bòTỏi</v>
      </c>
      <c r="C511" s="24" t="s">
        <v>8</v>
      </c>
      <c r="D511" t="s">
        <v>20</v>
      </c>
      <c r="E511" t="s">
        <v>482</v>
      </c>
      <c r="F511" t="s">
        <v>382</v>
      </c>
      <c r="G511" s="17">
        <v>0.2</v>
      </c>
      <c r="H511" s="18">
        <v>25000</v>
      </c>
      <c r="I511" s="18">
        <v>100</v>
      </c>
      <c r="J511" s="17">
        <f t="shared" si="29"/>
        <v>2E-3</v>
      </c>
      <c r="K511" s="18">
        <f t="shared" si="27"/>
        <v>50</v>
      </c>
    </row>
    <row r="512" spans="1:11" x14ac:dyDescent="0.35">
      <c r="A512" s="24" t="s">
        <v>233</v>
      </c>
      <c r="B512" s="24" t="str">
        <f t="shared" si="28"/>
        <v>Phở bòHành tái</v>
      </c>
      <c r="C512" s="24" t="s">
        <v>8</v>
      </c>
      <c r="D512" t="s">
        <v>20</v>
      </c>
      <c r="E512" t="s">
        <v>482</v>
      </c>
      <c r="F512" t="s">
        <v>371</v>
      </c>
      <c r="G512" s="17">
        <v>0.2</v>
      </c>
      <c r="H512" s="18">
        <v>25000</v>
      </c>
      <c r="I512" s="18">
        <v>100</v>
      </c>
      <c r="J512" s="17">
        <f t="shared" si="29"/>
        <v>2E-3</v>
      </c>
      <c r="K512" s="18">
        <f t="shared" si="27"/>
        <v>50</v>
      </c>
    </row>
    <row r="513" spans="1:11" x14ac:dyDescent="0.35">
      <c r="A513" s="24" t="s">
        <v>233</v>
      </c>
      <c r="B513" s="24" t="str">
        <f t="shared" si="28"/>
        <v>Phở bòCà rốt</v>
      </c>
      <c r="C513" s="24" t="s">
        <v>8</v>
      </c>
      <c r="D513" t="s">
        <v>20</v>
      </c>
      <c r="E513" t="s">
        <v>482</v>
      </c>
      <c r="F513" t="s">
        <v>78</v>
      </c>
      <c r="G513" s="17">
        <v>0.8</v>
      </c>
      <c r="H513" s="18">
        <v>25000</v>
      </c>
      <c r="I513" s="18">
        <v>100</v>
      </c>
      <c r="J513" s="17">
        <f t="shared" si="29"/>
        <v>8.0000000000000002E-3</v>
      </c>
      <c r="K513" s="18">
        <f t="shared" si="27"/>
        <v>200</v>
      </c>
    </row>
    <row r="514" spans="1:11" x14ac:dyDescent="0.35">
      <c r="A514" s="24" t="s">
        <v>233</v>
      </c>
      <c r="B514" s="24" t="str">
        <f t="shared" si="28"/>
        <v>Phở bòỚt sừng</v>
      </c>
      <c r="C514" s="24" t="s">
        <v>8</v>
      </c>
      <c r="D514" t="s">
        <v>20</v>
      </c>
      <c r="E514" t="s">
        <v>482</v>
      </c>
      <c r="F514" t="s">
        <v>203</v>
      </c>
      <c r="G514" s="17">
        <v>0.1</v>
      </c>
      <c r="H514" s="18">
        <v>25000</v>
      </c>
      <c r="I514" s="18">
        <v>100</v>
      </c>
      <c r="J514" s="17">
        <f t="shared" si="29"/>
        <v>1E-3</v>
      </c>
      <c r="K514" s="18">
        <f t="shared" si="27"/>
        <v>25</v>
      </c>
    </row>
    <row r="515" spans="1:11" x14ac:dyDescent="0.35">
      <c r="A515" s="24" t="s">
        <v>233</v>
      </c>
      <c r="B515" s="24" t="str">
        <f t="shared" si="28"/>
        <v>Phở bòQuế hồi</v>
      </c>
      <c r="C515" s="24" t="s">
        <v>8</v>
      </c>
      <c r="D515" t="s">
        <v>20</v>
      </c>
      <c r="E515" t="s">
        <v>482</v>
      </c>
      <c r="F515" t="s">
        <v>379</v>
      </c>
      <c r="G515" s="17">
        <v>0.1</v>
      </c>
      <c r="H515" s="18">
        <v>25000</v>
      </c>
      <c r="I515" s="18">
        <v>100</v>
      </c>
      <c r="J515" s="17">
        <f t="shared" si="29"/>
        <v>1E-3</v>
      </c>
      <c r="K515" s="18">
        <f t="shared" ref="K515:K567" si="30">(G515*H515)/I515</f>
        <v>25</v>
      </c>
    </row>
    <row r="516" spans="1:11" x14ac:dyDescent="0.35">
      <c r="A516" s="24" t="s">
        <v>233</v>
      </c>
      <c r="B516" s="24" t="str">
        <f t="shared" si="28"/>
        <v>Phở bòTương ớt</v>
      </c>
      <c r="C516" s="24" t="s">
        <v>8</v>
      </c>
      <c r="D516" t="s">
        <v>20</v>
      </c>
      <c r="E516" t="s">
        <v>482</v>
      </c>
      <c r="F516" t="s">
        <v>380</v>
      </c>
      <c r="G516" s="17">
        <v>2</v>
      </c>
      <c r="H516" s="18">
        <v>25000</v>
      </c>
      <c r="I516" s="18">
        <v>100</v>
      </c>
      <c r="J516" s="17">
        <f t="shared" si="29"/>
        <v>0.02</v>
      </c>
      <c r="K516" s="18">
        <f t="shared" si="30"/>
        <v>500</v>
      </c>
    </row>
    <row r="517" spans="1:11" x14ac:dyDescent="0.35">
      <c r="A517" s="24" t="s">
        <v>233</v>
      </c>
      <c r="B517" s="24" t="str">
        <f t="shared" si="28"/>
        <v>Phở bòPhở tươi</v>
      </c>
      <c r="C517" s="24" t="s">
        <v>8</v>
      </c>
      <c r="D517" t="s">
        <v>20</v>
      </c>
      <c r="E517" t="s">
        <v>482</v>
      </c>
      <c r="F517" t="s">
        <v>399</v>
      </c>
      <c r="G517" s="17">
        <v>33</v>
      </c>
      <c r="H517" s="18">
        <v>25000</v>
      </c>
      <c r="I517" s="18">
        <v>100</v>
      </c>
      <c r="J517" s="17">
        <f t="shared" si="29"/>
        <v>0.33</v>
      </c>
      <c r="K517" s="18">
        <f t="shared" si="30"/>
        <v>8250</v>
      </c>
    </row>
    <row r="518" spans="1:11" x14ac:dyDescent="0.35">
      <c r="A518" s="24" t="s">
        <v>233</v>
      </c>
      <c r="B518" s="24" t="str">
        <f t="shared" si="28"/>
        <v>bánh canh tôm chả trứngBánh canh</v>
      </c>
      <c r="C518" s="24" t="s">
        <v>8</v>
      </c>
      <c r="D518" t="s">
        <v>20</v>
      </c>
      <c r="E518" s="24" t="s">
        <v>484</v>
      </c>
      <c r="F518" t="s">
        <v>366</v>
      </c>
      <c r="G518" s="17">
        <v>17</v>
      </c>
      <c r="H518" s="18">
        <v>15000</v>
      </c>
      <c r="I518" s="18">
        <v>100</v>
      </c>
      <c r="J518" s="17">
        <f t="shared" si="29"/>
        <v>0.17</v>
      </c>
      <c r="K518" s="18">
        <f t="shared" si="30"/>
        <v>2550</v>
      </c>
    </row>
    <row r="519" spans="1:11" x14ac:dyDescent="0.35">
      <c r="A519" s="24" t="s">
        <v>233</v>
      </c>
      <c r="B519" s="24" t="str">
        <f t="shared" si="28"/>
        <v>bánh canh tôm chả trứngTrứng cút lột sẵn</v>
      </c>
      <c r="C519" s="24" t="s">
        <v>8</v>
      </c>
      <c r="D519" t="s">
        <v>20</v>
      </c>
      <c r="E519" s="24" t="s">
        <v>484</v>
      </c>
      <c r="F519" t="s">
        <v>390</v>
      </c>
      <c r="G519" s="17">
        <v>300</v>
      </c>
      <c r="H519" s="18">
        <v>600</v>
      </c>
      <c r="I519" s="18">
        <v>100</v>
      </c>
      <c r="J519" s="17">
        <f t="shared" si="29"/>
        <v>3</v>
      </c>
      <c r="K519" s="18">
        <f t="shared" si="30"/>
        <v>1800</v>
      </c>
    </row>
    <row r="520" spans="1:11" x14ac:dyDescent="0.35">
      <c r="A520" s="24" t="s">
        <v>233</v>
      </c>
      <c r="B520" s="24" t="str">
        <f t="shared" si="28"/>
        <v>bánh canh tôm chả trứngHành lá</v>
      </c>
      <c r="C520" s="24" t="s">
        <v>8</v>
      </c>
      <c r="D520" t="s">
        <v>20</v>
      </c>
      <c r="E520" s="24" t="s">
        <v>484</v>
      </c>
      <c r="F520" t="s">
        <v>24</v>
      </c>
      <c r="G520" s="17">
        <v>0.5</v>
      </c>
      <c r="H520" s="18">
        <v>20000</v>
      </c>
      <c r="I520" s="18">
        <v>100</v>
      </c>
      <c r="J520" s="17">
        <f t="shared" si="29"/>
        <v>5.0000000000000001E-3</v>
      </c>
      <c r="K520" s="18">
        <f t="shared" si="30"/>
        <v>100</v>
      </c>
    </row>
    <row r="521" spans="1:11" x14ac:dyDescent="0.35">
      <c r="A521" s="24" t="s">
        <v>233</v>
      </c>
      <c r="B521" s="24" t="str">
        <f t="shared" si="28"/>
        <v>bánh canh tôm chả trứngNgò gai</v>
      </c>
      <c r="C521" s="24" t="s">
        <v>8</v>
      </c>
      <c r="D521" t="s">
        <v>20</v>
      </c>
      <c r="E521" s="24" t="s">
        <v>484</v>
      </c>
      <c r="F521" t="s">
        <v>101</v>
      </c>
      <c r="G521" s="17">
        <v>0.3</v>
      </c>
      <c r="H521" s="18">
        <v>30000</v>
      </c>
      <c r="I521" s="18">
        <v>100</v>
      </c>
      <c r="J521" s="17">
        <f t="shared" si="29"/>
        <v>3.0000000000000001E-3</v>
      </c>
      <c r="K521" s="18">
        <f t="shared" si="30"/>
        <v>90</v>
      </c>
    </row>
    <row r="522" spans="1:11" x14ac:dyDescent="0.35">
      <c r="A522" s="24" t="s">
        <v>233</v>
      </c>
      <c r="B522" s="24" t="str">
        <f t="shared" si="28"/>
        <v>bánh canh tôm chả trứngHành phi</v>
      </c>
      <c r="C522" s="24" t="s">
        <v>8</v>
      </c>
      <c r="D522" t="s">
        <v>20</v>
      </c>
      <c r="E522" s="24" t="s">
        <v>484</v>
      </c>
      <c r="F522" t="s">
        <v>363</v>
      </c>
      <c r="G522" s="17">
        <v>0.3</v>
      </c>
      <c r="H522" s="18">
        <v>50000</v>
      </c>
      <c r="I522" s="18">
        <v>100</v>
      </c>
      <c r="J522" s="17">
        <f t="shared" si="29"/>
        <v>3.0000000000000001E-3</v>
      </c>
      <c r="K522" s="18">
        <f t="shared" si="30"/>
        <v>150</v>
      </c>
    </row>
    <row r="523" spans="1:11" x14ac:dyDescent="0.35">
      <c r="A523" s="24" t="s">
        <v>233</v>
      </c>
      <c r="B523" s="24" t="str">
        <f t="shared" si="28"/>
        <v>bánh canh tôm chả trứngChanh</v>
      </c>
      <c r="C523" s="24" t="s">
        <v>8</v>
      </c>
      <c r="D523" t="s">
        <v>20</v>
      </c>
      <c r="E523" s="24" t="s">
        <v>484</v>
      </c>
      <c r="F523" t="s">
        <v>25</v>
      </c>
      <c r="G523" s="17">
        <v>0.8</v>
      </c>
      <c r="H523" s="18">
        <v>25000</v>
      </c>
      <c r="I523" s="18">
        <v>100</v>
      </c>
      <c r="J523" s="17">
        <f t="shared" si="29"/>
        <v>8.0000000000000002E-3</v>
      </c>
      <c r="K523" s="18">
        <f t="shared" si="30"/>
        <v>200</v>
      </c>
    </row>
    <row r="524" spans="1:11" x14ac:dyDescent="0.35">
      <c r="A524" s="24" t="s">
        <v>233</v>
      </c>
      <c r="B524" s="24" t="str">
        <f t="shared" si="28"/>
        <v>bánh canh tôm chả trứngHành tây</v>
      </c>
      <c r="C524" s="24" t="s">
        <v>8</v>
      </c>
      <c r="D524" t="s">
        <v>20</v>
      </c>
      <c r="E524" s="24" t="s">
        <v>484</v>
      </c>
      <c r="F524" t="s">
        <v>35</v>
      </c>
      <c r="G524" s="17">
        <v>1.2</v>
      </c>
      <c r="H524" s="18">
        <v>15000</v>
      </c>
      <c r="I524" s="18">
        <v>100</v>
      </c>
      <c r="J524" s="17">
        <f t="shared" si="29"/>
        <v>1.2E-2</v>
      </c>
      <c r="K524" s="18">
        <f t="shared" si="30"/>
        <v>180</v>
      </c>
    </row>
    <row r="525" spans="1:11" x14ac:dyDescent="0.35">
      <c r="A525" s="24" t="s">
        <v>233</v>
      </c>
      <c r="B525" s="24" t="str">
        <f t="shared" si="28"/>
        <v>bánh canh tôm chả trứngThơm</v>
      </c>
      <c r="C525" s="24" t="s">
        <v>8</v>
      </c>
      <c r="D525" t="s">
        <v>20</v>
      </c>
      <c r="E525" s="24" t="s">
        <v>484</v>
      </c>
      <c r="F525" t="s">
        <v>4</v>
      </c>
      <c r="G525" s="17">
        <v>1</v>
      </c>
      <c r="H525" s="18">
        <v>17000</v>
      </c>
      <c r="I525" s="18">
        <v>100</v>
      </c>
      <c r="J525" s="17">
        <f t="shared" si="29"/>
        <v>0.01</v>
      </c>
      <c r="K525" s="18">
        <f t="shared" si="30"/>
        <v>170</v>
      </c>
    </row>
    <row r="526" spans="1:11" x14ac:dyDescent="0.35">
      <c r="A526" s="24" t="s">
        <v>233</v>
      </c>
      <c r="B526" s="24" t="str">
        <f t="shared" si="28"/>
        <v>bánh canh tôm chả trứngCua đồng</v>
      </c>
      <c r="C526" s="24" t="s">
        <v>8</v>
      </c>
      <c r="D526" t="s">
        <v>20</v>
      </c>
      <c r="E526" s="24" t="s">
        <v>484</v>
      </c>
      <c r="F526" t="s">
        <v>403</v>
      </c>
      <c r="G526" s="17">
        <v>0.5</v>
      </c>
      <c r="H526" s="18">
        <v>50000</v>
      </c>
      <c r="I526" s="18">
        <v>100</v>
      </c>
      <c r="J526" s="17">
        <f t="shared" si="29"/>
        <v>5.0000000000000001E-3</v>
      </c>
      <c r="K526" s="18">
        <f t="shared" si="30"/>
        <v>250</v>
      </c>
    </row>
    <row r="527" spans="1:11" x14ac:dyDescent="0.35">
      <c r="A527" s="24" t="s">
        <v>233</v>
      </c>
      <c r="B527" s="24" t="str">
        <f t="shared" si="28"/>
        <v>bánh canh tôm chả trứngChả cá tấm chiên</v>
      </c>
      <c r="C527" s="24" t="s">
        <v>8</v>
      </c>
      <c r="D527" t="s">
        <v>20</v>
      </c>
      <c r="E527" s="24" t="s">
        <v>484</v>
      </c>
      <c r="F527" t="s">
        <v>268</v>
      </c>
      <c r="G527" s="17">
        <v>4.5</v>
      </c>
      <c r="H527" s="18">
        <v>70000</v>
      </c>
      <c r="I527" s="18">
        <v>100</v>
      </c>
      <c r="J527" s="17">
        <f t="shared" si="29"/>
        <v>4.4999999999999998E-2</v>
      </c>
      <c r="K527" s="18">
        <f t="shared" si="30"/>
        <v>3150</v>
      </c>
    </row>
    <row r="528" spans="1:11" x14ac:dyDescent="0.35">
      <c r="A528" s="24" t="s">
        <v>233</v>
      </c>
      <c r="B528" s="24" t="str">
        <f t="shared" si="28"/>
        <v>bánh canh tôm chả trứngTôm  ~120</v>
      </c>
      <c r="C528" s="24" t="s">
        <v>8</v>
      </c>
      <c r="D528" t="s">
        <v>20</v>
      </c>
      <c r="E528" s="24" t="s">
        <v>484</v>
      </c>
      <c r="F528" t="s">
        <v>483</v>
      </c>
      <c r="G528" s="17">
        <v>1.7</v>
      </c>
      <c r="H528" s="18">
        <v>100000</v>
      </c>
      <c r="I528" s="18">
        <v>100</v>
      </c>
      <c r="J528" s="17">
        <f t="shared" si="29"/>
        <v>1.7000000000000001E-2</v>
      </c>
      <c r="K528" s="18">
        <f t="shared" si="30"/>
        <v>1700</v>
      </c>
    </row>
    <row r="529" spans="1:11" x14ac:dyDescent="0.35">
      <c r="A529" s="24" t="s">
        <v>233</v>
      </c>
      <c r="B529" s="24" t="str">
        <f t="shared" si="28"/>
        <v>bánh canh tôm chả trứngxương ống bò</v>
      </c>
      <c r="C529" s="24" t="s">
        <v>8</v>
      </c>
      <c r="D529" t="s">
        <v>20</v>
      </c>
      <c r="E529" s="24" t="s">
        <v>484</v>
      </c>
      <c r="F529" t="s">
        <v>432</v>
      </c>
      <c r="G529" s="17">
        <v>2</v>
      </c>
      <c r="H529" s="18">
        <v>30000</v>
      </c>
      <c r="I529" s="18">
        <v>100</v>
      </c>
      <c r="J529" s="17">
        <f t="shared" si="29"/>
        <v>0.02</v>
      </c>
      <c r="K529" s="18">
        <f t="shared" si="30"/>
        <v>600</v>
      </c>
    </row>
    <row r="530" spans="1:11" x14ac:dyDescent="0.35">
      <c r="A530" s="24" t="s">
        <v>233</v>
      </c>
      <c r="B530" s="24" t="str">
        <f t="shared" si="28"/>
        <v>bánh canh tôm chả trứngBánh mì</v>
      </c>
      <c r="C530" s="24" t="s">
        <v>8</v>
      </c>
      <c r="D530" t="s">
        <v>20</v>
      </c>
      <c r="E530" s="24" t="s">
        <v>484</v>
      </c>
      <c r="F530" t="s">
        <v>395</v>
      </c>
      <c r="G530" s="17">
        <v>100</v>
      </c>
      <c r="H530" s="18">
        <v>2000</v>
      </c>
      <c r="I530" s="18">
        <v>100</v>
      </c>
      <c r="J530" s="17">
        <f t="shared" si="29"/>
        <v>1</v>
      </c>
      <c r="K530" s="18">
        <f t="shared" si="30"/>
        <v>2000</v>
      </c>
    </row>
    <row r="531" spans="1:11" x14ac:dyDescent="0.35">
      <c r="A531" s="24" t="s">
        <v>233</v>
      </c>
      <c r="B531" s="24" t="str">
        <f t="shared" si="28"/>
        <v>bánh canh tôm chả trứngSả</v>
      </c>
      <c r="C531" s="24" t="s">
        <v>8</v>
      </c>
      <c r="D531" t="s">
        <v>20</v>
      </c>
      <c r="E531" s="24" t="s">
        <v>484</v>
      </c>
      <c r="F531" t="s">
        <v>207</v>
      </c>
      <c r="G531" s="17">
        <v>0.3</v>
      </c>
      <c r="H531" s="18">
        <v>30000</v>
      </c>
      <c r="I531" s="18">
        <v>100</v>
      </c>
      <c r="J531" s="17">
        <f t="shared" si="29"/>
        <v>3.0000000000000001E-3</v>
      </c>
      <c r="K531" s="18">
        <f t="shared" si="30"/>
        <v>90</v>
      </c>
    </row>
    <row r="532" spans="1:11" x14ac:dyDescent="0.35">
      <c r="A532" s="24" t="s">
        <v>233</v>
      </c>
      <c r="B532" s="24" t="str">
        <f t="shared" si="28"/>
        <v>Bánh canh cá lócBánh canh</v>
      </c>
      <c r="C532" s="24" t="s">
        <v>8</v>
      </c>
      <c r="D532" t="s">
        <v>20</v>
      </c>
      <c r="E532" s="24" t="s">
        <v>485</v>
      </c>
      <c r="F532" t="s">
        <v>366</v>
      </c>
      <c r="G532" s="17">
        <v>17</v>
      </c>
      <c r="H532" s="18">
        <v>15000</v>
      </c>
      <c r="I532" s="18">
        <v>100</v>
      </c>
      <c r="J532" s="17">
        <f t="shared" si="29"/>
        <v>0.17</v>
      </c>
      <c r="K532" s="18">
        <f t="shared" si="30"/>
        <v>2550</v>
      </c>
    </row>
    <row r="533" spans="1:11" x14ac:dyDescent="0.35">
      <c r="A533" s="24" t="s">
        <v>233</v>
      </c>
      <c r="B533" s="24" t="str">
        <f t="shared" si="28"/>
        <v>Bánh canh cá lócHành lá</v>
      </c>
      <c r="C533" s="24" t="s">
        <v>8</v>
      </c>
      <c r="D533" t="s">
        <v>20</v>
      </c>
      <c r="E533" s="24" t="s">
        <v>485</v>
      </c>
      <c r="F533" t="s">
        <v>24</v>
      </c>
      <c r="G533" s="17">
        <v>0.5</v>
      </c>
      <c r="H533" s="18">
        <v>20000</v>
      </c>
      <c r="I533" s="18">
        <v>100</v>
      </c>
      <c r="J533" s="17">
        <f t="shared" si="29"/>
        <v>5.0000000000000001E-3</v>
      </c>
      <c r="K533" s="18">
        <f t="shared" si="30"/>
        <v>100</v>
      </c>
    </row>
    <row r="534" spans="1:11" x14ac:dyDescent="0.35">
      <c r="A534" s="24" t="s">
        <v>233</v>
      </c>
      <c r="B534" s="24" t="str">
        <f t="shared" si="28"/>
        <v>Bánh canh cá lócNgò gai</v>
      </c>
      <c r="C534" s="24" t="s">
        <v>8</v>
      </c>
      <c r="D534" t="s">
        <v>20</v>
      </c>
      <c r="E534" s="24" t="s">
        <v>485</v>
      </c>
      <c r="F534" t="s">
        <v>101</v>
      </c>
      <c r="G534" s="17">
        <v>0.3</v>
      </c>
      <c r="H534" s="18">
        <v>30000</v>
      </c>
      <c r="I534" s="18">
        <v>100</v>
      </c>
      <c r="J534" s="17">
        <f t="shared" si="29"/>
        <v>3.0000000000000001E-3</v>
      </c>
      <c r="K534" s="18">
        <f t="shared" si="30"/>
        <v>90</v>
      </c>
    </row>
    <row r="535" spans="1:11" x14ac:dyDescent="0.35">
      <c r="A535" s="24" t="s">
        <v>233</v>
      </c>
      <c r="B535" s="24" t="str">
        <f t="shared" ref="B535:B600" si="31">E535&amp;F535</f>
        <v>Bánh canh cá lócHành phi</v>
      </c>
      <c r="C535" s="24" t="s">
        <v>8</v>
      </c>
      <c r="D535" t="s">
        <v>20</v>
      </c>
      <c r="E535" s="24" t="s">
        <v>485</v>
      </c>
      <c r="F535" t="s">
        <v>363</v>
      </c>
      <c r="G535" s="17">
        <v>0.4</v>
      </c>
      <c r="H535" s="18">
        <v>50000</v>
      </c>
      <c r="I535" s="18">
        <v>100</v>
      </c>
      <c r="J535" s="17">
        <f t="shared" si="29"/>
        <v>4.0000000000000001E-3</v>
      </c>
      <c r="K535" s="18">
        <f t="shared" si="30"/>
        <v>200</v>
      </c>
    </row>
    <row r="536" spans="1:11" x14ac:dyDescent="0.35">
      <c r="A536" s="24" t="s">
        <v>233</v>
      </c>
      <c r="B536" s="24" t="str">
        <f t="shared" si="31"/>
        <v>Bánh canh cá lócChanh</v>
      </c>
      <c r="C536" s="24" t="s">
        <v>8</v>
      </c>
      <c r="D536" t="s">
        <v>20</v>
      </c>
      <c r="E536" s="24" t="s">
        <v>485</v>
      </c>
      <c r="F536" t="s">
        <v>25</v>
      </c>
      <c r="G536" s="17">
        <v>0.8</v>
      </c>
      <c r="H536" s="18">
        <v>25000</v>
      </c>
      <c r="I536" s="18">
        <v>100</v>
      </c>
      <c r="J536" s="17">
        <f t="shared" si="29"/>
        <v>8.0000000000000002E-3</v>
      </c>
      <c r="K536" s="18">
        <f t="shared" si="30"/>
        <v>200</v>
      </c>
    </row>
    <row r="537" spans="1:11" x14ac:dyDescent="0.35">
      <c r="A537" s="24" t="s">
        <v>233</v>
      </c>
      <c r="B537" s="24" t="str">
        <f t="shared" si="31"/>
        <v>Bánh canh cá lócHành tây</v>
      </c>
      <c r="C537" s="24" t="s">
        <v>8</v>
      </c>
      <c r="D537" t="s">
        <v>20</v>
      </c>
      <c r="E537" s="24" t="s">
        <v>485</v>
      </c>
      <c r="F537" t="s">
        <v>35</v>
      </c>
      <c r="G537" s="17">
        <v>1.2</v>
      </c>
      <c r="H537" s="18">
        <v>15000</v>
      </c>
      <c r="I537" s="18">
        <v>100</v>
      </c>
      <c r="J537" s="17">
        <f t="shared" si="29"/>
        <v>1.2E-2</v>
      </c>
      <c r="K537" s="18">
        <f t="shared" si="30"/>
        <v>180</v>
      </c>
    </row>
    <row r="538" spans="1:11" x14ac:dyDescent="0.35">
      <c r="A538" s="24" t="s">
        <v>233</v>
      </c>
      <c r="B538" s="24" t="str">
        <f t="shared" si="31"/>
        <v>Bánh canh cá lócrau răm</v>
      </c>
      <c r="C538" s="24" t="s">
        <v>8</v>
      </c>
      <c r="D538" t="s">
        <v>20</v>
      </c>
      <c r="E538" s="24" t="s">
        <v>485</v>
      </c>
      <c r="F538" t="s">
        <v>420</v>
      </c>
      <c r="G538" s="17">
        <v>0.1</v>
      </c>
      <c r="H538" s="18">
        <v>30000</v>
      </c>
      <c r="I538" s="18">
        <v>100</v>
      </c>
      <c r="J538" s="17">
        <f t="shared" si="29"/>
        <v>1E-3</v>
      </c>
      <c r="K538" s="18">
        <f t="shared" si="30"/>
        <v>30</v>
      </c>
    </row>
    <row r="539" spans="1:11" x14ac:dyDescent="0.35">
      <c r="A539" s="24" t="s">
        <v>233</v>
      </c>
      <c r="B539" s="24" t="str">
        <f t="shared" si="31"/>
        <v>Bánh canh cá lócCá lóc</v>
      </c>
      <c r="C539" s="24" t="s">
        <v>8</v>
      </c>
      <c r="D539" t="s">
        <v>20</v>
      </c>
      <c r="E539" s="24" t="s">
        <v>485</v>
      </c>
      <c r="F539" t="s">
        <v>111</v>
      </c>
      <c r="G539" s="17">
        <v>12.5</v>
      </c>
      <c r="H539" s="18">
        <v>70000</v>
      </c>
      <c r="I539" s="18">
        <v>100</v>
      </c>
      <c r="J539" s="17">
        <f t="shared" si="29"/>
        <v>0.125</v>
      </c>
      <c r="K539" s="18">
        <f t="shared" si="30"/>
        <v>8750</v>
      </c>
    </row>
    <row r="540" spans="1:11" x14ac:dyDescent="0.35">
      <c r="A540" s="24" t="s">
        <v>233</v>
      </c>
      <c r="B540" s="24" t="str">
        <f t="shared" si="31"/>
        <v>Bánh canh cá lócBánh mì</v>
      </c>
      <c r="C540" s="24" t="s">
        <v>8</v>
      </c>
      <c r="D540" t="s">
        <v>20</v>
      </c>
      <c r="E540" s="24" t="s">
        <v>485</v>
      </c>
      <c r="F540" t="s">
        <v>395</v>
      </c>
      <c r="G540" s="17">
        <v>100</v>
      </c>
      <c r="H540" s="18">
        <v>2000</v>
      </c>
      <c r="I540" s="18">
        <v>100</v>
      </c>
      <c r="J540" s="17">
        <f t="shared" si="29"/>
        <v>1</v>
      </c>
      <c r="K540" s="18">
        <f t="shared" si="30"/>
        <v>2000</v>
      </c>
    </row>
    <row r="541" spans="1:11" x14ac:dyDescent="0.35">
      <c r="A541" s="24" t="s">
        <v>233</v>
      </c>
      <c r="B541" s="24" t="str">
        <f t="shared" si="31"/>
        <v>Bánh canh cá lócSả</v>
      </c>
      <c r="C541" s="24" t="s">
        <v>8</v>
      </c>
      <c r="D541" t="s">
        <v>20</v>
      </c>
      <c r="E541" s="24" t="s">
        <v>485</v>
      </c>
      <c r="F541" t="s">
        <v>207</v>
      </c>
      <c r="G541" s="17">
        <v>0.3</v>
      </c>
      <c r="H541" s="18">
        <v>30000</v>
      </c>
      <c r="I541" s="18">
        <v>100</v>
      </c>
      <c r="J541" s="17">
        <f t="shared" si="29"/>
        <v>3.0000000000000001E-3</v>
      </c>
      <c r="K541" s="18">
        <f t="shared" si="30"/>
        <v>90</v>
      </c>
    </row>
    <row r="542" spans="1:11" x14ac:dyDescent="0.35">
      <c r="A542" s="24" t="s">
        <v>233</v>
      </c>
      <c r="B542" s="24" t="str">
        <f t="shared" si="31"/>
        <v>Bánh canh chả cuaBánh canh</v>
      </c>
      <c r="C542" s="24" t="s">
        <v>8</v>
      </c>
      <c r="D542" t="s">
        <v>20</v>
      </c>
      <c r="E542" s="24" t="s">
        <v>486</v>
      </c>
      <c r="F542" t="s">
        <v>366</v>
      </c>
      <c r="G542" s="17">
        <v>17</v>
      </c>
      <c r="H542" s="18">
        <v>15000</v>
      </c>
      <c r="I542" s="18">
        <v>100</v>
      </c>
      <c r="J542" s="17">
        <f t="shared" si="29"/>
        <v>0.17</v>
      </c>
      <c r="K542" s="18">
        <f t="shared" si="30"/>
        <v>2550</v>
      </c>
    </row>
    <row r="543" spans="1:11" x14ac:dyDescent="0.35">
      <c r="A543" s="24" t="s">
        <v>233</v>
      </c>
      <c r="B543" s="24" t="str">
        <f t="shared" si="31"/>
        <v>Bánh canh chả cuaTrứng cút lột sẵn</v>
      </c>
      <c r="C543" s="24" t="s">
        <v>8</v>
      </c>
      <c r="D543" t="s">
        <v>20</v>
      </c>
      <c r="E543" s="24" t="s">
        <v>486</v>
      </c>
      <c r="F543" t="s">
        <v>390</v>
      </c>
      <c r="G543" s="17">
        <v>300</v>
      </c>
      <c r="H543" s="18">
        <v>600</v>
      </c>
      <c r="I543" s="18">
        <v>100</v>
      </c>
      <c r="J543" s="17">
        <f t="shared" si="29"/>
        <v>3</v>
      </c>
      <c r="K543" s="18">
        <f t="shared" si="30"/>
        <v>1800</v>
      </c>
    </row>
    <row r="544" spans="1:11" x14ac:dyDescent="0.35">
      <c r="A544" s="24" t="s">
        <v>233</v>
      </c>
      <c r="B544" s="24" t="str">
        <f t="shared" si="31"/>
        <v>Bánh canh chả cuaHành lá</v>
      </c>
      <c r="C544" s="24" t="s">
        <v>8</v>
      </c>
      <c r="D544" t="s">
        <v>20</v>
      </c>
      <c r="E544" s="24" t="s">
        <v>486</v>
      </c>
      <c r="F544" t="s">
        <v>24</v>
      </c>
      <c r="G544" s="17">
        <v>0.5</v>
      </c>
      <c r="H544" s="18">
        <v>20000</v>
      </c>
      <c r="I544" s="18">
        <v>100</v>
      </c>
      <c r="J544" s="17">
        <f t="shared" si="29"/>
        <v>5.0000000000000001E-3</v>
      </c>
      <c r="K544" s="18">
        <f t="shared" si="30"/>
        <v>100</v>
      </c>
    </row>
    <row r="545" spans="1:11" x14ac:dyDescent="0.35">
      <c r="A545" s="24" t="s">
        <v>233</v>
      </c>
      <c r="B545" s="24" t="str">
        <f t="shared" si="31"/>
        <v>Bánh canh chả cuaNgò gai</v>
      </c>
      <c r="C545" s="24" t="s">
        <v>8</v>
      </c>
      <c r="D545" t="s">
        <v>20</v>
      </c>
      <c r="E545" s="24" t="s">
        <v>486</v>
      </c>
      <c r="F545" t="s">
        <v>101</v>
      </c>
      <c r="G545" s="17">
        <v>0.3</v>
      </c>
      <c r="H545" s="18">
        <v>30000</v>
      </c>
      <c r="I545" s="18">
        <v>100</v>
      </c>
      <c r="J545" s="17">
        <f t="shared" si="29"/>
        <v>3.0000000000000001E-3</v>
      </c>
      <c r="K545" s="18">
        <f t="shared" si="30"/>
        <v>90</v>
      </c>
    </row>
    <row r="546" spans="1:11" x14ac:dyDescent="0.35">
      <c r="A546" s="24" t="s">
        <v>233</v>
      </c>
      <c r="B546" s="24" t="str">
        <f t="shared" si="31"/>
        <v>Bánh canh chả cuaHành phi</v>
      </c>
      <c r="C546" s="24" t="s">
        <v>8</v>
      </c>
      <c r="D546" t="s">
        <v>20</v>
      </c>
      <c r="E546" s="24" t="s">
        <v>486</v>
      </c>
      <c r="F546" t="s">
        <v>363</v>
      </c>
      <c r="G546" s="17">
        <v>0.3</v>
      </c>
      <c r="H546" s="18">
        <v>50000</v>
      </c>
      <c r="I546" s="18">
        <v>100</v>
      </c>
      <c r="J546" s="17">
        <f t="shared" si="29"/>
        <v>3.0000000000000001E-3</v>
      </c>
      <c r="K546" s="18">
        <f t="shared" si="30"/>
        <v>150</v>
      </c>
    </row>
    <row r="547" spans="1:11" x14ac:dyDescent="0.35">
      <c r="A547" s="24" t="s">
        <v>233</v>
      </c>
      <c r="B547" s="24" t="str">
        <f t="shared" si="31"/>
        <v>Bánh canh chả cuaChanh</v>
      </c>
      <c r="C547" s="24" t="s">
        <v>8</v>
      </c>
      <c r="D547" t="s">
        <v>20</v>
      </c>
      <c r="E547" s="24" t="s">
        <v>486</v>
      </c>
      <c r="F547" t="s">
        <v>25</v>
      </c>
      <c r="G547" s="17">
        <v>0.8</v>
      </c>
      <c r="H547" s="18">
        <v>25000</v>
      </c>
      <c r="I547" s="18">
        <v>100</v>
      </c>
      <c r="J547" s="17">
        <f t="shared" si="29"/>
        <v>8.0000000000000002E-3</v>
      </c>
      <c r="K547" s="18">
        <f t="shared" si="30"/>
        <v>200</v>
      </c>
    </row>
    <row r="548" spans="1:11" x14ac:dyDescent="0.35">
      <c r="A548" s="24" t="s">
        <v>233</v>
      </c>
      <c r="B548" s="24" t="str">
        <f t="shared" si="31"/>
        <v>Bánh canh chả cuaHành tây</v>
      </c>
      <c r="C548" s="24" t="s">
        <v>8</v>
      </c>
      <c r="D548" t="s">
        <v>20</v>
      </c>
      <c r="E548" s="24" t="s">
        <v>486</v>
      </c>
      <c r="F548" t="s">
        <v>35</v>
      </c>
      <c r="G548" s="17">
        <v>1.2</v>
      </c>
      <c r="H548" s="18">
        <v>15000</v>
      </c>
      <c r="I548" s="18">
        <v>100</v>
      </c>
      <c r="J548" s="17">
        <f t="shared" si="29"/>
        <v>1.2E-2</v>
      </c>
      <c r="K548" s="18">
        <f t="shared" si="30"/>
        <v>180</v>
      </c>
    </row>
    <row r="549" spans="1:11" x14ac:dyDescent="0.35">
      <c r="A549" s="24" t="s">
        <v>233</v>
      </c>
      <c r="B549" s="24" t="str">
        <f t="shared" si="31"/>
        <v>Bánh canh chả cuaThơm</v>
      </c>
      <c r="C549" s="24" t="s">
        <v>8</v>
      </c>
      <c r="D549" t="s">
        <v>20</v>
      </c>
      <c r="E549" s="24" t="s">
        <v>486</v>
      </c>
      <c r="F549" t="s">
        <v>4</v>
      </c>
      <c r="G549" s="17">
        <v>1</v>
      </c>
      <c r="H549" s="18">
        <v>17000</v>
      </c>
      <c r="I549" s="18">
        <v>100</v>
      </c>
      <c r="J549" s="17">
        <f t="shared" si="29"/>
        <v>0.01</v>
      </c>
      <c r="K549" s="18">
        <f t="shared" si="30"/>
        <v>170</v>
      </c>
    </row>
    <row r="550" spans="1:11" x14ac:dyDescent="0.35">
      <c r="A550" s="24" t="s">
        <v>233</v>
      </c>
      <c r="B550" s="24" t="str">
        <f t="shared" si="31"/>
        <v>Bánh canh chả cuaCua đồng</v>
      </c>
      <c r="C550" s="24" t="s">
        <v>8</v>
      </c>
      <c r="D550" t="s">
        <v>20</v>
      </c>
      <c r="E550" s="24" t="s">
        <v>486</v>
      </c>
      <c r="F550" t="s">
        <v>403</v>
      </c>
      <c r="G550" s="17">
        <v>0.5</v>
      </c>
      <c r="H550" s="18">
        <v>50000</v>
      </c>
      <c r="I550" s="18">
        <v>100</v>
      </c>
      <c r="J550" s="17">
        <f t="shared" si="29"/>
        <v>5.0000000000000001E-3</v>
      </c>
      <c r="K550" s="18">
        <f t="shared" si="30"/>
        <v>250</v>
      </c>
    </row>
    <row r="551" spans="1:11" x14ac:dyDescent="0.35">
      <c r="A551" s="24" t="s">
        <v>233</v>
      </c>
      <c r="B551" s="24" t="str">
        <f t="shared" si="31"/>
        <v>Bánh canh chả cuaChả cua</v>
      </c>
      <c r="C551" s="24" t="s">
        <v>8</v>
      </c>
      <c r="D551" t="s">
        <v>20</v>
      </c>
      <c r="E551" s="24" t="s">
        <v>486</v>
      </c>
      <c r="F551" t="s">
        <v>376</v>
      </c>
      <c r="G551" s="17">
        <v>5</v>
      </c>
      <c r="H551" s="18">
        <v>110000</v>
      </c>
      <c r="I551" s="18">
        <v>100</v>
      </c>
      <c r="J551" s="17">
        <f t="shared" si="29"/>
        <v>0.05</v>
      </c>
      <c r="K551" s="18">
        <f t="shared" si="30"/>
        <v>5500</v>
      </c>
    </row>
    <row r="552" spans="1:11" x14ac:dyDescent="0.35">
      <c r="A552" s="24" t="s">
        <v>233</v>
      </c>
      <c r="B552" s="24" t="str">
        <f t="shared" si="31"/>
        <v>Bánh canh chả cuaBánh mì</v>
      </c>
      <c r="C552" s="24" t="s">
        <v>8</v>
      </c>
      <c r="D552" t="s">
        <v>20</v>
      </c>
      <c r="E552" s="24" t="s">
        <v>486</v>
      </c>
      <c r="F552" t="s">
        <v>395</v>
      </c>
      <c r="G552" s="17">
        <v>100</v>
      </c>
      <c r="H552" s="18">
        <v>2000</v>
      </c>
      <c r="I552" s="18">
        <v>100</v>
      </c>
      <c r="J552" s="17">
        <f t="shared" si="29"/>
        <v>1</v>
      </c>
      <c r="K552" s="18">
        <f t="shared" si="30"/>
        <v>2000</v>
      </c>
    </row>
    <row r="553" spans="1:11" x14ac:dyDescent="0.35">
      <c r="A553" s="24" t="s">
        <v>233</v>
      </c>
      <c r="B553" s="24" t="str">
        <f t="shared" si="31"/>
        <v>Bánh canh chả cuaSả</v>
      </c>
      <c r="C553" s="24" t="s">
        <v>8</v>
      </c>
      <c r="D553" t="s">
        <v>20</v>
      </c>
      <c r="E553" s="24" t="s">
        <v>486</v>
      </c>
      <c r="F553" t="s">
        <v>207</v>
      </c>
      <c r="G553" s="17">
        <v>0.3</v>
      </c>
      <c r="H553" s="18">
        <v>30000</v>
      </c>
      <c r="I553" s="18">
        <v>100</v>
      </c>
      <c r="J553" s="17">
        <f t="shared" si="29"/>
        <v>3.0000000000000001E-3</v>
      </c>
      <c r="K553" s="18">
        <f t="shared" si="30"/>
        <v>90</v>
      </c>
    </row>
    <row r="554" spans="1:11" x14ac:dyDescent="0.35">
      <c r="A554" s="24" t="s">
        <v>233</v>
      </c>
      <c r="B554" s="24" t="str">
        <f t="shared" si="31"/>
        <v>Bánh canh chả cuaxương ống bò</v>
      </c>
      <c r="C554" s="24" t="s">
        <v>8</v>
      </c>
      <c r="D554" t="s">
        <v>20</v>
      </c>
      <c r="E554" s="24" t="s">
        <v>486</v>
      </c>
      <c r="F554" t="s">
        <v>432</v>
      </c>
      <c r="G554" s="17">
        <v>2</v>
      </c>
      <c r="H554" s="18">
        <v>30000</v>
      </c>
      <c r="I554" s="18">
        <v>100</v>
      </c>
      <c r="J554" s="17">
        <f t="shared" si="29"/>
        <v>0.02</v>
      </c>
      <c r="K554" s="18">
        <f t="shared" si="30"/>
        <v>600</v>
      </c>
    </row>
    <row r="555" spans="1:11" x14ac:dyDescent="0.35">
      <c r="A555" s="24" t="s">
        <v>233</v>
      </c>
      <c r="B555" s="24" t="str">
        <f t="shared" si="31"/>
        <v>bún xương heoChanh</v>
      </c>
      <c r="C555" s="24" t="s">
        <v>8</v>
      </c>
      <c r="D555" t="s">
        <v>20</v>
      </c>
      <c r="E555" s="24" t="s">
        <v>487</v>
      </c>
      <c r="F555" t="s">
        <v>25</v>
      </c>
      <c r="G555" s="17">
        <v>0.8</v>
      </c>
      <c r="H555" s="18">
        <v>26000</v>
      </c>
      <c r="I555" s="18">
        <v>100</v>
      </c>
      <c r="J555" s="17">
        <f t="shared" si="29"/>
        <v>8.0000000000000002E-3</v>
      </c>
      <c r="K555" s="18">
        <f t="shared" si="30"/>
        <v>208</v>
      </c>
    </row>
    <row r="556" spans="1:11" x14ac:dyDescent="0.35">
      <c r="A556" s="24" t="s">
        <v>233</v>
      </c>
      <c r="B556" s="24" t="str">
        <f t="shared" si="31"/>
        <v>bún xương heoGiá</v>
      </c>
      <c r="C556" s="24" t="s">
        <v>8</v>
      </c>
      <c r="D556" t="s">
        <v>20</v>
      </c>
      <c r="E556" s="24" t="s">
        <v>487</v>
      </c>
      <c r="F556" t="s">
        <v>26</v>
      </c>
      <c r="G556" s="17">
        <v>2.5</v>
      </c>
      <c r="H556" s="18">
        <v>10000</v>
      </c>
      <c r="I556" s="18">
        <v>100</v>
      </c>
      <c r="J556" s="17">
        <f t="shared" si="29"/>
        <v>2.5000000000000001E-2</v>
      </c>
      <c r="K556" s="18">
        <f t="shared" si="30"/>
        <v>250</v>
      </c>
    </row>
    <row r="557" spans="1:11" x14ac:dyDescent="0.35">
      <c r="A557" s="24" t="s">
        <v>233</v>
      </c>
      <c r="B557" s="24" t="str">
        <f t="shared" si="31"/>
        <v>bún xương heoHành lá</v>
      </c>
      <c r="C557" s="24" t="s">
        <v>8</v>
      </c>
      <c r="D557" t="s">
        <v>20</v>
      </c>
      <c r="E557" s="24" t="s">
        <v>487</v>
      </c>
      <c r="F557" t="s">
        <v>24</v>
      </c>
      <c r="G557" s="17">
        <v>0.4</v>
      </c>
      <c r="H557" s="18">
        <v>20000</v>
      </c>
      <c r="I557" s="18">
        <v>100</v>
      </c>
      <c r="J557" s="17">
        <f t="shared" si="29"/>
        <v>4.0000000000000001E-3</v>
      </c>
      <c r="K557" s="18">
        <f t="shared" si="30"/>
        <v>80</v>
      </c>
    </row>
    <row r="558" spans="1:11" x14ac:dyDescent="0.35">
      <c r="A558" s="24" t="s">
        <v>233</v>
      </c>
      <c r="B558" s="24" t="str">
        <f t="shared" si="31"/>
        <v>bún xương heoHành tây</v>
      </c>
      <c r="C558" s="24" t="s">
        <v>8</v>
      </c>
      <c r="D558" t="s">
        <v>20</v>
      </c>
      <c r="E558" s="24" t="s">
        <v>487</v>
      </c>
      <c r="F558" t="s">
        <v>35</v>
      </c>
      <c r="G558" s="17">
        <v>1.5</v>
      </c>
      <c r="H558" s="18">
        <v>15000</v>
      </c>
      <c r="I558" s="18">
        <v>100</v>
      </c>
      <c r="J558" s="17">
        <f t="shared" si="29"/>
        <v>1.4999999999999999E-2</v>
      </c>
      <c r="K558" s="18">
        <f t="shared" si="30"/>
        <v>225</v>
      </c>
    </row>
    <row r="559" spans="1:11" x14ac:dyDescent="0.35">
      <c r="A559" s="24" t="s">
        <v>233</v>
      </c>
      <c r="B559" s="24" t="str">
        <f t="shared" si="31"/>
        <v>bún xương heoNgò rí</v>
      </c>
      <c r="C559" s="24" t="s">
        <v>8</v>
      </c>
      <c r="D559" t="s">
        <v>20</v>
      </c>
      <c r="E559" s="24" t="s">
        <v>487</v>
      </c>
      <c r="F559" t="s">
        <v>369</v>
      </c>
      <c r="G559" s="17">
        <v>0.2</v>
      </c>
      <c r="H559" s="18">
        <v>35000</v>
      </c>
      <c r="I559" s="18">
        <v>100</v>
      </c>
      <c r="J559" s="17">
        <f t="shared" si="29"/>
        <v>2E-3</v>
      </c>
      <c r="K559" s="18">
        <f t="shared" si="30"/>
        <v>70</v>
      </c>
    </row>
    <row r="560" spans="1:11" x14ac:dyDescent="0.35">
      <c r="A560" s="24" t="s">
        <v>233</v>
      </c>
      <c r="B560" s="24" t="str">
        <f t="shared" si="31"/>
        <v>bún xương heoRau quế</v>
      </c>
      <c r="C560" s="24" t="s">
        <v>8</v>
      </c>
      <c r="D560" t="s">
        <v>20</v>
      </c>
      <c r="E560" s="24" t="s">
        <v>487</v>
      </c>
      <c r="F560" t="s">
        <v>23</v>
      </c>
      <c r="G560" s="17">
        <v>0.3</v>
      </c>
      <c r="H560" s="18">
        <v>30000</v>
      </c>
      <c r="I560" s="18">
        <v>100</v>
      </c>
      <c r="J560" s="17">
        <f t="shared" si="29"/>
        <v>3.0000000000000001E-3</v>
      </c>
      <c r="K560" s="18">
        <f t="shared" si="30"/>
        <v>90</v>
      </c>
    </row>
    <row r="561" spans="1:11" x14ac:dyDescent="0.35">
      <c r="A561" s="24" t="s">
        <v>233</v>
      </c>
      <c r="B561" s="24" t="str">
        <f t="shared" si="31"/>
        <v>bún xương heoxương mềm</v>
      </c>
      <c r="C561" s="24" t="s">
        <v>8</v>
      </c>
      <c r="D561" t="s">
        <v>20</v>
      </c>
      <c r="E561" s="24" t="s">
        <v>487</v>
      </c>
      <c r="F561" t="s">
        <v>488</v>
      </c>
      <c r="G561" s="17">
        <v>11</v>
      </c>
      <c r="H561" s="18">
        <v>90000</v>
      </c>
      <c r="I561" s="18">
        <v>100</v>
      </c>
      <c r="J561" s="17">
        <f t="shared" si="29"/>
        <v>0.11</v>
      </c>
      <c r="K561" s="18">
        <f t="shared" si="30"/>
        <v>9900</v>
      </c>
    </row>
    <row r="562" spans="1:11" x14ac:dyDescent="0.35">
      <c r="A562" s="24" t="s">
        <v>233</v>
      </c>
      <c r="B562" s="24" t="str">
        <f t="shared" si="31"/>
        <v>bún xương heoHuyết bò</v>
      </c>
      <c r="C562" s="24" t="s">
        <v>8</v>
      </c>
      <c r="D562" t="s">
        <v>20</v>
      </c>
      <c r="E562" s="24" t="s">
        <v>487</v>
      </c>
      <c r="F562" t="s">
        <v>167</v>
      </c>
      <c r="G562" s="17">
        <v>2.5</v>
      </c>
      <c r="H562" s="18">
        <v>25000</v>
      </c>
      <c r="I562" s="18">
        <v>100</v>
      </c>
      <c r="J562" s="17">
        <f t="shared" si="29"/>
        <v>2.5000000000000001E-2</v>
      </c>
      <c r="K562" s="18">
        <f t="shared" si="30"/>
        <v>625</v>
      </c>
    </row>
    <row r="563" spans="1:11" x14ac:dyDescent="0.35">
      <c r="A563" s="24" t="s">
        <v>233</v>
      </c>
      <c r="B563" s="24" t="str">
        <f t="shared" si="31"/>
        <v>bún xương heoXà lách</v>
      </c>
      <c r="C563" s="24" t="s">
        <v>8</v>
      </c>
      <c r="D563" t="s">
        <v>20</v>
      </c>
      <c r="E563" s="24" t="s">
        <v>487</v>
      </c>
      <c r="F563" t="s">
        <v>197</v>
      </c>
      <c r="G563" s="17">
        <v>2</v>
      </c>
      <c r="H563" s="18">
        <v>22000</v>
      </c>
      <c r="I563" s="18">
        <v>100</v>
      </c>
      <c r="J563" s="17">
        <f t="shared" si="29"/>
        <v>0.02</v>
      </c>
      <c r="K563" s="18">
        <f t="shared" si="30"/>
        <v>440</v>
      </c>
    </row>
    <row r="564" spans="1:11" x14ac:dyDescent="0.35">
      <c r="A564" s="24" t="s">
        <v>233</v>
      </c>
      <c r="B564" s="24" t="str">
        <f t="shared" si="31"/>
        <v>bún xương heoCủ cải</v>
      </c>
      <c r="C564" s="24" t="s">
        <v>8</v>
      </c>
      <c r="D564" t="s">
        <v>20</v>
      </c>
      <c r="E564" s="24" t="s">
        <v>487</v>
      </c>
      <c r="F564" t="s">
        <v>202</v>
      </c>
      <c r="G564" s="17">
        <v>1</v>
      </c>
      <c r="H564" s="18">
        <v>12000</v>
      </c>
      <c r="I564" s="18">
        <v>100</v>
      </c>
      <c r="J564" s="17">
        <f t="shared" si="29"/>
        <v>0.01</v>
      </c>
      <c r="K564" s="18">
        <f t="shared" si="30"/>
        <v>120</v>
      </c>
    </row>
    <row r="565" spans="1:11" x14ac:dyDescent="0.35">
      <c r="A565" s="24" t="s">
        <v>233</v>
      </c>
      <c r="B565" s="24" t="str">
        <f t="shared" si="31"/>
        <v>bún xương heoĐu đủ xanh</v>
      </c>
      <c r="C565" s="24" t="s">
        <v>8</v>
      </c>
      <c r="D565" t="s">
        <v>20</v>
      </c>
      <c r="E565" s="24" t="s">
        <v>487</v>
      </c>
      <c r="F565" t="s">
        <v>302</v>
      </c>
      <c r="G565" s="17">
        <v>0.8</v>
      </c>
      <c r="H565" s="18">
        <v>12000</v>
      </c>
      <c r="I565" s="18">
        <v>100</v>
      </c>
      <c r="J565" s="17">
        <f t="shared" si="29"/>
        <v>8.0000000000000002E-3</v>
      </c>
      <c r="K565" s="18">
        <f t="shared" si="30"/>
        <v>96</v>
      </c>
    </row>
    <row r="566" spans="1:11" x14ac:dyDescent="0.35">
      <c r="A566" s="24" t="s">
        <v>233</v>
      </c>
      <c r="B566" s="24" t="str">
        <f t="shared" si="31"/>
        <v>bún xương heoHành tái</v>
      </c>
      <c r="C566" s="24" t="s">
        <v>8</v>
      </c>
      <c r="D566" t="s">
        <v>20</v>
      </c>
      <c r="E566" s="24" t="s">
        <v>487</v>
      </c>
      <c r="F566" t="s">
        <v>371</v>
      </c>
      <c r="G566" s="17">
        <v>0.3</v>
      </c>
      <c r="H566" s="18">
        <v>20000</v>
      </c>
      <c r="I566" s="18">
        <v>100</v>
      </c>
      <c r="J566" s="17">
        <f t="shared" ref="J566:J630" si="32">G566/I566</f>
        <v>3.0000000000000001E-3</v>
      </c>
      <c r="K566" s="18">
        <f t="shared" si="30"/>
        <v>60</v>
      </c>
    </row>
    <row r="567" spans="1:11" x14ac:dyDescent="0.35">
      <c r="A567" s="24" t="s">
        <v>233</v>
      </c>
      <c r="B567" s="24" t="str">
        <f t="shared" si="31"/>
        <v>bún xương heoCà rốt</v>
      </c>
      <c r="C567" s="24" t="s">
        <v>8</v>
      </c>
      <c r="D567" t="s">
        <v>20</v>
      </c>
      <c r="E567" s="24" t="s">
        <v>487</v>
      </c>
      <c r="F567" t="s">
        <v>78</v>
      </c>
      <c r="G567" s="17">
        <v>0.8</v>
      </c>
      <c r="H567" s="18">
        <v>15000</v>
      </c>
      <c r="I567" s="18">
        <v>100</v>
      </c>
      <c r="J567" s="17">
        <f t="shared" si="32"/>
        <v>8.0000000000000002E-3</v>
      </c>
      <c r="K567" s="18">
        <f t="shared" si="30"/>
        <v>120</v>
      </c>
    </row>
    <row r="568" spans="1:11" x14ac:dyDescent="0.35">
      <c r="A568" s="24" t="s">
        <v>233</v>
      </c>
      <c r="B568" s="24" t="str">
        <f t="shared" si="31"/>
        <v>bún xương heobún tươi</v>
      </c>
      <c r="C568" s="24" t="s">
        <v>8</v>
      </c>
      <c r="D568" t="s">
        <v>20</v>
      </c>
      <c r="E568" s="24" t="s">
        <v>487</v>
      </c>
      <c r="F568" t="s">
        <v>467</v>
      </c>
      <c r="G568" s="17">
        <v>33</v>
      </c>
      <c r="H568" s="18">
        <v>9500</v>
      </c>
      <c r="I568" s="18">
        <v>100</v>
      </c>
      <c r="J568" s="17">
        <f t="shared" si="32"/>
        <v>0.33</v>
      </c>
      <c r="K568" s="18">
        <f>(G568*H568)/I568</f>
        <v>3135</v>
      </c>
    </row>
    <row r="569" spans="1:11" x14ac:dyDescent="0.35">
      <c r="A569" s="24" t="s">
        <v>233</v>
      </c>
      <c r="B569" s="24" t="str">
        <f t="shared" si="31"/>
        <v>bún riêu cuaBún tươi</v>
      </c>
      <c r="C569" s="24" t="s">
        <v>8</v>
      </c>
      <c r="D569" t="s">
        <v>20</v>
      </c>
      <c r="E569" s="24" t="s">
        <v>489</v>
      </c>
      <c r="F569" t="s">
        <v>387</v>
      </c>
      <c r="G569" s="17">
        <v>33</v>
      </c>
      <c r="H569" s="18">
        <v>9500</v>
      </c>
      <c r="I569" s="18">
        <v>100</v>
      </c>
      <c r="J569" s="17">
        <f t="shared" si="32"/>
        <v>0.33</v>
      </c>
      <c r="K569" s="18">
        <f t="shared" ref="K569:K632" si="33">(G569*H569)/I569</f>
        <v>3135</v>
      </c>
    </row>
    <row r="570" spans="1:11" x14ac:dyDescent="0.35">
      <c r="A570" s="24" t="s">
        <v>233</v>
      </c>
      <c r="B570" s="24" t="str">
        <f t="shared" si="31"/>
        <v>bún riêu cuaHuyết bò</v>
      </c>
      <c r="C570" s="24" t="s">
        <v>8</v>
      </c>
      <c r="D570" t="s">
        <v>20</v>
      </c>
      <c r="E570" s="24" t="s">
        <v>489</v>
      </c>
      <c r="F570" t="s">
        <v>167</v>
      </c>
      <c r="G570" s="17">
        <v>2.5</v>
      </c>
      <c r="H570" s="18">
        <v>30000</v>
      </c>
      <c r="I570" s="18">
        <v>100</v>
      </c>
      <c r="J570" s="17">
        <f t="shared" si="32"/>
        <v>2.5000000000000001E-2</v>
      </c>
      <c r="K570" s="18">
        <f t="shared" si="33"/>
        <v>750</v>
      </c>
    </row>
    <row r="571" spans="1:11" x14ac:dyDescent="0.35">
      <c r="A571" s="24" t="s">
        <v>233</v>
      </c>
      <c r="B571" s="24" t="str">
        <f t="shared" si="31"/>
        <v>bún riêu cuađậu khuôn chiên lát nhỏ</v>
      </c>
      <c r="C571" s="24" t="s">
        <v>8</v>
      </c>
      <c r="D571" t="s">
        <v>20</v>
      </c>
      <c r="E571" s="24" t="s">
        <v>489</v>
      </c>
      <c r="F571" t="s">
        <v>465</v>
      </c>
      <c r="G571" s="17">
        <v>50</v>
      </c>
      <c r="H571" s="18">
        <v>1600</v>
      </c>
      <c r="I571" s="18">
        <v>100</v>
      </c>
      <c r="J571" s="17">
        <f t="shared" si="32"/>
        <v>0.5</v>
      </c>
      <c r="K571" s="18">
        <f t="shared" si="33"/>
        <v>800</v>
      </c>
    </row>
    <row r="572" spans="1:11" x14ac:dyDescent="0.35">
      <c r="A572" s="24" t="s">
        <v>233</v>
      </c>
      <c r="B572" s="24" t="str">
        <f t="shared" si="31"/>
        <v>bún riêu cuaCua đồng</v>
      </c>
      <c r="C572" s="24" t="s">
        <v>8</v>
      </c>
      <c r="D572" t="s">
        <v>20</v>
      </c>
      <c r="E572" s="24" t="s">
        <v>489</v>
      </c>
      <c r="F572" t="s">
        <v>403</v>
      </c>
      <c r="G572" s="17">
        <v>2</v>
      </c>
      <c r="H572" s="18">
        <v>50000</v>
      </c>
      <c r="I572" s="18">
        <v>100</v>
      </c>
      <c r="J572" s="17">
        <f t="shared" si="32"/>
        <v>0.02</v>
      </c>
      <c r="K572" s="18">
        <f t="shared" si="33"/>
        <v>1000</v>
      </c>
    </row>
    <row r="573" spans="1:11" x14ac:dyDescent="0.35">
      <c r="A573" s="24" t="s">
        <v>233</v>
      </c>
      <c r="B573" s="24" t="str">
        <f t="shared" si="31"/>
        <v>bún riêu cuaThịt xay mịn</v>
      </c>
      <c r="C573" s="24" t="s">
        <v>8</v>
      </c>
      <c r="D573" t="s">
        <v>20</v>
      </c>
      <c r="E573" s="24" t="s">
        <v>489</v>
      </c>
      <c r="F573" t="s">
        <v>431</v>
      </c>
      <c r="G573" s="17">
        <v>2.5</v>
      </c>
      <c r="H573" s="18">
        <v>120000</v>
      </c>
      <c r="I573" s="18">
        <v>100</v>
      </c>
      <c r="J573" s="17">
        <f t="shared" si="32"/>
        <v>2.5000000000000001E-2</v>
      </c>
      <c r="K573" s="18">
        <f t="shared" si="33"/>
        <v>3000</v>
      </c>
    </row>
    <row r="574" spans="1:11" x14ac:dyDescent="0.35">
      <c r="A574" s="24" t="s">
        <v>233</v>
      </c>
      <c r="B574" s="24" t="str">
        <f t="shared" si="31"/>
        <v>bún riêu cuaTrứng gà trung</v>
      </c>
      <c r="C574" s="24" t="s">
        <v>8</v>
      </c>
      <c r="D574" t="s">
        <v>20</v>
      </c>
      <c r="E574" s="24" t="s">
        <v>489</v>
      </c>
      <c r="F574" t="s">
        <v>416</v>
      </c>
      <c r="G574" s="17">
        <v>4</v>
      </c>
      <c r="H574" s="18">
        <v>2000</v>
      </c>
      <c r="I574" s="18">
        <v>100</v>
      </c>
      <c r="J574" s="17">
        <f t="shared" si="32"/>
        <v>0.04</v>
      </c>
      <c r="K574" s="18">
        <f t="shared" si="33"/>
        <v>80</v>
      </c>
    </row>
    <row r="575" spans="1:11" x14ac:dyDescent="0.35">
      <c r="A575" s="24" t="s">
        <v>233</v>
      </c>
      <c r="B575" s="24" t="str">
        <f t="shared" si="31"/>
        <v>bún riêu cuaChả quế chiên</v>
      </c>
      <c r="C575" s="24" t="s">
        <v>8</v>
      </c>
      <c r="D575" t="s">
        <v>20</v>
      </c>
      <c r="E575" s="24" t="s">
        <v>489</v>
      </c>
      <c r="F575" t="s">
        <v>458</v>
      </c>
      <c r="G575" s="17">
        <v>2.5</v>
      </c>
      <c r="H575" s="18">
        <v>140000</v>
      </c>
      <c r="I575" s="18">
        <v>100</v>
      </c>
      <c r="J575" s="17">
        <f t="shared" si="32"/>
        <v>2.5000000000000001E-2</v>
      </c>
      <c r="K575" s="18">
        <f t="shared" si="33"/>
        <v>3500</v>
      </c>
    </row>
    <row r="576" spans="1:11" x14ac:dyDescent="0.35">
      <c r="A576" s="24" t="s">
        <v>233</v>
      </c>
      <c r="B576" s="24" t="str">
        <f t="shared" si="31"/>
        <v>bún riêu cuaGiá giò</v>
      </c>
      <c r="C576" s="24" t="s">
        <v>8</v>
      </c>
      <c r="D576" t="s">
        <v>20</v>
      </c>
      <c r="E576" s="24" t="s">
        <v>489</v>
      </c>
      <c r="F576" t="s">
        <v>384</v>
      </c>
      <c r="G576" s="17">
        <v>2</v>
      </c>
      <c r="H576" s="18">
        <v>10000</v>
      </c>
      <c r="I576" s="18">
        <v>100</v>
      </c>
      <c r="J576" s="17">
        <f t="shared" si="32"/>
        <v>0.02</v>
      </c>
      <c r="K576" s="18">
        <f t="shared" si="33"/>
        <v>200</v>
      </c>
    </row>
    <row r="577" spans="1:11" x14ac:dyDescent="0.35">
      <c r="A577" s="24" t="s">
        <v>233</v>
      </c>
      <c r="B577" s="24" t="str">
        <f t="shared" si="31"/>
        <v>bún riêu cuaNgò gai</v>
      </c>
      <c r="C577" s="24" t="s">
        <v>8</v>
      </c>
      <c r="D577" t="s">
        <v>20</v>
      </c>
      <c r="E577" s="24" t="s">
        <v>489</v>
      </c>
      <c r="F577" t="s">
        <v>101</v>
      </c>
      <c r="G577" s="17">
        <v>0.3</v>
      </c>
      <c r="H577" s="18">
        <v>30000</v>
      </c>
      <c r="I577" s="18">
        <v>100</v>
      </c>
      <c r="J577" s="17">
        <f t="shared" si="32"/>
        <v>3.0000000000000001E-3</v>
      </c>
      <c r="K577" s="18">
        <f t="shared" si="33"/>
        <v>90</v>
      </c>
    </row>
    <row r="578" spans="1:11" x14ac:dyDescent="0.35">
      <c r="A578" s="24" t="s">
        <v>233</v>
      </c>
      <c r="B578" s="24" t="str">
        <f t="shared" si="31"/>
        <v>bún riêu cuaHành lá</v>
      </c>
      <c r="C578" s="24" t="s">
        <v>8</v>
      </c>
      <c r="D578" t="s">
        <v>20</v>
      </c>
      <c r="E578" s="24" t="s">
        <v>489</v>
      </c>
      <c r="F578" t="s">
        <v>24</v>
      </c>
      <c r="G578" s="17">
        <v>0.4</v>
      </c>
      <c r="H578" s="18">
        <v>20000</v>
      </c>
      <c r="I578" s="18">
        <v>100</v>
      </c>
      <c r="J578" s="17">
        <f t="shared" si="32"/>
        <v>4.0000000000000001E-3</v>
      </c>
      <c r="K578" s="18">
        <f t="shared" si="33"/>
        <v>80</v>
      </c>
    </row>
    <row r="579" spans="1:11" x14ac:dyDescent="0.35">
      <c r="A579" s="24" t="s">
        <v>233</v>
      </c>
      <c r="B579" s="24" t="str">
        <f t="shared" si="31"/>
        <v>bún riêu cuaRau tía tô</v>
      </c>
      <c r="C579" s="24" t="s">
        <v>8</v>
      </c>
      <c r="D579" t="s">
        <v>20</v>
      </c>
      <c r="E579" s="24" t="s">
        <v>489</v>
      </c>
      <c r="F579" t="s">
        <v>419</v>
      </c>
      <c r="G579" s="17">
        <v>0.3</v>
      </c>
      <c r="H579" s="18">
        <v>25000</v>
      </c>
      <c r="I579" s="18">
        <v>100</v>
      </c>
      <c r="J579" s="17">
        <f t="shared" si="32"/>
        <v>3.0000000000000001E-3</v>
      </c>
      <c r="K579" s="18">
        <f t="shared" si="33"/>
        <v>75</v>
      </c>
    </row>
    <row r="580" spans="1:11" x14ac:dyDescent="0.35">
      <c r="A580" s="24" t="s">
        <v>233</v>
      </c>
      <c r="B580" s="24" t="str">
        <f t="shared" si="31"/>
        <v>bún riêu cuaSu trắng</v>
      </c>
      <c r="C580" s="24" t="s">
        <v>8</v>
      </c>
      <c r="D580" t="s">
        <v>20</v>
      </c>
      <c r="E580" s="24" t="s">
        <v>489</v>
      </c>
      <c r="F580" t="s">
        <v>39</v>
      </c>
      <c r="G580" s="17">
        <v>2</v>
      </c>
      <c r="H580" s="18">
        <v>10000</v>
      </c>
      <c r="I580" s="18">
        <v>100</v>
      </c>
      <c r="J580" s="17">
        <f t="shared" si="32"/>
        <v>0.02</v>
      </c>
      <c r="K580" s="18">
        <f t="shared" si="33"/>
        <v>200</v>
      </c>
    </row>
    <row r="581" spans="1:11" x14ac:dyDescent="0.35">
      <c r="A581" s="24" t="s">
        <v>233</v>
      </c>
      <c r="B581" s="24" t="str">
        <f t="shared" si="31"/>
        <v>bún riêu cuaXà lách</v>
      </c>
      <c r="C581" s="24" t="s">
        <v>8</v>
      </c>
      <c r="D581" t="s">
        <v>20</v>
      </c>
      <c r="E581" s="24" t="s">
        <v>489</v>
      </c>
      <c r="F581" t="s">
        <v>197</v>
      </c>
      <c r="G581" s="17">
        <v>2</v>
      </c>
      <c r="H581" s="18">
        <v>20000</v>
      </c>
      <c r="I581" s="18">
        <v>100</v>
      </c>
      <c r="J581" s="17">
        <f t="shared" si="32"/>
        <v>0.02</v>
      </c>
      <c r="K581" s="18">
        <f t="shared" si="33"/>
        <v>400</v>
      </c>
    </row>
    <row r="582" spans="1:11" x14ac:dyDescent="0.35">
      <c r="A582" s="24" t="s">
        <v>233</v>
      </c>
      <c r="B582" s="24" t="str">
        <f t="shared" si="31"/>
        <v>bún riêu cuaTương rim</v>
      </c>
      <c r="C582" s="24" t="s">
        <v>8</v>
      </c>
      <c r="D582" t="s">
        <v>20</v>
      </c>
      <c r="E582" s="24" t="s">
        <v>489</v>
      </c>
      <c r="F582" t="s">
        <v>358</v>
      </c>
      <c r="G582" s="17">
        <v>1</v>
      </c>
      <c r="H582" s="18">
        <v>15000</v>
      </c>
      <c r="I582" s="18">
        <v>100</v>
      </c>
      <c r="J582" s="17">
        <f t="shared" si="32"/>
        <v>0.01</v>
      </c>
      <c r="K582" s="18">
        <f t="shared" si="33"/>
        <v>150</v>
      </c>
    </row>
    <row r="583" spans="1:11" x14ac:dyDescent="0.35">
      <c r="A583" s="24" t="s">
        <v>233</v>
      </c>
      <c r="B583" s="24" t="str">
        <f t="shared" si="31"/>
        <v>bún riêu cuaCà rốt</v>
      </c>
      <c r="C583" s="24" t="s">
        <v>8</v>
      </c>
      <c r="D583" t="s">
        <v>20</v>
      </c>
      <c r="E583" s="24" t="s">
        <v>489</v>
      </c>
      <c r="F583" t="s">
        <v>78</v>
      </c>
      <c r="G583" s="17">
        <v>0.8</v>
      </c>
      <c r="H583" s="18">
        <v>15000</v>
      </c>
      <c r="I583" s="18">
        <v>100</v>
      </c>
      <c r="J583" s="17">
        <f t="shared" si="32"/>
        <v>8.0000000000000002E-3</v>
      </c>
      <c r="K583" s="18">
        <f t="shared" si="33"/>
        <v>120</v>
      </c>
    </row>
    <row r="584" spans="1:11" x14ac:dyDescent="0.35">
      <c r="A584" s="24" t="s">
        <v>233</v>
      </c>
      <c r="B584" s="24" t="str">
        <f t="shared" si="31"/>
        <v>bún riêu cuaĐu đủ xanh</v>
      </c>
      <c r="C584" s="24" t="s">
        <v>8</v>
      </c>
      <c r="D584" t="s">
        <v>20</v>
      </c>
      <c r="E584" s="24" t="s">
        <v>489</v>
      </c>
      <c r="F584" t="s">
        <v>302</v>
      </c>
      <c r="G584" s="17">
        <v>0.8</v>
      </c>
      <c r="H584" s="18">
        <v>12000</v>
      </c>
      <c r="I584" s="18">
        <v>100</v>
      </c>
      <c r="J584" s="17">
        <f t="shared" si="32"/>
        <v>8.0000000000000002E-3</v>
      </c>
      <c r="K584" s="18">
        <f t="shared" si="33"/>
        <v>96</v>
      </c>
    </row>
    <row r="585" spans="1:11" x14ac:dyDescent="0.35">
      <c r="A585" s="24" t="s">
        <v>233</v>
      </c>
      <c r="B585" s="24" t="str">
        <f t="shared" si="31"/>
        <v>bún riêu cuaHành tái</v>
      </c>
      <c r="C585" s="24" t="s">
        <v>8</v>
      </c>
      <c r="D585" t="s">
        <v>20</v>
      </c>
      <c r="E585" s="24" t="s">
        <v>489</v>
      </c>
      <c r="F585" t="s">
        <v>371</v>
      </c>
      <c r="G585" s="17">
        <v>0.3</v>
      </c>
      <c r="H585" s="18">
        <v>20000</v>
      </c>
      <c r="I585" s="18">
        <v>100</v>
      </c>
      <c r="J585" s="17">
        <f t="shared" si="32"/>
        <v>3.0000000000000001E-3</v>
      </c>
      <c r="K585" s="18">
        <f t="shared" si="33"/>
        <v>60</v>
      </c>
    </row>
    <row r="586" spans="1:11" x14ac:dyDescent="0.35">
      <c r="A586" s="24" t="s">
        <v>232</v>
      </c>
      <c r="B586" s="24" t="str">
        <f t="shared" si="31"/>
        <v>vịt nấu laguVịt</v>
      </c>
      <c r="C586" s="24" t="s">
        <v>8</v>
      </c>
      <c r="D586" t="s">
        <v>491</v>
      </c>
      <c r="E586" s="24" t="s">
        <v>490</v>
      </c>
      <c r="F586" t="s">
        <v>163</v>
      </c>
      <c r="G586" s="17">
        <v>12</v>
      </c>
      <c r="H586" s="18">
        <v>55000</v>
      </c>
      <c r="I586" s="18">
        <v>100</v>
      </c>
      <c r="J586" s="17">
        <f t="shared" si="32"/>
        <v>0.12</v>
      </c>
      <c r="K586" s="18">
        <f t="shared" si="33"/>
        <v>6600</v>
      </c>
    </row>
    <row r="587" spans="1:11" x14ac:dyDescent="0.35">
      <c r="A587" s="24" t="s">
        <v>233</v>
      </c>
      <c r="B587" s="24" t="str">
        <f t="shared" si="31"/>
        <v>vịt nấu laguCủ cải</v>
      </c>
      <c r="C587" s="24" t="s">
        <v>8</v>
      </c>
      <c r="D587" t="s">
        <v>491</v>
      </c>
      <c r="E587" s="24" t="s">
        <v>490</v>
      </c>
      <c r="F587" t="s">
        <v>202</v>
      </c>
      <c r="G587" s="17">
        <v>1.5</v>
      </c>
      <c r="H587" s="18">
        <v>10000</v>
      </c>
      <c r="I587" s="18">
        <v>100</v>
      </c>
      <c r="J587" s="17">
        <f t="shared" si="32"/>
        <v>1.4999999999999999E-2</v>
      </c>
      <c r="K587" s="18">
        <f t="shared" si="33"/>
        <v>150</v>
      </c>
    </row>
    <row r="588" spans="1:11" x14ac:dyDescent="0.35">
      <c r="A588" s="24" t="s">
        <v>233</v>
      </c>
      <c r="B588" s="24" t="str">
        <f t="shared" si="31"/>
        <v>vịt nấu laguKhoai tây</v>
      </c>
      <c r="C588" s="24" t="s">
        <v>8</v>
      </c>
      <c r="D588" t="s">
        <v>491</v>
      </c>
      <c r="E588" s="24" t="s">
        <v>490</v>
      </c>
      <c r="F588" t="s">
        <v>77</v>
      </c>
      <c r="G588" s="17">
        <v>1.5</v>
      </c>
      <c r="H588" s="18">
        <v>12000</v>
      </c>
      <c r="I588" s="18">
        <v>100</v>
      </c>
      <c r="J588" s="17">
        <f t="shared" si="32"/>
        <v>1.4999999999999999E-2</v>
      </c>
      <c r="K588" s="18">
        <f t="shared" si="33"/>
        <v>180</v>
      </c>
    </row>
    <row r="589" spans="1:11" x14ac:dyDescent="0.35">
      <c r="A589" s="24" t="s">
        <v>233</v>
      </c>
      <c r="B589" s="24" t="str">
        <f t="shared" si="31"/>
        <v>vịt nấu laguCà rốt</v>
      </c>
      <c r="C589" s="24" t="s">
        <v>8</v>
      </c>
      <c r="D589" t="s">
        <v>491</v>
      </c>
      <c r="E589" s="24" t="s">
        <v>490</v>
      </c>
      <c r="F589" t="s">
        <v>78</v>
      </c>
      <c r="G589" s="17">
        <v>1.5</v>
      </c>
      <c r="H589" s="18">
        <v>15000</v>
      </c>
      <c r="I589" s="18">
        <v>100</v>
      </c>
      <c r="J589" s="17">
        <f t="shared" si="32"/>
        <v>1.4999999999999999E-2</v>
      </c>
      <c r="K589" s="18">
        <f t="shared" si="33"/>
        <v>225</v>
      </c>
    </row>
    <row r="590" spans="1:11" x14ac:dyDescent="0.35">
      <c r="A590" s="24" t="s">
        <v>233</v>
      </c>
      <c r="B590" s="24" t="str">
        <f t="shared" si="31"/>
        <v>Ram tôm thịtTôm nhỏ 170c/kg</v>
      </c>
      <c r="C590" s="24" t="s">
        <v>8</v>
      </c>
      <c r="D590" t="s">
        <v>19</v>
      </c>
      <c r="E590" s="24" t="s">
        <v>495</v>
      </c>
      <c r="F590" t="s">
        <v>494</v>
      </c>
      <c r="G590" s="17">
        <v>1.5</v>
      </c>
      <c r="H590" s="18">
        <v>80000</v>
      </c>
      <c r="I590" s="18">
        <v>80</v>
      </c>
      <c r="J590" s="17">
        <f t="shared" si="32"/>
        <v>1.8749999999999999E-2</v>
      </c>
      <c r="K590" s="18">
        <f t="shared" si="33"/>
        <v>1500</v>
      </c>
    </row>
    <row r="591" spans="1:11" x14ac:dyDescent="0.35">
      <c r="A591" s="24" t="s">
        <v>233</v>
      </c>
      <c r="B591" s="24" t="str">
        <f t="shared" si="31"/>
        <v>Ram tôm thịtThịt nọng xay</v>
      </c>
      <c r="C591" s="24" t="s">
        <v>8</v>
      </c>
      <c r="D591" t="s">
        <v>19</v>
      </c>
      <c r="E591" s="24" t="s">
        <v>495</v>
      </c>
      <c r="F591" t="s">
        <v>362</v>
      </c>
      <c r="G591" s="17">
        <v>1.2</v>
      </c>
      <c r="H591" s="18">
        <v>70000</v>
      </c>
      <c r="I591" s="18">
        <v>80</v>
      </c>
      <c r="J591" s="17">
        <f t="shared" si="32"/>
        <v>1.4999999999999999E-2</v>
      </c>
      <c r="K591" s="18">
        <f t="shared" si="33"/>
        <v>1050</v>
      </c>
    </row>
    <row r="592" spans="1:11" x14ac:dyDescent="0.35">
      <c r="A592" s="24" t="s">
        <v>233</v>
      </c>
      <c r="B592" s="24" t="str">
        <f t="shared" si="31"/>
        <v>Ram tôm thịtBánh tráng rế</v>
      </c>
      <c r="C592" s="24" t="s">
        <v>8</v>
      </c>
      <c r="D592" t="s">
        <v>19</v>
      </c>
      <c r="E592" s="24" t="s">
        <v>495</v>
      </c>
      <c r="F592" t="s">
        <v>415</v>
      </c>
      <c r="G592" s="17">
        <v>5</v>
      </c>
      <c r="H592" s="18">
        <v>15000</v>
      </c>
      <c r="I592" s="18">
        <v>80</v>
      </c>
      <c r="J592" s="17">
        <f t="shared" si="32"/>
        <v>6.25E-2</v>
      </c>
      <c r="K592" s="18">
        <f t="shared" si="33"/>
        <v>937.5</v>
      </c>
    </row>
    <row r="593" spans="1:11" x14ac:dyDescent="0.35">
      <c r="A593" s="24" t="s">
        <v>233</v>
      </c>
      <c r="B593" s="24" t="str">
        <f t="shared" si="31"/>
        <v>Ram tôm thịthành lá</v>
      </c>
      <c r="C593" s="24" t="s">
        <v>8</v>
      </c>
      <c r="D593" t="s">
        <v>19</v>
      </c>
      <c r="E593" s="24" t="s">
        <v>495</v>
      </c>
      <c r="F593" t="s">
        <v>408</v>
      </c>
      <c r="G593" s="17">
        <v>0.3</v>
      </c>
      <c r="H593" s="18">
        <v>20000</v>
      </c>
      <c r="I593" s="18">
        <v>80</v>
      </c>
      <c r="J593" s="17">
        <f t="shared" si="32"/>
        <v>3.7499999999999999E-3</v>
      </c>
      <c r="K593" s="18">
        <f t="shared" si="33"/>
        <v>75</v>
      </c>
    </row>
    <row r="594" spans="1:11" x14ac:dyDescent="0.35">
      <c r="A594" s="24" t="s">
        <v>233</v>
      </c>
      <c r="B594" s="24" t="str">
        <f t="shared" si="31"/>
        <v>Ram tôm thịtCà rốt</v>
      </c>
      <c r="C594" s="24" t="s">
        <v>8</v>
      </c>
      <c r="D594" t="s">
        <v>19</v>
      </c>
      <c r="E594" s="24" t="s">
        <v>495</v>
      </c>
      <c r="F594" t="s">
        <v>78</v>
      </c>
      <c r="G594" s="17">
        <v>0.5</v>
      </c>
      <c r="H594" s="18">
        <v>15000</v>
      </c>
      <c r="I594" s="18">
        <v>80</v>
      </c>
      <c r="J594" s="17">
        <f t="shared" si="32"/>
        <v>6.2500000000000003E-3</v>
      </c>
      <c r="K594" s="18">
        <f t="shared" si="33"/>
        <v>93.75</v>
      </c>
    </row>
    <row r="595" spans="1:11" x14ac:dyDescent="0.35">
      <c r="A595" s="24" t="s">
        <v>233</v>
      </c>
      <c r="B595" s="24" t="str">
        <f t="shared" si="31"/>
        <v>cá lóc um chuốiCá lóc</v>
      </c>
      <c r="C595" s="24" t="s">
        <v>8</v>
      </c>
      <c r="D595" t="s">
        <v>491</v>
      </c>
      <c r="E595" s="24" t="s">
        <v>477</v>
      </c>
      <c r="F595" t="s">
        <v>111</v>
      </c>
      <c r="G595" s="17">
        <v>9</v>
      </c>
      <c r="H595" s="18">
        <v>70000</v>
      </c>
      <c r="I595" s="18">
        <v>100</v>
      </c>
      <c r="J595" s="17">
        <f t="shared" si="32"/>
        <v>0.09</v>
      </c>
      <c r="K595" s="18">
        <f t="shared" si="33"/>
        <v>6300</v>
      </c>
    </row>
    <row r="596" spans="1:11" x14ac:dyDescent="0.35">
      <c r="A596" s="24" t="s">
        <v>233</v>
      </c>
      <c r="B596" s="24" t="str">
        <f t="shared" si="31"/>
        <v>cá lóc um chuốiChuối lùn sống</v>
      </c>
      <c r="C596" s="24" t="s">
        <v>8</v>
      </c>
      <c r="D596" t="s">
        <v>491</v>
      </c>
      <c r="E596" s="24" t="s">
        <v>477</v>
      </c>
      <c r="F596" t="s">
        <v>409</v>
      </c>
      <c r="G596" s="17">
        <v>3</v>
      </c>
      <c r="H596" s="18">
        <v>15000</v>
      </c>
      <c r="I596" s="18">
        <v>100</v>
      </c>
      <c r="J596" s="17">
        <f t="shared" si="32"/>
        <v>0.03</v>
      </c>
      <c r="K596" s="18">
        <f t="shared" si="33"/>
        <v>450</v>
      </c>
    </row>
    <row r="597" spans="1:11" x14ac:dyDescent="0.35">
      <c r="A597" s="24" t="s">
        <v>233</v>
      </c>
      <c r="B597" s="24" t="str">
        <f t="shared" si="31"/>
        <v>cá lóc um chuốiLá lót</v>
      </c>
      <c r="C597" s="24" t="s">
        <v>8</v>
      </c>
      <c r="D597" t="s">
        <v>491</v>
      </c>
      <c r="E597" s="24" t="s">
        <v>477</v>
      </c>
      <c r="F597" t="s">
        <v>341</v>
      </c>
      <c r="G597" s="17">
        <v>0.2</v>
      </c>
      <c r="H597" s="18">
        <v>25000</v>
      </c>
      <c r="I597" s="18">
        <v>100</v>
      </c>
      <c r="J597" s="17">
        <f t="shared" si="32"/>
        <v>2E-3</v>
      </c>
      <c r="K597" s="18">
        <f t="shared" si="33"/>
        <v>50</v>
      </c>
    </row>
    <row r="598" spans="1:11" x14ac:dyDescent="0.35">
      <c r="A598" s="24" t="s">
        <v>233</v>
      </c>
      <c r="B598" s="24" t="str">
        <f t="shared" si="31"/>
        <v>cá lóc um chuốiTía tô</v>
      </c>
      <c r="C598" s="24" t="s">
        <v>8</v>
      </c>
      <c r="D598" t="s">
        <v>491</v>
      </c>
      <c r="E598" s="24" t="s">
        <v>477</v>
      </c>
      <c r="F598" t="s">
        <v>410</v>
      </c>
      <c r="G598" s="17">
        <v>0.2</v>
      </c>
      <c r="H598" s="18">
        <v>25000</v>
      </c>
      <c r="I598" s="18">
        <v>100</v>
      </c>
      <c r="J598" s="17">
        <f t="shared" si="32"/>
        <v>2E-3</v>
      </c>
      <c r="K598" s="18">
        <f t="shared" si="33"/>
        <v>50</v>
      </c>
    </row>
    <row r="599" spans="1:11" x14ac:dyDescent="0.35">
      <c r="A599" s="24" t="s">
        <v>233</v>
      </c>
      <c r="B599" s="24" t="str">
        <f t="shared" si="31"/>
        <v>khổ qua nhồi thịtKhổ qua</v>
      </c>
      <c r="C599" s="24" t="s">
        <v>8</v>
      </c>
      <c r="D599" t="s">
        <v>12</v>
      </c>
      <c r="E599" t="s">
        <v>496</v>
      </c>
      <c r="F599" t="s">
        <v>178</v>
      </c>
      <c r="G599" s="17">
        <v>3.5</v>
      </c>
      <c r="H599" s="18">
        <v>20000</v>
      </c>
      <c r="I599" s="18">
        <v>60</v>
      </c>
      <c r="J599" s="17">
        <f t="shared" si="32"/>
        <v>5.8333333333333334E-2</v>
      </c>
      <c r="K599" s="18">
        <f t="shared" si="33"/>
        <v>1166.6666666666667</v>
      </c>
    </row>
    <row r="600" spans="1:11" x14ac:dyDescent="0.35">
      <c r="A600" s="24" t="s">
        <v>233</v>
      </c>
      <c r="B600" s="24" t="str">
        <f t="shared" si="31"/>
        <v>khổ qua nhồi thịtChả quết</v>
      </c>
      <c r="C600" s="24" t="s">
        <v>8</v>
      </c>
      <c r="D600" t="s">
        <v>12</v>
      </c>
      <c r="E600" t="s">
        <v>496</v>
      </c>
      <c r="F600" t="s">
        <v>166</v>
      </c>
      <c r="G600" s="17">
        <v>0.7</v>
      </c>
      <c r="H600" s="18">
        <v>13000</v>
      </c>
      <c r="I600" s="18">
        <v>60</v>
      </c>
      <c r="J600" s="17">
        <f t="shared" si="32"/>
        <v>1.1666666666666665E-2</v>
      </c>
      <c r="K600" s="18">
        <f t="shared" si="33"/>
        <v>151.66666666666666</v>
      </c>
    </row>
    <row r="601" spans="1:11" x14ac:dyDescent="0.35">
      <c r="A601" s="24" t="s">
        <v>233</v>
      </c>
      <c r="B601" s="24" t="str">
        <f t="shared" ref="B601:B666" si="34">E601&amp;F601</f>
        <v>khổ qua nhồi thịtThịt xay có mỡ</v>
      </c>
      <c r="C601" s="24" t="s">
        <v>8</v>
      </c>
      <c r="D601" t="s">
        <v>12</v>
      </c>
      <c r="E601" t="s">
        <v>496</v>
      </c>
      <c r="F601" t="s">
        <v>429</v>
      </c>
      <c r="G601" s="17">
        <v>0.5</v>
      </c>
      <c r="H601" s="18">
        <v>70000</v>
      </c>
      <c r="I601" s="18">
        <v>60</v>
      </c>
      <c r="J601" s="17">
        <f t="shared" si="32"/>
        <v>8.3333333333333332E-3</v>
      </c>
      <c r="K601" s="18">
        <f t="shared" si="33"/>
        <v>583.33333333333337</v>
      </c>
    </row>
    <row r="602" spans="1:11" x14ac:dyDescent="0.35">
      <c r="A602" s="24" t="s">
        <v>233</v>
      </c>
      <c r="B602" s="24" t="str">
        <f t="shared" si="34"/>
        <v>khổ qua nhồi thịtNấm mèo khô</v>
      </c>
      <c r="C602" s="24" t="s">
        <v>8</v>
      </c>
      <c r="D602" t="s">
        <v>12</v>
      </c>
      <c r="E602" t="s">
        <v>496</v>
      </c>
      <c r="F602" t="s">
        <v>357</v>
      </c>
      <c r="G602" s="17">
        <v>0.2</v>
      </c>
      <c r="H602" s="18">
        <v>220000</v>
      </c>
      <c r="I602" s="18">
        <v>60</v>
      </c>
      <c r="J602" s="17">
        <f t="shared" si="32"/>
        <v>3.3333333333333335E-3</v>
      </c>
      <c r="K602" s="18">
        <f t="shared" si="33"/>
        <v>733.33333333333337</v>
      </c>
    </row>
    <row r="603" spans="1:11" x14ac:dyDescent="0.35">
      <c r="A603" s="24" t="s">
        <v>233</v>
      </c>
      <c r="B603" s="24" t="str">
        <f t="shared" si="34"/>
        <v>khổ qua nhồi thịtHành lá</v>
      </c>
      <c r="C603" s="24" t="s">
        <v>8</v>
      </c>
      <c r="D603" t="s">
        <v>12</v>
      </c>
      <c r="E603" t="s">
        <v>496</v>
      </c>
      <c r="F603" t="s">
        <v>24</v>
      </c>
      <c r="G603" s="17">
        <v>0.3</v>
      </c>
      <c r="H603" s="18">
        <v>20000</v>
      </c>
      <c r="I603" s="18">
        <v>60</v>
      </c>
      <c r="J603" s="17">
        <f t="shared" si="32"/>
        <v>5.0000000000000001E-3</v>
      </c>
      <c r="K603" s="18">
        <f t="shared" si="33"/>
        <v>100</v>
      </c>
    </row>
    <row r="604" spans="1:11" x14ac:dyDescent="0.35">
      <c r="A604" s="24" t="s">
        <v>233</v>
      </c>
      <c r="B604" s="24" t="str">
        <f t="shared" si="34"/>
        <v>canh chua cá đuốiThơm</v>
      </c>
      <c r="C604" s="24" t="s">
        <v>8</v>
      </c>
      <c r="D604" t="s">
        <v>12</v>
      </c>
      <c r="E604" t="s">
        <v>497</v>
      </c>
      <c r="F604" t="s">
        <v>4</v>
      </c>
      <c r="G604" s="17">
        <v>2</v>
      </c>
      <c r="H604" s="18">
        <v>17000</v>
      </c>
      <c r="I604" s="18">
        <v>175</v>
      </c>
      <c r="J604" s="17">
        <f t="shared" si="32"/>
        <v>1.1428571428571429E-2</v>
      </c>
      <c r="K604" s="18">
        <f t="shared" si="33"/>
        <v>194.28571428571428</v>
      </c>
    </row>
    <row r="605" spans="1:11" x14ac:dyDescent="0.35">
      <c r="A605" s="24" t="s">
        <v>233</v>
      </c>
      <c r="B605" s="24" t="str">
        <f t="shared" si="34"/>
        <v>canh chua cá đuốiCà chua</v>
      </c>
      <c r="C605" s="24" t="s">
        <v>8</v>
      </c>
      <c r="D605" t="s">
        <v>12</v>
      </c>
      <c r="E605" t="s">
        <v>497</v>
      </c>
      <c r="F605" t="s">
        <v>14</v>
      </c>
      <c r="G605" s="17">
        <v>0.5</v>
      </c>
      <c r="H605" s="18">
        <v>15000</v>
      </c>
      <c r="I605" s="18">
        <v>175</v>
      </c>
      <c r="J605" s="17">
        <f t="shared" si="32"/>
        <v>2.8571428571428571E-3</v>
      </c>
      <c r="K605" s="18">
        <f t="shared" si="33"/>
        <v>42.857142857142854</v>
      </c>
    </row>
    <row r="606" spans="1:11" x14ac:dyDescent="0.35">
      <c r="A606" s="24" t="s">
        <v>233</v>
      </c>
      <c r="B606" s="24" t="str">
        <f t="shared" si="34"/>
        <v>canh chua cá đuốiMăng chua</v>
      </c>
      <c r="C606" s="24" t="s">
        <v>8</v>
      </c>
      <c r="D606" t="s">
        <v>12</v>
      </c>
      <c r="E606" t="s">
        <v>497</v>
      </c>
      <c r="F606" t="s">
        <v>189</v>
      </c>
      <c r="G606" s="17">
        <v>1</v>
      </c>
      <c r="H606" s="18">
        <v>25000</v>
      </c>
      <c r="I606" s="18">
        <v>175</v>
      </c>
      <c r="J606" s="17">
        <f t="shared" si="32"/>
        <v>5.7142857142857143E-3</v>
      </c>
      <c r="K606" s="18">
        <f t="shared" si="33"/>
        <v>142.85714285714286</v>
      </c>
    </row>
    <row r="607" spans="1:11" x14ac:dyDescent="0.35">
      <c r="A607" s="24" t="s">
        <v>233</v>
      </c>
      <c r="B607" s="24" t="str">
        <f t="shared" si="34"/>
        <v>canh chua cá đuốiGiá giò</v>
      </c>
      <c r="C607" s="24" t="s">
        <v>8</v>
      </c>
      <c r="D607" t="s">
        <v>12</v>
      </c>
      <c r="E607" t="s">
        <v>497</v>
      </c>
      <c r="F607" t="s">
        <v>384</v>
      </c>
      <c r="G607" s="17">
        <v>3</v>
      </c>
      <c r="H607" s="18">
        <v>10000</v>
      </c>
      <c r="I607" s="18">
        <v>175</v>
      </c>
      <c r="J607" s="17">
        <f t="shared" si="32"/>
        <v>1.7142857142857144E-2</v>
      </c>
      <c r="K607" s="18">
        <f t="shared" si="33"/>
        <v>171.42857142857142</v>
      </c>
    </row>
    <row r="608" spans="1:11" x14ac:dyDescent="0.35">
      <c r="A608" s="24" t="s">
        <v>233</v>
      </c>
      <c r="B608" s="24" t="str">
        <f t="shared" si="34"/>
        <v>canh chua cá đuốiLá lót</v>
      </c>
      <c r="C608" s="24" t="s">
        <v>8</v>
      </c>
      <c r="D608" t="s">
        <v>12</v>
      </c>
      <c r="E608" t="s">
        <v>497</v>
      </c>
      <c r="F608" t="s">
        <v>341</v>
      </c>
      <c r="G608" s="17">
        <v>0.2</v>
      </c>
      <c r="H608" s="18">
        <v>25000</v>
      </c>
      <c r="I608" s="18">
        <v>175</v>
      </c>
      <c r="J608" s="17">
        <f t="shared" si="32"/>
        <v>1.1428571428571429E-3</v>
      </c>
      <c r="K608" s="18">
        <f t="shared" si="33"/>
        <v>28.571428571428573</v>
      </c>
    </row>
    <row r="609" spans="1:11" x14ac:dyDescent="0.35">
      <c r="A609" s="24" t="s">
        <v>233</v>
      </c>
      <c r="B609" s="24" t="str">
        <f t="shared" si="34"/>
        <v>canh chua cá đuốiNgũ điếc</v>
      </c>
      <c r="C609" s="24" t="s">
        <v>8</v>
      </c>
      <c r="D609" t="s">
        <v>12</v>
      </c>
      <c r="E609" t="s">
        <v>497</v>
      </c>
      <c r="F609" t="s">
        <v>373</v>
      </c>
      <c r="G609" s="17">
        <v>0.2</v>
      </c>
      <c r="H609" s="18">
        <v>25000</v>
      </c>
      <c r="I609" s="18">
        <v>175</v>
      </c>
      <c r="J609" s="17">
        <f t="shared" si="32"/>
        <v>1.1428571428571429E-3</v>
      </c>
      <c r="K609" s="18">
        <f t="shared" si="33"/>
        <v>28.571428571428573</v>
      </c>
    </row>
    <row r="610" spans="1:11" x14ac:dyDescent="0.35">
      <c r="A610" s="24" t="s">
        <v>233</v>
      </c>
      <c r="B610" s="24" t="str">
        <f t="shared" si="34"/>
        <v>canh chua cá đuốiMe chua</v>
      </c>
      <c r="C610" s="24" t="s">
        <v>8</v>
      </c>
      <c r="D610" t="s">
        <v>12</v>
      </c>
      <c r="E610" t="s">
        <v>497</v>
      </c>
      <c r="F610" t="s">
        <v>391</v>
      </c>
      <c r="G610" s="17">
        <v>0.2</v>
      </c>
      <c r="H610" s="18">
        <v>15000</v>
      </c>
      <c r="I610" s="18">
        <v>175</v>
      </c>
      <c r="J610" s="17">
        <f t="shared" si="32"/>
        <v>1.1428571428571429E-3</v>
      </c>
      <c r="K610" s="18">
        <f t="shared" si="33"/>
        <v>17.142857142857142</v>
      </c>
    </row>
    <row r="611" spans="1:11" x14ac:dyDescent="0.35">
      <c r="A611" s="24" t="s">
        <v>233</v>
      </c>
      <c r="B611" s="24" t="str">
        <f t="shared" si="34"/>
        <v>canh chua cá đuốiCá đuối nhỏ</v>
      </c>
      <c r="C611" s="24" t="s">
        <v>8</v>
      </c>
      <c r="D611" t="s">
        <v>12</v>
      </c>
      <c r="E611" t="s">
        <v>497</v>
      </c>
      <c r="F611" t="s">
        <v>453</v>
      </c>
      <c r="G611" s="17">
        <v>7</v>
      </c>
      <c r="H611" s="18">
        <v>70000</v>
      </c>
      <c r="I611" s="18">
        <v>175</v>
      </c>
      <c r="J611" s="17">
        <f t="shared" si="32"/>
        <v>0.04</v>
      </c>
      <c r="K611" s="18">
        <f t="shared" si="33"/>
        <v>2800</v>
      </c>
    </row>
    <row r="612" spans="1:11" x14ac:dyDescent="0.35">
      <c r="A612" s="24" t="s">
        <v>233</v>
      </c>
      <c r="B612" s="24" t="str">
        <f t="shared" si="34"/>
        <v>heo quayBa chỉ heo lóc sườn</v>
      </c>
      <c r="C612" s="24" t="s">
        <v>8</v>
      </c>
      <c r="D612" t="s">
        <v>498</v>
      </c>
      <c r="E612" t="s">
        <v>499</v>
      </c>
      <c r="F612" t="s">
        <v>454</v>
      </c>
      <c r="G612" s="17">
        <v>6.3</v>
      </c>
      <c r="H612" s="18">
        <v>90000</v>
      </c>
      <c r="I612" s="18">
        <v>56</v>
      </c>
      <c r="J612" s="17">
        <f t="shared" si="32"/>
        <v>0.1125</v>
      </c>
      <c r="K612" s="18">
        <f t="shared" si="33"/>
        <v>10125</v>
      </c>
    </row>
    <row r="613" spans="1:11" x14ac:dyDescent="0.35">
      <c r="A613" s="24" t="s">
        <v>233</v>
      </c>
      <c r="B613" s="24" t="str">
        <f t="shared" si="34"/>
        <v>heo quaySả</v>
      </c>
      <c r="C613" s="24" t="s">
        <v>8</v>
      </c>
      <c r="D613" t="s">
        <v>498</v>
      </c>
      <c r="E613" t="s">
        <v>499</v>
      </c>
      <c r="F613" t="s">
        <v>207</v>
      </c>
      <c r="G613" s="17">
        <v>0.3</v>
      </c>
      <c r="H613" s="18">
        <v>25000</v>
      </c>
      <c r="I613" s="18">
        <v>56</v>
      </c>
      <c r="J613" s="17">
        <f t="shared" si="32"/>
        <v>5.3571428571428572E-3</v>
      </c>
      <c r="K613" s="18">
        <f t="shared" si="33"/>
        <v>133.92857142857142</v>
      </c>
    </row>
    <row r="614" spans="1:11" x14ac:dyDescent="0.35">
      <c r="A614" s="24" t="s">
        <v>233</v>
      </c>
      <c r="B614" s="24" t="str">
        <f t="shared" si="34"/>
        <v>heo quayCà chua</v>
      </c>
      <c r="C614" s="24" t="s">
        <v>8</v>
      </c>
      <c r="D614" t="s">
        <v>498</v>
      </c>
      <c r="E614" t="s">
        <v>499</v>
      </c>
      <c r="F614" t="s">
        <v>14</v>
      </c>
      <c r="G614" s="17">
        <v>0.5</v>
      </c>
      <c r="H614" s="18">
        <v>15000</v>
      </c>
      <c r="I614" s="18">
        <v>56</v>
      </c>
      <c r="J614" s="17">
        <f t="shared" si="32"/>
        <v>8.9285714285714281E-3</v>
      </c>
      <c r="K614" s="18">
        <f t="shared" si="33"/>
        <v>133.92857142857142</v>
      </c>
    </row>
    <row r="615" spans="1:11" x14ac:dyDescent="0.35">
      <c r="A615" s="24" t="s">
        <v>233</v>
      </c>
      <c r="B615" s="24" t="str">
        <f t="shared" si="34"/>
        <v>heo quayDưa leo</v>
      </c>
      <c r="C615" s="24" t="s">
        <v>8</v>
      </c>
      <c r="D615" t="s">
        <v>498</v>
      </c>
      <c r="E615" t="s">
        <v>499</v>
      </c>
      <c r="F615" t="s">
        <v>301</v>
      </c>
      <c r="G615" s="17">
        <v>1</v>
      </c>
      <c r="H615" s="18">
        <v>12000</v>
      </c>
      <c r="I615" s="18">
        <v>56</v>
      </c>
      <c r="J615" s="17">
        <f t="shared" si="32"/>
        <v>1.7857142857142856E-2</v>
      </c>
      <c r="K615" s="18">
        <f t="shared" si="33"/>
        <v>214.28571428571428</v>
      </c>
    </row>
    <row r="616" spans="1:11" x14ac:dyDescent="0.35">
      <c r="A616" s="24" t="s">
        <v>233</v>
      </c>
      <c r="B616" s="24" t="str">
        <f t="shared" si="34"/>
        <v>đùi gà rô tyđùi gà tỏi lớn</v>
      </c>
      <c r="C616" s="24" t="s">
        <v>8</v>
      </c>
      <c r="D616" t="s">
        <v>498</v>
      </c>
      <c r="E616" t="s">
        <v>501</v>
      </c>
      <c r="F616" t="s">
        <v>500</v>
      </c>
      <c r="G616" s="17">
        <v>15</v>
      </c>
      <c r="H616" s="18">
        <v>40000</v>
      </c>
      <c r="I616" s="18">
        <v>60</v>
      </c>
      <c r="J616" s="17">
        <f t="shared" si="32"/>
        <v>0.25</v>
      </c>
      <c r="K616" s="18">
        <f t="shared" si="33"/>
        <v>10000</v>
      </c>
    </row>
    <row r="617" spans="1:11" x14ac:dyDescent="0.35">
      <c r="A617" s="24" t="s">
        <v>233</v>
      </c>
      <c r="B617" s="24" t="str">
        <f t="shared" si="34"/>
        <v>đùi gà rô tySả</v>
      </c>
      <c r="C617" s="24" t="s">
        <v>8</v>
      </c>
      <c r="D617" t="s">
        <v>498</v>
      </c>
      <c r="E617" t="s">
        <v>501</v>
      </c>
      <c r="F617" t="s">
        <v>207</v>
      </c>
      <c r="G617" s="17">
        <v>0.3</v>
      </c>
      <c r="H617" s="18">
        <v>25000</v>
      </c>
      <c r="I617" s="18">
        <v>60</v>
      </c>
      <c r="J617" s="17">
        <f t="shared" si="32"/>
        <v>5.0000000000000001E-3</v>
      </c>
      <c r="K617" s="18">
        <f t="shared" si="33"/>
        <v>125</v>
      </c>
    </row>
    <row r="618" spans="1:11" x14ac:dyDescent="0.35">
      <c r="A618" s="24" t="s">
        <v>233</v>
      </c>
      <c r="B618" s="24" t="str">
        <f t="shared" si="34"/>
        <v>đùi gà rô tyCà chua</v>
      </c>
      <c r="C618" s="24" t="s">
        <v>8</v>
      </c>
      <c r="D618" t="s">
        <v>498</v>
      </c>
      <c r="E618" t="s">
        <v>501</v>
      </c>
      <c r="F618" t="s">
        <v>14</v>
      </c>
      <c r="G618" s="17">
        <v>0.64262295081967213</v>
      </c>
      <c r="H618" s="18">
        <v>15000</v>
      </c>
      <c r="I618" s="18">
        <v>60</v>
      </c>
      <c r="J618" s="17">
        <f t="shared" si="32"/>
        <v>1.0710382513661203E-2</v>
      </c>
      <c r="K618" s="18">
        <f t="shared" si="33"/>
        <v>160.65573770491804</v>
      </c>
    </row>
    <row r="619" spans="1:11" x14ac:dyDescent="0.35">
      <c r="A619" s="24" t="s">
        <v>233</v>
      </c>
      <c r="B619" s="24" t="str">
        <f t="shared" si="34"/>
        <v>đùi gà rô tyDưa leo</v>
      </c>
      <c r="C619" s="24" t="s">
        <v>8</v>
      </c>
      <c r="D619" t="s">
        <v>498</v>
      </c>
      <c r="E619" t="s">
        <v>501</v>
      </c>
      <c r="F619" t="s">
        <v>301</v>
      </c>
      <c r="G619" s="17">
        <v>1.2</v>
      </c>
      <c r="H619" s="18">
        <v>12000</v>
      </c>
      <c r="I619" s="18">
        <v>60</v>
      </c>
      <c r="J619" s="17">
        <f t="shared" si="32"/>
        <v>0.02</v>
      </c>
      <c r="K619" s="18">
        <f t="shared" si="33"/>
        <v>240</v>
      </c>
    </row>
    <row r="620" spans="1:11" x14ac:dyDescent="0.35">
      <c r="A620" s="24" t="s">
        <v>233</v>
      </c>
      <c r="B620" s="24" t="str">
        <f t="shared" si="34"/>
        <v>gà chặt phâygà kiến thùng</v>
      </c>
      <c r="C620" s="24" t="s">
        <v>8</v>
      </c>
      <c r="D620" t="s">
        <v>498</v>
      </c>
      <c r="E620" s="24" t="s">
        <v>502</v>
      </c>
      <c r="F620" s="24" t="s">
        <v>503</v>
      </c>
      <c r="G620" s="17">
        <v>15.5</v>
      </c>
      <c r="H620" s="18">
        <v>70000</v>
      </c>
      <c r="I620" s="18">
        <v>100</v>
      </c>
      <c r="J620" s="17">
        <f t="shared" si="32"/>
        <v>0.155</v>
      </c>
      <c r="K620" s="18">
        <f t="shared" si="33"/>
        <v>10850</v>
      </c>
    </row>
    <row r="621" spans="1:11" x14ac:dyDescent="0.35">
      <c r="A621" s="24" t="s">
        <v>233</v>
      </c>
      <c r="B621" s="24" t="str">
        <f t="shared" si="34"/>
        <v>gà chặt phâyhành tây</v>
      </c>
      <c r="C621" s="24" t="s">
        <v>8</v>
      </c>
      <c r="D621" t="s">
        <v>498</v>
      </c>
      <c r="E621" s="24" t="s">
        <v>502</v>
      </c>
      <c r="F621" s="24" t="s">
        <v>418</v>
      </c>
      <c r="G621" s="17">
        <v>2.5</v>
      </c>
      <c r="H621" s="18">
        <v>15000</v>
      </c>
      <c r="I621" s="18">
        <v>100</v>
      </c>
      <c r="J621" s="17">
        <f t="shared" si="32"/>
        <v>2.5000000000000001E-2</v>
      </c>
      <c r="K621" s="18">
        <f t="shared" si="33"/>
        <v>375</v>
      </c>
    </row>
    <row r="622" spans="1:11" x14ac:dyDescent="0.35">
      <c r="A622" s="24" t="s">
        <v>233</v>
      </c>
      <c r="B622" s="24" t="str">
        <f t="shared" si="34"/>
        <v>gà chặt phâyrau răm</v>
      </c>
      <c r="C622" s="24" t="s">
        <v>8</v>
      </c>
      <c r="D622" t="s">
        <v>498</v>
      </c>
      <c r="E622" s="24" t="s">
        <v>502</v>
      </c>
      <c r="F622" s="24" t="s">
        <v>420</v>
      </c>
      <c r="G622" s="17">
        <v>0.4</v>
      </c>
      <c r="H622" s="18">
        <v>25000</v>
      </c>
      <c r="I622" s="18">
        <v>100</v>
      </c>
      <c r="J622" s="17">
        <f t="shared" si="32"/>
        <v>4.0000000000000001E-3</v>
      </c>
      <c r="K622" s="18">
        <f t="shared" si="33"/>
        <v>100</v>
      </c>
    </row>
    <row r="623" spans="1:11" x14ac:dyDescent="0.35">
      <c r="A623" s="24" t="s">
        <v>233</v>
      </c>
      <c r="B623" s="24" t="str">
        <f t="shared" si="34"/>
        <v>gà chặt phâyrau quế</v>
      </c>
      <c r="C623" s="24" t="s">
        <v>8</v>
      </c>
      <c r="D623" t="s">
        <v>498</v>
      </c>
      <c r="E623" s="24" t="s">
        <v>502</v>
      </c>
      <c r="F623" s="24" t="s">
        <v>401</v>
      </c>
      <c r="G623" s="17">
        <v>0.3</v>
      </c>
      <c r="H623" s="18">
        <v>25000</v>
      </c>
      <c r="I623" s="18">
        <v>100</v>
      </c>
      <c r="J623" s="17">
        <f t="shared" si="32"/>
        <v>3.0000000000000001E-3</v>
      </c>
      <c r="K623" s="18">
        <f t="shared" si="33"/>
        <v>75</v>
      </c>
    </row>
    <row r="624" spans="1:11" x14ac:dyDescent="0.35">
      <c r="A624" s="24" t="s">
        <v>233</v>
      </c>
      <c r="B624" s="24" t="str">
        <f t="shared" si="34"/>
        <v>cơm gà xégà kiến thùng</v>
      </c>
      <c r="C624" s="24" t="s">
        <v>8</v>
      </c>
      <c r="D624" t="s">
        <v>498</v>
      </c>
      <c r="E624" s="24" t="s">
        <v>504</v>
      </c>
      <c r="F624" s="24" t="s">
        <v>503</v>
      </c>
      <c r="G624" s="17">
        <v>12</v>
      </c>
      <c r="H624" s="18">
        <v>70000</v>
      </c>
      <c r="I624" s="18">
        <v>100</v>
      </c>
      <c r="J624" s="17">
        <f t="shared" si="32"/>
        <v>0.12</v>
      </c>
      <c r="K624" s="18">
        <f t="shared" si="33"/>
        <v>8400</v>
      </c>
    </row>
    <row r="625" spans="1:11" x14ac:dyDescent="0.35">
      <c r="A625" s="24" t="s">
        <v>233</v>
      </c>
      <c r="B625" s="24" t="str">
        <f t="shared" si="34"/>
        <v>cơm gà xéhành tây</v>
      </c>
      <c r="C625" s="24" t="s">
        <v>8</v>
      </c>
      <c r="D625" t="s">
        <v>498</v>
      </c>
      <c r="E625" s="24" t="s">
        <v>504</v>
      </c>
      <c r="F625" s="24" t="s">
        <v>418</v>
      </c>
      <c r="G625" s="17">
        <v>3</v>
      </c>
      <c r="H625" s="18">
        <v>15000</v>
      </c>
      <c r="I625" s="18">
        <v>100</v>
      </c>
      <c r="J625" s="17">
        <f t="shared" si="32"/>
        <v>0.03</v>
      </c>
      <c r="K625" s="18">
        <f t="shared" si="33"/>
        <v>450</v>
      </c>
    </row>
    <row r="626" spans="1:11" x14ac:dyDescent="0.35">
      <c r="A626" s="24" t="s">
        <v>233</v>
      </c>
      <c r="B626" s="24" t="str">
        <f t="shared" si="34"/>
        <v>cơm gà xérau răm</v>
      </c>
      <c r="C626" s="24" t="s">
        <v>8</v>
      </c>
      <c r="D626" t="s">
        <v>498</v>
      </c>
      <c r="E626" s="24" t="s">
        <v>504</v>
      </c>
      <c r="F626" s="24" t="s">
        <v>420</v>
      </c>
      <c r="G626" s="17">
        <v>0.4</v>
      </c>
      <c r="H626" s="18">
        <v>25000</v>
      </c>
      <c r="I626" s="18">
        <v>100</v>
      </c>
      <c r="J626" s="17">
        <f t="shared" si="32"/>
        <v>4.0000000000000001E-3</v>
      </c>
      <c r="K626" s="18">
        <f t="shared" si="33"/>
        <v>100</v>
      </c>
    </row>
    <row r="627" spans="1:11" x14ac:dyDescent="0.35">
      <c r="A627" s="24" t="s">
        <v>233</v>
      </c>
      <c r="B627" s="24" t="str">
        <f t="shared" si="34"/>
        <v>cơm gà xérau quế</v>
      </c>
      <c r="C627" s="24" t="s">
        <v>8</v>
      </c>
      <c r="D627" t="s">
        <v>498</v>
      </c>
      <c r="E627" s="24" t="s">
        <v>504</v>
      </c>
      <c r="F627" s="24" t="s">
        <v>401</v>
      </c>
      <c r="G627" s="17">
        <v>0.3</v>
      </c>
      <c r="H627" s="18">
        <v>25000</v>
      </c>
      <c r="I627" s="18">
        <v>100</v>
      </c>
      <c r="J627" s="17">
        <f t="shared" si="32"/>
        <v>3.0000000000000001E-3</v>
      </c>
      <c r="K627" s="18">
        <f t="shared" si="33"/>
        <v>75</v>
      </c>
    </row>
    <row r="628" spans="1:11" x14ac:dyDescent="0.35">
      <c r="A628" s="24" t="s">
        <v>233</v>
      </c>
      <c r="B628" s="24" t="str">
        <f t="shared" si="34"/>
        <v>cơm gà xémá đùi gà</v>
      </c>
      <c r="C628" s="24" t="s">
        <v>8</v>
      </c>
      <c r="D628" t="s">
        <v>498</v>
      </c>
      <c r="E628" s="24" t="s">
        <v>504</v>
      </c>
      <c r="F628" s="24" t="s">
        <v>464</v>
      </c>
      <c r="G628" s="17">
        <v>3</v>
      </c>
      <c r="H628" s="18">
        <v>40000</v>
      </c>
      <c r="I628" s="18">
        <v>100</v>
      </c>
      <c r="J628" s="17">
        <f t="shared" si="32"/>
        <v>0.03</v>
      </c>
      <c r="K628" s="18">
        <f t="shared" si="33"/>
        <v>1200</v>
      </c>
    </row>
    <row r="629" spans="1:11" x14ac:dyDescent="0.35">
      <c r="A629" s="24" t="s">
        <v>233</v>
      </c>
      <c r="B629" s="24" t="str">
        <f t="shared" si="34"/>
        <v>cơm gà xéhành phi</v>
      </c>
      <c r="C629" s="24" t="s">
        <v>8</v>
      </c>
      <c r="D629" t="s">
        <v>498</v>
      </c>
      <c r="E629" s="24" t="s">
        <v>504</v>
      </c>
      <c r="F629" s="24" t="s">
        <v>449</v>
      </c>
      <c r="G629" s="17">
        <v>0.4</v>
      </c>
      <c r="H629" s="18">
        <v>50000</v>
      </c>
      <c r="I629" s="18">
        <v>100</v>
      </c>
      <c r="J629" s="17">
        <f t="shared" si="32"/>
        <v>4.0000000000000001E-3</v>
      </c>
      <c r="K629" s="18">
        <f t="shared" si="33"/>
        <v>200</v>
      </c>
    </row>
    <row r="630" spans="1:11" x14ac:dyDescent="0.35">
      <c r="A630" s="24" t="s">
        <v>233</v>
      </c>
      <c r="B630" s="24" t="str">
        <f t="shared" si="34"/>
        <v>sườn non nướngsườn bẹ heo pater</v>
      </c>
      <c r="C630" s="24" t="s">
        <v>8</v>
      </c>
      <c r="D630" t="s">
        <v>498</v>
      </c>
      <c r="E630" s="24" t="s">
        <v>505</v>
      </c>
      <c r="F630" s="24" t="s">
        <v>506</v>
      </c>
      <c r="G630" s="17">
        <v>11</v>
      </c>
      <c r="H630" s="18">
        <v>80000</v>
      </c>
      <c r="I630" s="18">
        <v>100</v>
      </c>
      <c r="J630" s="17">
        <f t="shared" si="32"/>
        <v>0.11</v>
      </c>
      <c r="K630" s="18">
        <f t="shared" si="33"/>
        <v>8800</v>
      </c>
    </row>
    <row r="631" spans="1:11" x14ac:dyDescent="0.35">
      <c r="A631" s="24" t="s">
        <v>233</v>
      </c>
      <c r="B631" s="24" t="str">
        <f t="shared" si="34"/>
        <v>sườn non nướngXà lách</v>
      </c>
      <c r="C631" s="24" t="s">
        <v>8</v>
      </c>
      <c r="D631" t="s">
        <v>498</v>
      </c>
      <c r="E631" s="24" t="s">
        <v>505</v>
      </c>
      <c r="F631" s="24" t="s">
        <v>197</v>
      </c>
      <c r="G631" s="17">
        <v>1</v>
      </c>
      <c r="H631" s="18">
        <v>20000</v>
      </c>
      <c r="I631" s="18">
        <v>100</v>
      </c>
      <c r="J631" s="17">
        <f t="shared" ref="J631:J666" si="35">G631/I631</f>
        <v>0.01</v>
      </c>
      <c r="K631" s="18">
        <f t="shared" si="33"/>
        <v>200</v>
      </c>
    </row>
    <row r="632" spans="1:11" x14ac:dyDescent="0.35">
      <c r="A632" s="24" t="s">
        <v>233</v>
      </c>
      <c r="B632" s="24" t="str">
        <f t="shared" si="34"/>
        <v>sườn non nướngCà chua</v>
      </c>
      <c r="C632" s="24" t="s">
        <v>8</v>
      </c>
      <c r="D632" t="s">
        <v>498</v>
      </c>
      <c r="E632" s="24" t="s">
        <v>505</v>
      </c>
      <c r="F632" t="s">
        <v>14</v>
      </c>
      <c r="G632" s="17">
        <v>0.8</v>
      </c>
      <c r="H632" s="18">
        <v>15000</v>
      </c>
      <c r="I632" s="18">
        <v>100</v>
      </c>
      <c r="J632" s="17">
        <f t="shared" si="35"/>
        <v>8.0000000000000002E-3</v>
      </c>
      <c r="K632" s="18">
        <f t="shared" si="33"/>
        <v>120</v>
      </c>
    </row>
    <row r="633" spans="1:11" x14ac:dyDescent="0.35">
      <c r="A633" s="24" t="s">
        <v>233</v>
      </c>
      <c r="B633" s="24" t="str">
        <f t="shared" si="34"/>
        <v>sườn non nướngDưa leo</v>
      </c>
      <c r="C633" s="24" t="s">
        <v>8</v>
      </c>
      <c r="D633" t="s">
        <v>498</v>
      </c>
      <c r="E633" s="24" t="s">
        <v>505</v>
      </c>
      <c r="F633" t="s">
        <v>301</v>
      </c>
      <c r="G633" s="17">
        <v>1.5</v>
      </c>
      <c r="H633" s="18">
        <v>12000</v>
      </c>
      <c r="I633" s="18">
        <v>100</v>
      </c>
      <c r="J633" s="17">
        <f t="shared" si="35"/>
        <v>1.4999999999999999E-2</v>
      </c>
      <c r="K633" s="18">
        <f t="shared" ref="K633:K666" si="36">(G633*H633)/I633</f>
        <v>180</v>
      </c>
    </row>
    <row r="634" spans="1:11" x14ac:dyDescent="0.35">
      <c r="A634" s="24" t="s">
        <v>233</v>
      </c>
      <c r="B634" s="24" t="str">
        <f t="shared" si="34"/>
        <v>canh chua cá lócThơm</v>
      </c>
      <c r="C634" s="24" t="s">
        <v>8</v>
      </c>
      <c r="D634" t="s">
        <v>508</v>
      </c>
      <c r="E634" s="24" t="s">
        <v>507</v>
      </c>
      <c r="F634" t="s">
        <v>4</v>
      </c>
      <c r="G634" s="17">
        <v>2</v>
      </c>
      <c r="H634" s="18">
        <v>17000</v>
      </c>
      <c r="I634" s="18">
        <v>175</v>
      </c>
      <c r="J634" s="17">
        <f t="shared" si="35"/>
        <v>1.1428571428571429E-2</v>
      </c>
      <c r="K634" s="18">
        <f t="shared" si="36"/>
        <v>194.28571428571428</v>
      </c>
    </row>
    <row r="635" spans="1:11" x14ac:dyDescent="0.35">
      <c r="A635" s="24" t="s">
        <v>233</v>
      </c>
      <c r="B635" s="24" t="str">
        <f t="shared" si="34"/>
        <v>canh chua cá lócCà chua</v>
      </c>
      <c r="C635" s="24" t="s">
        <v>8</v>
      </c>
      <c r="D635" t="s">
        <v>508</v>
      </c>
      <c r="E635" s="24" t="s">
        <v>507</v>
      </c>
      <c r="F635" t="s">
        <v>14</v>
      </c>
      <c r="G635" s="17">
        <v>0.5</v>
      </c>
      <c r="H635" s="18">
        <v>15000</v>
      </c>
      <c r="I635" s="18">
        <v>175</v>
      </c>
      <c r="J635" s="17">
        <f t="shared" si="35"/>
        <v>2.8571428571428571E-3</v>
      </c>
      <c r="K635" s="18">
        <f t="shared" si="36"/>
        <v>42.857142857142854</v>
      </c>
    </row>
    <row r="636" spans="1:11" x14ac:dyDescent="0.35">
      <c r="A636" s="24" t="s">
        <v>233</v>
      </c>
      <c r="B636" s="24" t="str">
        <f t="shared" si="34"/>
        <v>canh chua cá lócMăng chua</v>
      </c>
      <c r="C636" s="24" t="s">
        <v>8</v>
      </c>
      <c r="D636" t="s">
        <v>508</v>
      </c>
      <c r="E636" s="24" t="s">
        <v>507</v>
      </c>
      <c r="F636" t="s">
        <v>189</v>
      </c>
      <c r="G636" s="17">
        <v>1</v>
      </c>
      <c r="H636" s="18">
        <v>25000</v>
      </c>
      <c r="I636" s="18">
        <v>175</v>
      </c>
      <c r="J636" s="17">
        <f t="shared" si="35"/>
        <v>5.7142857142857143E-3</v>
      </c>
      <c r="K636" s="18">
        <f t="shared" si="36"/>
        <v>142.85714285714286</v>
      </c>
    </row>
    <row r="637" spans="1:11" x14ac:dyDescent="0.35">
      <c r="A637" s="24" t="s">
        <v>233</v>
      </c>
      <c r="B637" s="24" t="str">
        <f t="shared" si="34"/>
        <v>canh chua cá lócGiá giò</v>
      </c>
      <c r="C637" s="24" t="s">
        <v>8</v>
      </c>
      <c r="D637" t="s">
        <v>508</v>
      </c>
      <c r="E637" s="24" t="s">
        <v>507</v>
      </c>
      <c r="F637" t="s">
        <v>384</v>
      </c>
      <c r="G637" s="17">
        <v>3</v>
      </c>
      <c r="H637" s="18">
        <v>10000</v>
      </c>
      <c r="I637" s="18">
        <v>175</v>
      </c>
      <c r="J637" s="17">
        <f t="shared" si="35"/>
        <v>1.7142857142857144E-2</v>
      </c>
      <c r="K637" s="18">
        <f t="shared" si="36"/>
        <v>171.42857142857142</v>
      </c>
    </row>
    <row r="638" spans="1:11" x14ac:dyDescent="0.35">
      <c r="A638" s="24" t="s">
        <v>233</v>
      </c>
      <c r="B638" s="24" t="str">
        <f t="shared" si="34"/>
        <v>canh chua cá lócLá lót</v>
      </c>
      <c r="C638" s="24" t="s">
        <v>8</v>
      </c>
      <c r="D638" t="s">
        <v>508</v>
      </c>
      <c r="E638" s="24" t="s">
        <v>507</v>
      </c>
      <c r="F638" t="s">
        <v>341</v>
      </c>
      <c r="G638" s="17">
        <v>0.2</v>
      </c>
      <c r="H638" s="18">
        <v>25000</v>
      </c>
      <c r="I638" s="18">
        <v>175</v>
      </c>
      <c r="J638" s="17">
        <f t="shared" si="35"/>
        <v>1.1428571428571429E-3</v>
      </c>
      <c r="K638" s="18">
        <f t="shared" si="36"/>
        <v>28.571428571428573</v>
      </c>
    </row>
    <row r="639" spans="1:11" x14ac:dyDescent="0.35">
      <c r="A639" s="24" t="s">
        <v>233</v>
      </c>
      <c r="B639" s="24" t="str">
        <f t="shared" si="34"/>
        <v>canh chua cá lócNgũ điếc</v>
      </c>
      <c r="C639" s="24" t="s">
        <v>8</v>
      </c>
      <c r="D639" t="s">
        <v>508</v>
      </c>
      <c r="E639" s="24" t="s">
        <v>507</v>
      </c>
      <c r="F639" t="s">
        <v>373</v>
      </c>
      <c r="G639" s="17">
        <v>0.2</v>
      </c>
      <c r="H639" s="18">
        <v>25000</v>
      </c>
      <c r="I639" s="18">
        <v>175</v>
      </c>
      <c r="J639" s="17">
        <f t="shared" si="35"/>
        <v>1.1428571428571429E-3</v>
      </c>
      <c r="K639" s="18">
        <f t="shared" si="36"/>
        <v>28.571428571428573</v>
      </c>
    </row>
    <row r="640" spans="1:11" x14ac:dyDescent="0.35">
      <c r="A640" s="24" t="s">
        <v>233</v>
      </c>
      <c r="B640" s="24" t="str">
        <f t="shared" si="34"/>
        <v>canh chua cá lócMe chua</v>
      </c>
      <c r="C640" s="24" t="s">
        <v>8</v>
      </c>
      <c r="D640" t="s">
        <v>508</v>
      </c>
      <c r="E640" s="24" t="s">
        <v>507</v>
      </c>
      <c r="F640" t="s">
        <v>391</v>
      </c>
      <c r="G640" s="17">
        <v>0.2</v>
      </c>
      <c r="H640" s="18">
        <v>15000</v>
      </c>
      <c r="I640" s="18">
        <v>175</v>
      </c>
      <c r="J640" s="17">
        <f t="shared" si="35"/>
        <v>1.1428571428571429E-3</v>
      </c>
      <c r="K640" s="18">
        <f t="shared" si="36"/>
        <v>17.142857142857142</v>
      </c>
    </row>
    <row r="641" spans="1:11" x14ac:dyDescent="0.35">
      <c r="A641" s="24" t="s">
        <v>233</v>
      </c>
      <c r="B641" s="24" t="str">
        <f t="shared" si="34"/>
        <v>canh chua cá lócCá lóc</v>
      </c>
      <c r="C641" s="24" t="s">
        <v>8</v>
      </c>
      <c r="D641" t="s">
        <v>508</v>
      </c>
      <c r="E641" s="24" t="s">
        <v>507</v>
      </c>
      <c r="F641" t="s">
        <v>111</v>
      </c>
      <c r="G641" s="17">
        <v>5.5</v>
      </c>
      <c r="H641" s="18">
        <v>70000</v>
      </c>
      <c r="I641" s="18">
        <v>100</v>
      </c>
      <c r="J641" s="17">
        <f t="shared" si="35"/>
        <v>5.5E-2</v>
      </c>
      <c r="K641" s="18">
        <f t="shared" si="36"/>
        <v>3850</v>
      </c>
    </row>
    <row r="642" spans="1:11" x14ac:dyDescent="0.35">
      <c r="A642" s="24" t="s">
        <v>233</v>
      </c>
      <c r="B642" s="24" t="str">
        <f t="shared" si="34"/>
        <v>bún trộn tôm thịtbún khô</v>
      </c>
      <c r="C642" s="24" t="s">
        <v>8</v>
      </c>
      <c r="D642" t="s">
        <v>512</v>
      </c>
      <c r="E642" s="24" t="s">
        <v>510</v>
      </c>
      <c r="F642" t="s">
        <v>463</v>
      </c>
      <c r="G642" s="17">
        <v>1.5</v>
      </c>
      <c r="H642" s="18">
        <v>25000</v>
      </c>
      <c r="I642" s="18">
        <v>53</v>
      </c>
      <c r="J642" s="17">
        <f t="shared" si="35"/>
        <v>2.8301886792452831E-2</v>
      </c>
      <c r="K642" s="18">
        <f t="shared" si="36"/>
        <v>707.54716981132071</v>
      </c>
    </row>
    <row r="643" spans="1:11" x14ac:dyDescent="0.35">
      <c r="A643" s="24" t="s">
        <v>233</v>
      </c>
      <c r="B643" s="24" t="str">
        <f t="shared" si="34"/>
        <v>bún trộn tôm thịtRau húng</v>
      </c>
      <c r="C643" s="24" t="s">
        <v>8</v>
      </c>
      <c r="D643" t="s">
        <v>512</v>
      </c>
      <c r="E643" s="24" t="s">
        <v>510</v>
      </c>
      <c r="F643" t="s">
        <v>359</v>
      </c>
      <c r="G643" s="17">
        <v>0.1</v>
      </c>
      <c r="H643" s="18">
        <v>30000</v>
      </c>
      <c r="I643" s="18">
        <v>53</v>
      </c>
      <c r="J643" s="17">
        <f t="shared" si="35"/>
        <v>1.8867924528301887E-3</v>
      </c>
      <c r="K643" s="18">
        <f t="shared" si="36"/>
        <v>56.60377358490566</v>
      </c>
    </row>
    <row r="644" spans="1:11" x14ac:dyDescent="0.35">
      <c r="A644" s="24" t="s">
        <v>233</v>
      </c>
      <c r="B644" s="24" t="str">
        <f t="shared" si="34"/>
        <v>bún trộn tôm thịtNgò rí</v>
      </c>
      <c r="C644" s="24" t="s">
        <v>8</v>
      </c>
      <c r="D644" t="s">
        <v>512</v>
      </c>
      <c r="E644" s="24" t="s">
        <v>510</v>
      </c>
      <c r="F644" t="s">
        <v>369</v>
      </c>
      <c r="G644" s="17">
        <v>0.1</v>
      </c>
      <c r="H644" s="18">
        <v>30000</v>
      </c>
      <c r="I644" s="18">
        <v>53</v>
      </c>
      <c r="J644" s="17">
        <f t="shared" si="35"/>
        <v>1.8867924528301887E-3</v>
      </c>
      <c r="K644" s="18">
        <f t="shared" si="36"/>
        <v>56.60377358490566</v>
      </c>
    </row>
    <row r="645" spans="1:11" x14ac:dyDescent="0.35">
      <c r="A645" s="24" t="s">
        <v>233</v>
      </c>
      <c r="B645" s="24" t="str">
        <f t="shared" si="34"/>
        <v>bún trộn tôm thịtTôm nhỏ</v>
      </c>
      <c r="C645" s="24" t="s">
        <v>8</v>
      </c>
      <c r="D645" t="s">
        <v>512</v>
      </c>
      <c r="E645" s="24" t="s">
        <v>510</v>
      </c>
      <c r="F645" t="s">
        <v>414</v>
      </c>
      <c r="G645" s="17">
        <v>0.5</v>
      </c>
      <c r="H645" s="18">
        <v>80000</v>
      </c>
      <c r="I645" s="18">
        <v>53</v>
      </c>
      <c r="J645" s="17">
        <f t="shared" si="35"/>
        <v>9.433962264150943E-3</v>
      </c>
      <c r="K645" s="18">
        <f t="shared" si="36"/>
        <v>754.71698113207549</v>
      </c>
    </row>
    <row r="646" spans="1:11" x14ac:dyDescent="0.35">
      <c r="A646" s="24" t="s">
        <v>233</v>
      </c>
      <c r="B646" s="24" t="str">
        <f t="shared" si="34"/>
        <v>bún trộn tôm thịttép khô</v>
      </c>
      <c r="C646" s="24" t="s">
        <v>8</v>
      </c>
      <c r="D646" t="s">
        <v>512</v>
      </c>
      <c r="E646" s="24" t="s">
        <v>510</v>
      </c>
      <c r="F646" t="s">
        <v>466</v>
      </c>
      <c r="G646" s="17">
        <v>0.1</v>
      </c>
      <c r="H646" s="18">
        <v>120000</v>
      </c>
      <c r="I646" s="18">
        <v>53</v>
      </c>
      <c r="J646" s="17">
        <f t="shared" si="35"/>
        <v>1.8867924528301887E-3</v>
      </c>
      <c r="K646" s="18">
        <f t="shared" si="36"/>
        <v>226.41509433962264</v>
      </c>
    </row>
    <row r="647" spans="1:11" x14ac:dyDescent="0.35">
      <c r="A647" s="24" t="s">
        <v>233</v>
      </c>
      <c r="B647" s="24" t="str">
        <f t="shared" si="34"/>
        <v>bún trộn tôm thịtHeo nọng nạc</v>
      </c>
      <c r="C647" s="24" t="s">
        <v>8</v>
      </c>
      <c r="D647" t="s">
        <v>512</v>
      </c>
      <c r="E647" s="24" t="s">
        <v>510</v>
      </c>
      <c r="F647" t="s">
        <v>370</v>
      </c>
      <c r="G647" s="17">
        <v>0.5</v>
      </c>
      <c r="H647" s="18">
        <v>70000</v>
      </c>
      <c r="I647" s="18">
        <v>53</v>
      </c>
      <c r="J647" s="17">
        <f t="shared" si="35"/>
        <v>9.433962264150943E-3</v>
      </c>
      <c r="K647" s="18">
        <f t="shared" si="36"/>
        <v>660.37735849056605</v>
      </c>
    </row>
    <row r="648" spans="1:11" x14ac:dyDescent="0.35">
      <c r="A648" s="24" t="s">
        <v>233</v>
      </c>
      <c r="B648" s="24" t="str">
        <f t="shared" si="34"/>
        <v>bún trộn tôm thịtĐậu phộng rang</v>
      </c>
      <c r="C648" s="24" t="s">
        <v>8</v>
      </c>
      <c r="D648" t="s">
        <v>512</v>
      </c>
      <c r="E648" s="24" t="s">
        <v>510</v>
      </c>
      <c r="F648" t="s">
        <v>303</v>
      </c>
      <c r="G648" s="17">
        <v>0.3</v>
      </c>
      <c r="H648" s="18">
        <v>50000</v>
      </c>
      <c r="I648" s="18">
        <v>53</v>
      </c>
      <c r="J648" s="17">
        <f t="shared" si="35"/>
        <v>5.6603773584905656E-3</v>
      </c>
      <c r="K648" s="18">
        <f t="shared" si="36"/>
        <v>283.01886792452831</v>
      </c>
    </row>
    <row r="649" spans="1:11" x14ac:dyDescent="0.35">
      <c r="A649" s="24" t="s">
        <v>233</v>
      </c>
      <c r="B649" s="24" t="str">
        <f t="shared" si="34"/>
        <v>bún trộn tôm thịtXà lách</v>
      </c>
      <c r="C649" s="24" t="s">
        <v>8</v>
      </c>
      <c r="D649" t="s">
        <v>512</v>
      </c>
      <c r="E649" s="24" t="s">
        <v>510</v>
      </c>
      <c r="F649" t="s">
        <v>197</v>
      </c>
      <c r="G649" s="17">
        <v>0.5</v>
      </c>
      <c r="H649" s="18">
        <v>25000</v>
      </c>
      <c r="I649" s="18">
        <v>53</v>
      </c>
      <c r="J649" s="17">
        <f t="shared" si="35"/>
        <v>9.433962264150943E-3</v>
      </c>
      <c r="K649" s="18">
        <f t="shared" si="36"/>
        <v>235.84905660377359</v>
      </c>
    </row>
    <row r="650" spans="1:11" x14ac:dyDescent="0.35">
      <c r="A650" s="24" t="s">
        <v>233</v>
      </c>
      <c r="B650" s="24" t="str">
        <f t="shared" si="34"/>
        <v>bún trộn tôm thịtbông chuối</v>
      </c>
      <c r="C650" s="24" t="s">
        <v>8</v>
      </c>
      <c r="D650" t="s">
        <v>512</v>
      </c>
      <c r="E650" s="24" t="s">
        <v>510</v>
      </c>
      <c r="F650" t="s">
        <v>434</v>
      </c>
      <c r="G650" s="17">
        <v>2</v>
      </c>
      <c r="H650" s="18">
        <v>15000</v>
      </c>
      <c r="I650" s="18">
        <v>53</v>
      </c>
      <c r="J650" s="17">
        <f t="shared" si="35"/>
        <v>3.7735849056603772E-2</v>
      </c>
      <c r="K650" s="18">
        <f t="shared" si="36"/>
        <v>566.03773584905662</v>
      </c>
    </row>
    <row r="651" spans="1:11" x14ac:dyDescent="0.35">
      <c r="A651" s="24" t="s">
        <v>233</v>
      </c>
      <c r="B651" s="24" t="str">
        <f t="shared" si="34"/>
        <v>mít trộn tôm thịtMít non cục</v>
      </c>
      <c r="C651" s="24" t="s">
        <v>8</v>
      </c>
      <c r="D651" t="s">
        <v>512</v>
      </c>
      <c r="E651" s="24" t="s">
        <v>511</v>
      </c>
      <c r="F651" t="s">
        <v>361</v>
      </c>
      <c r="G651" s="17">
        <v>20</v>
      </c>
      <c r="H651" s="18">
        <v>15000</v>
      </c>
      <c r="I651" s="18">
        <v>215</v>
      </c>
      <c r="J651" s="17">
        <f t="shared" si="35"/>
        <v>9.3023255813953487E-2</v>
      </c>
      <c r="K651" s="18">
        <f t="shared" si="36"/>
        <v>1395.3488372093022</v>
      </c>
    </row>
    <row r="652" spans="1:11" x14ac:dyDescent="0.35">
      <c r="A652" s="24" t="s">
        <v>233</v>
      </c>
      <c r="B652" s="24" t="str">
        <f t="shared" si="34"/>
        <v>mít trộn tôm thịtThịt nọng nạc</v>
      </c>
      <c r="C652" s="24" t="s">
        <v>8</v>
      </c>
      <c r="D652" t="s">
        <v>512</v>
      </c>
      <c r="E652" s="24" t="s">
        <v>511</v>
      </c>
      <c r="F652" t="s">
        <v>378</v>
      </c>
      <c r="G652" s="17">
        <v>3</v>
      </c>
      <c r="H652" s="18">
        <v>70000</v>
      </c>
      <c r="I652" s="18">
        <v>215</v>
      </c>
      <c r="J652" s="17">
        <f t="shared" si="35"/>
        <v>1.3953488372093023E-2</v>
      </c>
      <c r="K652" s="18">
        <f t="shared" si="36"/>
        <v>976.74418604651157</v>
      </c>
    </row>
    <row r="653" spans="1:11" x14ac:dyDescent="0.35">
      <c r="A653" s="24" t="s">
        <v>233</v>
      </c>
      <c r="B653" s="24" t="str">
        <f t="shared" si="34"/>
        <v>mít trộn tôm thịtTôm nhỏ</v>
      </c>
      <c r="C653" s="24" t="s">
        <v>8</v>
      </c>
      <c r="D653" t="s">
        <v>512</v>
      </c>
      <c r="E653" s="24" t="s">
        <v>511</v>
      </c>
      <c r="F653" t="s">
        <v>414</v>
      </c>
      <c r="G653" s="17">
        <v>1</v>
      </c>
      <c r="H653" s="18">
        <v>80000</v>
      </c>
      <c r="I653" s="18">
        <v>215</v>
      </c>
      <c r="J653" s="17">
        <f t="shared" si="35"/>
        <v>4.6511627906976744E-3</v>
      </c>
      <c r="K653" s="18">
        <f t="shared" si="36"/>
        <v>372.09302325581393</v>
      </c>
    </row>
    <row r="654" spans="1:11" x14ac:dyDescent="0.35">
      <c r="A654" s="24" t="s">
        <v>233</v>
      </c>
      <c r="B654" s="24" t="str">
        <f t="shared" si="34"/>
        <v>mít trộn tôm thịtTép khô</v>
      </c>
      <c r="C654" s="24" t="s">
        <v>8</v>
      </c>
      <c r="D654" t="s">
        <v>512</v>
      </c>
      <c r="E654" s="24" t="s">
        <v>511</v>
      </c>
      <c r="F654" t="s">
        <v>374</v>
      </c>
      <c r="G654" s="17">
        <v>0.5</v>
      </c>
      <c r="H654" s="18">
        <v>120000</v>
      </c>
      <c r="I654" s="18">
        <v>215</v>
      </c>
      <c r="J654" s="17">
        <f t="shared" si="35"/>
        <v>2.3255813953488372E-3</v>
      </c>
      <c r="K654" s="18">
        <f t="shared" si="36"/>
        <v>279.06976744186045</v>
      </c>
    </row>
    <row r="655" spans="1:11" x14ac:dyDescent="0.35">
      <c r="A655" s="24" t="s">
        <v>233</v>
      </c>
      <c r="B655" s="24" t="str">
        <f t="shared" si="34"/>
        <v>mít trộn tôm thịtNgò gai</v>
      </c>
      <c r="C655" s="24" t="s">
        <v>8</v>
      </c>
      <c r="D655" t="s">
        <v>512</v>
      </c>
      <c r="E655" s="24" t="s">
        <v>511</v>
      </c>
      <c r="F655" t="s">
        <v>101</v>
      </c>
      <c r="G655" s="17">
        <v>0.3</v>
      </c>
      <c r="H655" s="18">
        <v>30000</v>
      </c>
      <c r="I655" s="18">
        <v>215</v>
      </c>
      <c r="J655" s="17">
        <f t="shared" si="35"/>
        <v>1.3953488372093023E-3</v>
      </c>
      <c r="K655" s="18">
        <f t="shared" si="36"/>
        <v>41.860465116279073</v>
      </c>
    </row>
    <row r="656" spans="1:11" x14ac:dyDescent="0.35">
      <c r="A656" s="24" t="s">
        <v>233</v>
      </c>
      <c r="B656" s="24" t="str">
        <f t="shared" si="34"/>
        <v>mít trộn tôm thịtĐậu phộng rang</v>
      </c>
      <c r="C656" s="24" t="s">
        <v>8</v>
      </c>
      <c r="D656" t="s">
        <v>512</v>
      </c>
      <c r="E656" s="24" t="s">
        <v>511</v>
      </c>
      <c r="F656" t="s">
        <v>303</v>
      </c>
      <c r="G656" s="17">
        <v>0.8</v>
      </c>
      <c r="H656" s="18">
        <v>50000</v>
      </c>
      <c r="I656" s="18">
        <v>215</v>
      </c>
      <c r="J656" s="17">
        <f t="shared" si="35"/>
        <v>3.7209302325581397E-3</v>
      </c>
      <c r="K656" s="18">
        <f t="shared" si="36"/>
        <v>186.04651162790697</v>
      </c>
    </row>
    <row r="657" spans="1:11" x14ac:dyDescent="0.35">
      <c r="A657" s="24" t="s">
        <v>233</v>
      </c>
      <c r="B657" s="24" t="str">
        <f t="shared" si="34"/>
        <v>thịt cuộn lá lótLá lót to</v>
      </c>
      <c r="C657" s="24" t="s">
        <v>8</v>
      </c>
      <c r="D657" t="s">
        <v>512</v>
      </c>
      <c r="E657" s="24" t="s">
        <v>513</v>
      </c>
      <c r="F657" t="s">
        <v>402</v>
      </c>
      <c r="G657" s="17">
        <v>3</v>
      </c>
      <c r="H657" s="18">
        <v>30000</v>
      </c>
      <c r="I657" s="18">
        <v>175</v>
      </c>
      <c r="J657" s="17">
        <f t="shared" si="35"/>
        <v>1.7142857142857144E-2</v>
      </c>
      <c r="K657" s="18">
        <f t="shared" si="36"/>
        <v>514.28571428571433</v>
      </c>
    </row>
    <row r="658" spans="1:11" x14ac:dyDescent="0.35">
      <c r="A658" s="24" t="s">
        <v>233</v>
      </c>
      <c r="B658" s="24" t="str">
        <f t="shared" si="34"/>
        <v>thịt cuộn lá lótThịt xay mịn</v>
      </c>
      <c r="C658" s="24" t="s">
        <v>8</v>
      </c>
      <c r="D658" t="s">
        <v>512</v>
      </c>
      <c r="E658" s="24" t="s">
        <v>513</v>
      </c>
      <c r="F658" t="s">
        <v>431</v>
      </c>
      <c r="G658" s="17">
        <v>2.7</v>
      </c>
      <c r="H658" s="18">
        <v>100000</v>
      </c>
      <c r="I658" s="18">
        <v>175</v>
      </c>
      <c r="J658" s="17">
        <f t="shared" si="35"/>
        <v>1.542857142857143E-2</v>
      </c>
      <c r="K658" s="18">
        <f t="shared" si="36"/>
        <v>1542.8571428571429</v>
      </c>
    </row>
    <row r="659" spans="1:11" x14ac:dyDescent="0.35">
      <c r="A659" s="24" t="s">
        <v>233</v>
      </c>
      <c r="B659" s="24" t="str">
        <f t="shared" si="34"/>
        <v>thịt cuộn lá lótChả quết</v>
      </c>
      <c r="C659" s="24" t="s">
        <v>8</v>
      </c>
      <c r="D659" t="s">
        <v>512</v>
      </c>
      <c r="E659" s="24" t="s">
        <v>513</v>
      </c>
      <c r="F659" t="s">
        <v>166</v>
      </c>
      <c r="G659" s="17">
        <v>1</v>
      </c>
      <c r="H659" s="18">
        <v>140000</v>
      </c>
      <c r="I659" s="18">
        <v>175</v>
      </c>
      <c r="J659" s="17">
        <f t="shared" si="35"/>
        <v>5.7142857142857143E-3</v>
      </c>
      <c r="K659" s="18">
        <f t="shared" si="36"/>
        <v>800</v>
      </c>
    </row>
    <row r="660" spans="1:11" x14ac:dyDescent="0.35">
      <c r="A660" s="24" t="s">
        <v>233</v>
      </c>
      <c r="B660" s="24" t="str">
        <f t="shared" si="34"/>
        <v>thịt cuộn lá lótSả</v>
      </c>
      <c r="C660" s="24" t="s">
        <v>8</v>
      </c>
      <c r="D660" t="s">
        <v>512</v>
      </c>
      <c r="E660" s="24" t="s">
        <v>513</v>
      </c>
      <c r="F660" t="s">
        <v>207</v>
      </c>
      <c r="G660" s="17">
        <v>0.7</v>
      </c>
      <c r="H660" s="18">
        <v>30000</v>
      </c>
      <c r="I660" s="18">
        <v>175</v>
      </c>
      <c r="J660" s="17">
        <f t="shared" si="35"/>
        <v>4.0000000000000001E-3</v>
      </c>
      <c r="K660" s="18">
        <f t="shared" si="36"/>
        <v>120</v>
      </c>
    </row>
    <row r="661" spans="1:11" x14ac:dyDescent="0.35">
      <c r="A661" s="24" t="s">
        <v>233</v>
      </c>
      <c r="B661" s="24" t="str">
        <f t="shared" si="34"/>
        <v>cà tím sốt thịt bằmcà tím</v>
      </c>
      <c r="C661" s="24" t="s">
        <v>8</v>
      </c>
      <c r="D661" t="s">
        <v>512</v>
      </c>
      <c r="E661" s="24" t="s">
        <v>514</v>
      </c>
      <c r="F661" t="s">
        <v>450</v>
      </c>
      <c r="G661" s="17">
        <v>10</v>
      </c>
      <c r="H661" s="18">
        <v>12000</v>
      </c>
      <c r="I661" s="18">
        <v>100</v>
      </c>
      <c r="J661" s="17">
        <f t="shared" si="35"/>
        <v>0.1</v>
      </c>
      <c r="K661" s="18">
        <f t="shared" si="36"/>
        <v>1200</v>
      </c>
    </row>
    <row r="662" spans="1:11" x14ac:dyDescent="0.35">
      <c r="A662" s="24" t="s">
        <v>233</v>
      </c>
      <c r="B662" s="24" t="str">
        <f t="shared" si="34"/>
        <v>cà tím sốt thịt bằmthịt xay có mỡ</v>
      </c>
      <c r="C662" s="24" t="s">
        <v>8</v>
      </c>
      <c r="D662" t="s">
        <v>512</v>
      </c>
      <c r="E662" s="24" t="s">
        <v>514</v>
      </c>
      <c r="F662" t="s">
        <v>451</v>
      </c>
      <c r="G662" s="17">
        <v>1.5</v>
      </c>
      <c r="H662" s="18">
        <v>100000</v>
      </c>
      <c r="I662" s="18">
        <v>100</v>
      </c>
      <c r="J662" s="17">
        <f t="shared" si="35"/>
        <v>1.4999999999999999E-2</v>
      </c>
      <c r="K662" s="18">
        <f t="shared" si="36"/>
        <v>1500</v>
      </c>
    </row>
    <row r="663" spans="1:11" x14ac:dyDescent="0.35">
      <c r="A663" s="24" t="s">
        <v>233</v>
      </c>
      <c r="B663" s="24" t="str">
        <f t="shared" si="34"/>
        <v>cà tím sốt thịt bằmhành lá</v>
      </c>
      <c r="C663" s="24" t="s">
        <v>8</v>
      </c>
      <c r="D663" t="s">
        <v>512</v>
      </c>
      <c r="E663" s="24" t="s">
        <v>514</v>
      </c>
      <c r="F663" t="s">
        <v>408</v>
      </c>
      <c r="G663" s="17">
        <v>0.5</v>
      </c>
      <c r="H663" s="18">
        <v>20000</v>
      </c>
      <c r="I663" s="18">
        <v>100</v>
      </c>
      <c r="J663" s="17">
        <f t="shared" si="35"/>
        <v>5.0000000000000001E-3</v>
      </c>
      <c r="K663" s="18">
        <f t="shared" si="36"/>
        <v>100</v>
      </c>
    </row>
    <row r="664" spans="1:11" x14ac:dyDescent="0.35">
      <c r="A664" s="24" t="s">
        <v>233</v>
      </c>
      <c r="B664" s="24" t="str">
        <f t="shared" si="34"/>
        <v>chả cá rim tóp mỡChả cá tấm chiên</v>
      </c>
      <c r="C664" s="24" t="s">
        <v>8</v>
      </c>
      <c r="D664" t="s">
        <v>512</v>
      </c>
      <c r="E664" s="24" t="s">
        <v>515</v>
      </c>
      <c r="F664" t="s">
        <v>268</v>
      </c>
      <c r="G664" s="17">
        <v>4.2</v>
      </c>
      <c r="H664" s="18">
        <v>70000</v>
      </c>
      <c r="I664" s="18">
        <v>100</v>
      </c>
      <c r="J664" s="17">
        <f t="shared" si="35"/>
        <v>4.2000000000000003E-2</v>
      </c>
      <c r="K664" s="18">
        <f t="shared" si="36"/>
        <v>2940</v>
      </c>
    </row>
    <row r="665" spans="1:11" x14ac:dyDescent="0.35">
      <c r="A665" s="24" t="s">
        <v>233</v>
      </c>
      <c r="B665" s="24" t="str">
        <f t="shared" si="34"/>
        <v>chả cá rim tóp mỡmỡ heo có da</v>
      </c>
      <c r="C665" s="24" t="s">
        <v>8</v>
      </c>
      <c r="D665" t="s">
        <v>512</v>
      </c>
      <c r="E665" s="24" t="s">
        <v>515</v>
      </c>
      <c r="F665" t="s">
        <v>516</v>
      </c>
      <c r="G665" s="17">
        <v>1</v>
      </c>
      <c r="H665" s="18">
        <v>50000</v>
      </c>
      <c r="I665" s="18">
        <v>100</v>
      </c>
      <c r="J665" s="17">
        <f t="shared" si="35"/>
        <v>0.01</v>
      </c>
      <c r="K665" s="18">
        <f t="shared" si="36"/>
        <v>500</v>
      </c>
    </row>
    <row r="666" spans="1:11" x14ac:dyDescent="0.35">
      <c r="A666" s="24" t="s">
        <v>233</v>
      </c>
      <c r="B666" s="24" t="str">
        <f t="shared" si="34"/>
        <v>chả cá rim tóp mỡhành lá</v>
      </c>
      <c r="C666" s="24" t="s">
        <v>8</v>
      </c>
      <c r="D666" t="s">
        <v>512</v>
      </c>
      <c r="E666" s="24" t="s">
        <v>515</v>
      </c>
      <c r="F666" t="s">
        <v>408</v>
      </c>
      <c r="G666" s="17">
        <v>0.3</v>
      </c>
      <c r="H666" s="18">
        <v>20000</v>
      </c>
      <c r="I666" s="18">
        <v>100</v>
      </c>
      <c r="J666" s="17">
        <f t="shared" si="35"/>
        <v>3.0000000000000001E-3</v>
      </c>
      <c r="K666" s="18">
        <f t="shared" si="36"/>
        <v>60</v>
      </c>
    </row>
  </sheetData>
  <autoFilter ref="A2:K666" xr:uid="{00000000-0009-0000-0000-000002000000}"/>
  <mergeCells count="24">
    <mergeCell ref="L136:L146"/>
    <mergeCell ref="M70:M79"/>
    <mergeCell ref="L66:L69"/>
    <mergeCell ref="M66:M69"/>
    <mergeCell ref="L117:L124"/>
    <mergeCell ref="L126:L133"/>
    <mergeCell ref="L70:L79"/>
    <mergeCell ref="L100:L103"/>
    <mergeCell ref="L105:L107"/>
    <mergeCell ref="L108:L116"/>
    <mergeCell ref="L81:L88"/>
    <mergeCell ref="L90:L99"/>
    <mergeCell ref="L46:L53"/>
    <mergeCell ref="M46:M53"/>
    <mergeCell ref="L54:L60"/>
    <mergeCell ref="M54:M60"/>
    <mergeCell ref="L61:L65"/>
    <mergeCell ref="M61:M65"/>
    <mergeCell ref="L16:L27"/>
    <mergeCell ref="L3:L15"/>
    <mergeCell ref="L29:L36"/>
    <mergeCell ref="M29:M36"/>
    <mergeCell ref="L38:L45"/>
    <mergeCell ref="M38:M4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B975-10EF-4E33-A68E-C78F44FC73EE}">
  <dimension ref="A1:R666"/>
  <sheetViews>
    <sheetView zoomScale="87" zoomScaleNormal="87" workbookViewId="0">
      <pane ySplit="2" topLeftCell="A3" activePane="bottomLeft" state="frozen"/>
      <selection activeCell="R77" sqref="R77"/>
      <selection pane="bottomLeft" activeCell="K16" sqref="K16:K28"/>
    </sheetView>
  </sheetViews>
  <sheetFormatPr defaultRowHeight="14.5" x14ac:dyDescent="0.35"/>
  <cols>
    <col min="1" max="1" width="13.26953125" customWidth="1"/>
    <col min="2" max="2" width="31.1796875" bestFit="1" customWidth="1"/>
    <col min="3" max="3" width="13.26953125" customWidth="1"/>
    <col min="4" max="4" width="21.26953125" bestFit="1" customWidth="1"/>
    <col min="5" max="5" width="21.54296875" customWidth="1"/>
    <col min="6" max="6" width="21" customWidth="1"/>
    <col min="7" max="7" width="19.7265625" style="17" customWidth="1"/>
    <col min="8" max="9" width="19.7265625" style="18" customWidth="1"/>
    <col min="10" max="10" width="27.26953125" style="17" bestFit="1" customWidth="1"/>
    <col min="11" max="11" width="20.26953125" style="18" customWidth="1"/>
    <col min="12" max="12" width="16.1796875" hidden="1" customWidth="1"/>
    <col min="13" max="13" width="13.54296875" hidden="1" customWidth="1"/>
    <col min="15" max="15" width="13" customWidth="1"/>
  </cols>
  <sheetData>
    <row r="1" spans="1:12" x14ac:dyDescent="0.35">
      <c r="I1" s="19"/>
      <c r="J1" s="20"/>
    </row>
    <row r="2" spans="1:12" ht="15.75" customHeight="1" x14ac:dyDescent="0.35">
      <c r="A2" s="21" t="s">
        <v>231</v>
      </c>
      <c r="B2" s="21" t="s">
        <v>140</v>
      </c>
      <c r="C2" s="21" t="s">
        <v>7</v>
      </c>
      <c r="D2" s="21" t="s">
        <v>0</v>
      </c>
      <c r="E2" s="21" t="s">
        <v>1</v>
      </c>
      <c r="F2" s="21" t="s">
        <v>9</v>
      </c>
      <c r="G2" s="22" t="s">
        <v>6</v>
      </c>
      <c r="H2" s="23" t="s">
        <v>2</v>
      </c>
      <c r="I2" s="23" t="s">
        <v>5</v>
      </c>
      <c r="J2" s="22" t="s">
        <v>138</v>
      </c>
      <c r="K2" s="23" t="s">
        <v>3</v>
      </c>
      <c r="L2" s="21" t="s">
        <v>42</v>
      </c>
    </row>
    <row r="3" spans="1:12" x14ac:dyDescent="0.35">
      <c r="A3" s="24" t="s">
        <v>232</v>
      </c>
      <c r="B3" s="24" t="str">
        <f t="shared" ref="B3:B66" si="0">E3&amp;F3</f>
        <v>Bún mọcNạc đùi mông</v>
      </c>
      <c r="C3" s="24" t="s">
        <v>8</v>
      </c>
      <c r="D3" t="s">
        <v>20</v>
      </c>
      <c r="E3" t="s">
        <v>29</v>
      </c>
      <c r="F3" t="s">
        <v>475</v>
      </c>
      <c r="G3" s="17">
        <v>4.2</v>
      </c>
      <c r="H3" s="18">
        <v>100000</v>
      </c>
      <c r="I3" s="18">
        <v>100</v>
      </c>
      <c r="J3" s="17">
        <f t="shared" ref="J3:J66" si="1">G3/I3</f>
        <v>4.2000000000000003E-2</v>
      </c>
      <c r="K3" s="18">
        <f t="shared" ref="K3:K66" si="2">(G3*H3)/I3</f>
        <v>4200</v>
      </c>
      <c r="L3" s="103">
        <f>SUM(K3:K15)</f>
        <v>14943</v>
      </c>
    </row>
    <row r="4" spans="1:12" x14ac:dyDescent="0.35">
      <c r="A4" s="24" t="s">
        <v>232</v>
      </c>
      <c r="B4" s="24" t="str">
        <f t="shared" si="0"/>
        <v>Bún mọcChả quết</v>
      </c>
      <c r="C4" s="24" t="s">
        <v>8</v>
      </c>
      <c r="D4" t="s">
        <v>20</v>
      </c>
      <c r="E4" t="s">
        <v>29</v>
      </c>
      <c r="F4" t="s">
        <v>166</v>
      </c>
      <c r="G4" s="17">
        <v>2.2000000000000002</v>
      </c>
      <c r="H4" s="18">
        <v>120000</v>
      </c>
      <c r="I4" s="18">
        <v>100</v>
      </c>
      <c r="J4" s="17">
        <f t="shared" si="1"/>
        <v>2.2000000000000002E-2</v>
      </c>
      <c r="K4" s="18">
        <f t="shared" si="2"/>
        <v>2640</v>
      </c>
      <c r="L4" s="103"/>
    </row>
    <row r="5" spans="1:12" x14ac:dyDescent="0.35">
      <c r="A5" s="24" t="s">
        <v>232</v>
      </c>
      <c r="B5" s="24" t="str">
        <f t="shared" si="0"/>
        <v>Bún mọcThịt xay</v>
      </c>
      <c r="C5" s="24" t="s">
        <v>8</v>
      </c>
      <c r="D5" t="s">
        <v>20</v>
      </c>
      <c r="E5" t="s">
        <v>29</v>
      </c>
      <c r="F5" t="s">
        <v>31</v>
      </c>
      <c r="G5" s="17">
        <v>1.2</v>
      </c>
      <c r="H5" s="18">
        <v>80000</v>
      </c>
      <c r="I5" s="18">
        <v>100</v>
      </c>
      <c r="J5" s="17">
        <f t="shared" si="1"/>
        <v>1.2E-2</v>
      </c>
      <c r="K5" s="18">
        <f t="shared" si="2"/>
        <v>960</v>
      </c>
      <c r="L5" s="103"/>
    </row>
    <row r="6" spans="1:12" x14ac:dyDescent="0.35">
      <c r="A6" s="24" t="s">
        <v>232</v>
      </c>
      <c r="B6" s="24" t="str">
        <f t="shared" si="0"/>
        <v>Bún mọcChả heo chín</v>
      </c>
      <c r="C6" s="24" t="s">
        <v>8</v>
      </c>
      <c r="D6" t="s">
        <v>20</v>
      </c>
      <c r="E6" t="s">
        <v>29</v>
      </c>
      <c r="F6" t="s">
        <v>32</v>
      </c>
      <c r="G6" s="17">
        <v>1.3</v>
      </c>
      <c r="H6" s="18">
        <v>120000</v>
      </c>
      <c r="I6" s="18">
        <v>100</v>
      </c>
      <c r="J6" s="17">
        <f t="shared" si="1"/>
        <v>1.3000000000000001E-2</v>
      </c>
      <c r="K6" s="18">
        <f t="shared" si="2"/>
        <v>1560</v>
      </c>
      <c r="L6" s="103"/>
    </row>
    <row r="7" spans="1:12" x14ac:dyDescent="0.35">
      <c r="A7" s="24" t="s">
        <v>233</v>
      </c>
      <c r="B7" s="24" t="str">
        <f t="shared" si="0"/>
        <v>Bún mọcNấm mèo</v>
      </c>
      <c r="C7" s="24" t="s">
        <v>8</v>
      </c>
      <c r="D7" t="s">
        <v>20</v>
      </c>
      <c r="E7" t="s">
        <v>29</v>
      </c>
      <c r="F7" t="s">
        <v>28</v>
      </c>
      <c r="G7" s="17">
        <v>0.3</v>
      </c>
      <c r="H7" s="18">
        <v>55000</v>
      </c>
      <c r="I7" s="18">
        <v>100</v>
      </c>
      <c r="J7" s="17">
        <f t="shared" si="1"/>
        <v>3.0000000000000001E-3</v>
      </c>
      <c r="K7" s="18">
        <f t="shared" si="2"/>
        <v>165</v>
      </c>
      <c r="L7" s="103"/>
    </row>
    <row r="8" spans="1:12" x14ac:dyDescent="0.35">
      <c r="A8" s="24" t="s">
        <v>232</v>
      </c>
      <c r="B8" s="24" t="str">
        <f t="shared" si="0"/>
        <v>Bún mọcDa heo</v>
      </c>
      <c r="C8" s="24" t="s">
        <v>8</v>
      </c>
      <c r="D8" t="s">
        <v>20</v>
      </c>
      <c r="E8" t="s">
        <v>29</v>
      </c>
      <c r="F8" t="s">
        <v>33</v>
      </c>
      <c r="G8" s="17">
        <v>2</v>
      </c>
      <c r="H8" s="18">
        <v>30000</v>
      </c>
      <c r="I8" s="18">
        <v>100</v>
      </c>
      <c r="J8" s="17">
        <f t="shared" si="1"/>
        <v>0.02</v>
      </c>
      <c r="K8" s="18">
        <f t="shared" si="2"/>
        <v>600</v>
      </c>
      <c r="L8" s="103"/>
    </row>
    <row r="9" spans="1:12" x14ac:dyDescent="0.35">
      <c r="A9" s="24" t="s">
        <v>232</v>
      </c>
      <c r="B9" s="24" t="str">
        <f t="shared" si="0"/>
        <v>Bún mọcxương ống</v>
      </c>
      <c r="C9" s="24" t="s">
        <v>8</v>
      </c>
      <c r="D9" t="s">
        <v>20</v>
      </c>
      <c r="E9" t="s">
        <v>29</v>
      </c>
      <c r="F9" t="s">
        <v>474</v>
      </c>
      <c r="G9" s="17">
        <v>1.5</v>
      </c>
      <c r="H9" s="18">
        <v>30000</v>
      </c>
      <c r="I9" s="18">
        <v>100</v>
      </c>
      <c r="J9" s="17">
        <f t="shared" si="1"/>
        <v>1.4999999999999999E-2</v>
      </c>
      <c r="K9" s="18">
        <f t="shared" si="2"/>
        <v>450</v>
      </c>
      <c r="L9" s="103"/>
    </row>
    <row r="10" spans="1:12" x14ac:dyDescent="0.35">
      <c r="A10" s="24" t="s">
        <v>233</v>
      </c>
      <c r="B10" s="24" t="str">
        <f t="shared" si="0"/>
        <v>Bún mọcBún</v>
      </c>
      <c r="C10" s="24" t="s">
        <v>8</v>
      </c>
      <c r="D10" t="s">
        <v>20</v>
      </c>
      <c r="E10" t="s">
        <v>29</v>
      </c>
      <c r="F10" t="s">
        <v>34</v>
      </c>
      <c r="G10" s="17">
        <v>33</v>
      </c>
      <c r="H10" s="18">
        <v>10000</v>
      </c>
      <c r="I10" s="18">
        <v>100</v>
      </c>
      <c r="J10" s="17">
        <f t="shared" si="1"/>
        <v>0.33</v>
      </c>
      <c r="K10" s="18">
        <f t="shared" si="2"/>
        <v>3300</v>
      </c>
      <c r="L10" s="103"/>
    </row>
    <row r="11" spans="1:12" x14ac:dyDescent="0.35">
      <c r="A11" s="24" t="s">
        <v>233</v>
      </c>
      <c r="B11" s="24" t="str">
        <f t="shared" si="0"/>
        <v>Bún mọcRau quế</v>
      </c>
      <c r="C11" s="24" t="s">
        <v>8</v>
      </c>
      <c r="D11" t="s">
        <v>20</v>
      </c>
      <c r="E11" t="s">
        <v>29</v>
      </c>
      <c r="F11" t="s">
        <v>23</v>
      </c>
      <c r="G11" s="17">
        <v>0.3</v>
      </c>
      <c r="H11" s="18">
        <v>30000</v>
      </c>
      <c r="I11" s="18">
        <v>100</v>
      </c>
      <c r="J11" s="17">
        <f t="shared" si="1"/>
        <v>3.0000000000000001E-3</v>
      </c>
      <c r="K11" s="18">
        <f t="shared" si="2"/>
        <v>90</v>
      </c>
      <c r="L11" s="103"/>
    </row>
    <row r="12" spans="1:12" x14ac:dyDescent="0.35">
      <c r="A12" s="24" t="s">
        <v>233</v>
      </c>
      <c r="B12" s="24" t="str">
        <f t="shared" si="0"/>
        <v>Bún mọcGiá</v>
      </c>
      <c r="C12" s="24" t="s">
        <v>8</v>
      </c>
      <c r="D12" t="s">
        <v>20</v>
      </c>
      <c r="E12" t="s">
        <v>29</v>
      </c>
      <c r="F12" t="s">
        <v>26</v>
      </c>
      <c r="G12" s="17">
        <v>2.5</v>
      </c>
      <c r="H12" s="18">
        <v>10000</v>
      </c>
      <c r="I12" s="18">
        <v>100</v>
      </c>
      <c r="J12" s="17">
        <f t="shared" si="1"/>
        <v>2.5000000000000001E-2</v>
      </c>
      <c r="K12" s="18">
        <f t="shared" si="2"/>
        <v>250</v>
      </c>
      <c r="L12" s="103"/>
    </row>
    <row r="13" spans="1:12" x14ac:dyDescent="0.35">
      <c r="A13" s="24" t="s">
        <v>233</v>
      </c>
      <c r="B13" s="24" t="str">
        <f t="shared" si="0"/>
        <v>Bún mọcHành lá</v>
      </c>
      <c r="C13" s="24" t="s">
        <v>8</v>
      </c>
      <c r="D13" t="s">
        <v>20</v>
      </c>
      <c r="E13" t="s">
        <v>29</v>
      </c>
      <c r="F13" t="s">
        <v>24</v>
      </c>
      <c r="G13" s="17">
        <v>0.4</v>
      </c>
      <c r="H13" s="18">
        <v>20000</v>
      </c>
      <c r="I13" s="18">
        <v>100</v>
      </c>
      <c r="J13" s="17">
        <f t="shared" si="1"/>
        <v>4.0000000000000001E-3</v>
      </c>
      <c r="K13" s="18">
        <f t="shared" si="2"/>
        <v>80</v>
      </c>
      <c r="L13" s="103"/>
    </row>
    <row r="14" spans="1:12" x14ac:dyDescent="0.35">
      <c r="A14" s="24" t="s">
        <v>233</v>
      </c>
      <c r="B14" s="24" t="str">
        <f t="shared" si="0"/>
        <v xml:space="preserve">Bún mọcChanh </v>
      </c>
      <c r="C14" s="24" t="s">
        <v>8</v>
      </c>
      <c r="D14" t="s">
        <v>20</v>
      </c>
      <c r="E14" t="s">
        <v>29</v>
      </c>
      <c r="F14" t="s">
        <v>36</v>
      </c>
      <c r="G14" s="17">
        <v>0.8</v>
      </c>
      <c r="H14" s="18">
        <v>26000</v>
      </c>
      <c r="I14" s="18">
        <v>100</v>
      </c>
      <c r="J14" s="17">
        <f t="shared" si="1"/>
        <v>8.0000000000000002E-3</v>
      </c>
      <c r="K14" s="18">
        <f t="shared" si="2"/>
        <v>208</v>
      </c>
      <c r="L14" s="103"/>
    </row>
    <row r="15" spans="1:12" x14ac:dyDescent="0.35">
      <c r="A15" s="24" t="s">
        <v>233</v>
      </c>
      <c r="B15" s="24" t="str">
        <f t="shared" si="0"/>
        <v xml:space="preserve">Bún mọcXà lách </v>
      </c>
      <c r="C15" s="24" t="s">
        <v>8</v>
      </c>
      <c r="D15" t="s">
        <v>20</v>
      </c>
      <c r="E15" t="s">
        <v>29</v>
      </c>
      <c r="F15" t="s">
        <v>38</v>
      </c>
      <c r="G15" s="17">
        <v>2</v>
      </c>
      <c r="H15" s="18">
        <v>22000</v>
      </c>
      <c r="I15" s="18">
        <v>100</v>
      </c>
      <c r="J15" s="17">
        <f t="shared" si="1"/>
        <v>0.02</v>
      </c>
      <c r="K15" s="18">
        <f t="shared" si="2"/>
        <v>440</v>
      </c>
      <c r="L15" s="103"/>
    </row>
    <row r="16" spans="1:12" x14ac:dyDescent="0.35">
      <c r="A16" s="24" t="s">
        <v>232</v>
      </c>
      <c r="B16" s="24" t="str">
        <f t="shared" si="0"/>
        <v>Mỳ Quảng Tôm ThịtHeo đùi mông</v>
      </c>
      <c r="C16" s="24" t="s">
        <v>8</v>
      </c>
      <c r="D16" t="s">
        <v>20</v>
      </c>
      <c r="E16" t="s">
        <v>296</v>
      </c>
      <c r="F16" t="s">
        <v>30</v>
      </c>
      <c r="G16" s="17">
        <v>5.5</v>
      </c>
      <c r="H16" s="18">
        <v>100000</v>
      </c>
      <c r="I16" s="18">
        <v>100</v>
      </c>
      <c r="J16" s="17">
        <f>G16/I16</f>
        <v>5.5E-2</v>
      </c>
      <c r="K16" s="18">
        <f t="shared" si="2"/>
        <v>5500</v>
      </c>
      <c r="L16" s="101">
        <f>SUM(K16:K27)</f>
        <v>14638</v>
      </c>
    </row>
    <row r="17" spans="1:15" x14ac:dyDescent="0.35">
      <c r="A17" s="24" t="s">
        <v>232</v>
      </c>
      <c r="B17" s="24" t="str">
        <f t="shared" si="0"/>
        <v>Mỳ Quảng Tôm ThịtTrứng cút lột sẵn</v>
      </c>
      <c r="C17" s="24" t="s">
        <v>8</v>
      </c>
      <c r="D17" t="s">
        <v>20</v>
      </c>
      <c r="E17" t="s">
        <v>296</v>
      </c>
      <c r="F17" t="s">
        <v>390</v>
      </c>
      <c r="G17" s="17">
        <v>300</v>
      </c>
      <c r="H17" s="18">
        <v>600</v>
      </c>
      <c r="I17" s="18">
        <v>100</v>
      </c>
      <c r="J17" s="17">
        <f t="shared" si="1"/>
        <v>3</v>
      </c>
      <c r="K17" s="18">
        <f t="shared" si="2"/>
        <v>1800</v>
      </c>
      <c r="L17" s="102"/>
    </row>
    <row r="18" spans="1:15" x14ac:dyDescent="0.35">
      <c r="A18" s="24" t="s">
        <v>232</v>
      </c>
      <c r="B18" s="24" t="str">
        <f t="shared" si="0"/>
        <v>Mỳ Quảng Tôm ThịtTôm</v>
      </c>
      <c r="C18" s="24" t="s">
        <v>8</v>
      </c>
      <c r="D18" t="s">
        <v>20</v>
      </c>
      <c r="E18" t="s">
        <v>296</v>
      </c>
      <c r="F18" t="s">
        <v>37</v>
      </c>
      <c r="G18" s="17">
        <v>2.5</v>
      </c>
      <c r="H18" s="18">
        <v>100000</v>
      </c>
      <c r="I18" s="18">
        <v>100</v>
      </c>
      <c r="J18" s="17">
        <f t="shared" si="1"/>
        <v>2.5000000000000001E-2</v>
      </c>
      <c r="K18" s="18">
        <f t="shared" si="2"/>
        <v>2500</v>
      </c>
      <c r="L18" s="102"/>
    </row>
    <row r="19" spans="1:15" x14ac:dyDescent="0.35">
      <c r="A19" s="24" t="s">
        <v>233</v>
      </c>
      <c r="B19" s="24" t="str">
        <f t="shared" si="0"/>
        <v>Mỳ Quảng Tôm ThịtBánh phồng tôm</v>
      </c>
      <c r="C19" s="24" t="s">
        <v>8</v>
      </c>
      <c r="D19" t="s">
        <v>20</v>
      </c>
      <c r="E19" t="s">
        <v>296</v>
      </c>
      <c r="F19" t="s">
        <v>426</v>
      </c>
      <c r="G19" s="17">
        <v>3</v>
      </c>
      <c r="H19" s="18">
        <v>10000</v>
      </c>
      <c r="I19" s="18">
        <v>100</v>
      </c>
      <c r="J19" s="17">
        <f t="shared" si="1"/>
        <v>0.03</v>
      </c>
      <c r="K19" s="18">
        <f t="shared" si="2"/>
        <v>300</v>
      </c>
      <c r="L19" s="102"/>
    </row>
    <row r="20" spans="1:15" x14ac:dyDescent="0.35">
      <c r="A20" s="24" t="s">
        <v>233</v>
      </c>
      <c r="B20" s="24" t="str">
        <f t="shared" si="0"/>
        <v xml:space="preserve">Mỳ Quảng Tôm ThịtXà lách </v>
      </c>
      <c r="C20" s="24" t="s">
        <v>8</v>
      </c>
      <c r="D20" t="s">
        <v>20</v>
      </c>
      <c r="E20" t="s">
        <v>296</v>
      </c>
      <c r="F20" t="s">
        <v>38</v>
      </c>
      <c r="G20" s="17">
        <v>2</v>
      </c>
      <c r="H20" s="18">
        <v>22000</v>
      </c>
      <c r="I20" s="18">
        <v>100</v>
      </c>
      <c r="J20" s="17">
        <f t="shared" si="1"/>
        <v>0.02</v>
      </c>
      <c r="K20" s="18">
        <f t="shared" si="2"/>
        <v>440</v>
      </c>
      <c r="L20" s="102"/>
    </row>
    <row r="21" spans="1:15" x14ac:dyDescent="0.35">
      <c r="A21" s="24" t="s">
        <v>233</v>
      </c>
      <c r="B21" s="24" t="str">
        <f t="shared" si="0"/>
        <v>Mỳ Quảng Tôm ThịtSu trắng</v>
      </c>
      <c r="C21" s="24" t="s">
        <v>8</v>
      </c>
      <c r="D21" t="s">
        <v>20</v>
      </c>
      <c r="E21" t="s">
        <v>296</v>
      </c>
      <c r="F21" t="s">
        <v>39</v>
      </c>
      <c r="G21" s="17">
        <v>1</v>
      </c>
      <c r="H21" s="18">
        <v>10000</v>
      </c>
      <c r="I21" s="18">
        <v>100</v>
      </c>
      <c r="J21" s="17">
        <f t="shared" si="1"/>
        <v>0.01</v>
      </c>
      <c r="K21" s="18">
        <f t="shared" si="2"/>
        <v>100</v>
      </c>
      <c r="L21" s="102"/>
      <c r="N21" s="30"/>
    </row>
    <row r="22" spans="1:15" x14ac:dyDescent="0.35">
      <c r="A22" s="24" t="s">
        <v>233</v>
      </c>
      <c r="B22" s="24" t="str">
        <f t="shared" si="0"/>
        <v>Mỳ Quảng Tôm ThịtGiá</v>
      </c>
      <c r="C22" s="24" t="s">
        <v>8</v>
      </c>
      <c r="D22" t="s">
        <v>20</v>
      </c>
      <c r="E22" t="s">
        <v>296</v>
      </c>
      <c r="F22" s="24" t="s">
        <v>26</v>
      </c>
      <c r="G22" s="17">
        <v>2.5</v>
      </c>
      <c r="H22" s="18">
        <v>10000</v>
      </c>
      <c r="I22" s="18">
        <v>100</v>
      </c>
      <c r="J22" s="17">
        <f t="shared" si="1"/>
        <v>2.5000000000000001E-2</v>
      </c>
      <c r="K22" s="18">
        <f t="shared" si="2"/>
        <v>250</v>
      </c>
      <c r="L22" s="102"/>
    </row>
    <row r="23" spans="1:15" x14ac:dyDescent="0.35">
      <c r="A23" s="24" t="s">
        <v>233</v>
      </c>
      <c r="B23" s="24" t="str">
        <f t="shared" si="0"/>
        <v>Mỳ Quảng Tôm ThịtHành lá</v>
      </c>
      <c r="C23" s="24" t="s">
        <v>8</v>
      </c>
      <c r="D23" t="s">
        <v>20</v>
      </c>
      <c r="E23" t="s">
        <v>296</v>
      </c>
      <c r="F23" t="s">
        <v>24</v>
      </c>
      <c r="G23" s="17">
        <v>0.4</v>
      </c>
      <c r="H23" s="18">
        <v>20000</v>
      </c>
      <c r="I23" s="18">
        <v>100</v>
      </c>
      <c r="J23" s="17">
        <f t="shared" si="1"/>
        <v>4.0000000000000001E-3</v>
      </c>
      <c r="K23" s="18">
        <f t="shared" si="2"/>
        <v>80</v>
      </c>
      <c r="L23" s="102"/>
    </row>
    <row r="24" spans="1:15" x14ac:dyDescent="0.35">
      <c r="A24" s="24" t="s">
        <v>233</v>
      </c>
      <c r="B24" s="24" t="str">
        <f t="shared" si="0"/>
        <v>Mỳ Quảng Tôm ThịtNgò gai</v>
      </c>
      <c r="C24" s="24" t="s">
        <v>8</v>
      </c>
      <c r="D24" t="s">
        <v>20</v>
      </c>
      <c r="E24" t="s">
        <v>296</v>
      </c>
      <c r="F24" t="s">
        <v>101</v>
      </c>
      <c r="G24" s="17">
        <v>0.2</v>
      </c>
      <c r="H24" s="18">
        <v>35000</v>
      </c>
      <c r="I24" s="18">
        <v>100</v>
      </c>
      <c r="J24" s="17">
        <f t="shared" si="1"/>
        <v>2E-3</v>
      </c>
      <c r="K24" s="18">
        <f t="shared" si="2"/>
        <v>70</v>
      </c>
      <c r="L24" s="102"/>
    </row>
    <row r="25" spans="1:15" x14ac:dyDescent="0.35">
      <c r="A25" s="24" t="s">
        <v>233</v>
      </c>
      <c r="B25" s="24" t="str">
        <f t="shared" si="0"/>
        <v>Mỳ Quảng Tôm ThịtQuế</v>
      </c>
      <c r="C25" s="24" t="s">
        <v>8</v>
      </c>
      <c r="D25" t="s">
        <v>20</v>
      </c>
      <c r="E25" t="s">
        <v>296</v>
      </c>
      <c r="F25" t="s">
        <v>40</v>
      </c>
      <c r="G25" s="17">
        <v>0.3</v>
      </c>
      <c r="H25" s="18">
        <v>30000</v>
      </c>
      <c r="I25" s="18">
        <v>100</v>
      </c>
      <c r="J25" s="17">
        <f t="shared" si="1"/>
        <v>3.0000000000000001E-3</v>
      </c>
      <c r="K25" s="18">
        <f t="shared" si="2"/>
        <v>90</v>
      </c>
      <c r="L25" s="102"/>
    </row>
    <row r="26" spans="1:15" x14ac:dyDescent="0.35">
      <c r="A26" s="24" t="s">
        <v>233</v>
      </c>
      <c r="B26" s="24" t="str">
        <f t="shared" si="0"/>
        <v>Mỳ Quảng Tôm ThịtChanh</v>
      </c>
      <c r="C26" s="24" t="s">
        <v>8</v>
      </c>
      <c r="D26" t="s">
        <v>20</v>
      </c>
      <c r="E26" t="s">
        <v>296</v>
      </c>
      <c r="F26" t="s">
        <v>25</v>
      </c>
      <c r="G26" s="17">
        <v>0.8</v>
      </c>
      <c r="H26" s="18">
        <v>26000</v>
      </c>
      <c r="I26" s="18">
        <v>100</v>
      </c>
      <c r="J26" s="17">
        <f t="shared" si="1"/>
        <v>8.0000000000000002E-3</v>
      </c>
      <c r="K26" s="18">
        <f t="shared" si="2"/>
        <v>208</v>
      </c>
      <c r="L26" s="102"/>
    </row>
    <row r="27" spans="1:15" x14ac:dyDescent="0.35">
      <c r="A27" s="24" t="s">
        <v>233</v>
      </c>
      <c r="B27" s="24" t="str">
        <f t="shared" si="0"/>
        <v>Mỳ Quảng Tôm ThịtMỳ tươi</v>
      </c>
      <c r="C27" s="24" t="s">
        <v>8</v>
      </c>
      <c r="D27" t="s">
        <v>20</v>
      </c>
      <c r="E27" t="s">
        <v>296</v>
      </c>
      <c r="F27" t="s">
        <v>389</v>
      </c>
      <c r="G27" s="17">
        <v>33</v>
      </c>
      <c r="H27" s="18">
        <v>10000</v>
      </c>
      <c r="I27" s="18">
        <v>100</v>
      </c>
      <c r="J27" s="17">
        <f t="shared" si="1"/>
        <v>0.33</v>
      </c>
      <c r="K27" s="18">
        <f t="shared" si="2"/>
        <v>3300</v>
      </c>
      <c r="L27" s="102"/>
    </row>
    <row r="28" spans="1:15" ht="15.5" x14ac:dyDescent="0.35">
      <c r="A28" s="24" t="s">
        <v>232</v>
      </c>
      <c r="B28" s="24" t="str">
        <f t="shared" si="0"/>
        <v>Mỳ Quảng Tôm Thịtcua đồng</v>
      </c>
      <c r="C28" s="24" t="s">
        <v>8</v>
      </c>
      <c r="D28" t="s">
        <v>20</v>
      </c>
      <c r="E28" t="s">
        <v>296</v>
      </c>
      <c r="F28" t="s">
        <v>476</v>
      </c>
      <c r="G28" s="17">
        <v>0.5</v>
      </c>
      <c r="H28" s="18">
        <v>50000</v>
      </c>
      <c r="I28" s="18">
        <v>100</v>
      </c>
      <c r="J28" s="17">
        <f t="shared" si="1"/>
        <v>5.0000000000000001E-3</v>
      </c>
      <c r="K28" s="18">
        <f t="shared" si="2"/>
        <v>250</v>
      </c>
      <c r="L28" s="100"/>
    </row>
    <row r="29" spans="1:15" x14ac:dyDescent="0.35">
      <c r="A29" s="24" t="s">
        <v>232</v>
      </c>
      <c r="B29" s="24" t="str">
        <f t="shared" si="0"/>
        <v>Cá kình kho thơmCá kình</v>
      </c>
      <c r="C29" s="24" t="s">
        <v>8</v>
      </c>
      <c r="D29" t="s">
        <v>18</v>
      </c>
      <c r="E29" t="s">
        <v>43</v>
      </c>
      <c r="F29" t="s">
        <v>44</v>
      </c>
      <c r="G29" s="17">
        <v>12</v>
      </c>
      <c r="H29" s="18">
        <v>40000</v>
      </c>
      <c r="I29" s="18">
        <v>100</v>
      </c>
      <c r="J29" s="17">
        <f t="shared" si="1"/>
        <v>0.12</v>
      </c>
      <c r="K29" s="18">
        <f t="shared" si="2"/>
        <v>4800</v>
      </c>
      <c r="L29" s="104" t="e">
        <f>SUM(K29:K36,#REF!)</f>
        <v>#REF!</v>
      </c>
      <c r="M29" s="106" t="s">
        <v>65</v>
      </c>
      <c r="O29" s="130"/>
    </row>
    <row r="30" spans="1:15" x14ac:dyDescent="0.35">
      <c r="A30" s="24" t="s">
        <v>233</v>
      </c>
      <c r="B30" s="24" t="str">
        <f t="shared" si="0"/>
        <v>Cá kình kho thơmThơm</v>
      </c>
      <c r="C30" s="24" t="s">
        <v>8</v>
      </c>
      <c r="D30" t="s">
        <v>18</v>
      </c>
      <c r="E30" t="s">
        <v>43</v>
      </c>
      <c r="F30" t="s">
        <v>4</v>
      </c>
      <c r="G30" s="17">
        <v>7</v>
      </c>
      <c r="H30" s="18">
        <v>18000</v>
      </c>
      <c r="I30" s="18">
        <v>300</v>
      </c>
      <c r="J30" s="17">
        <f t="shared" si="1"/>
        <v>2.3333333333333334E-2</v>
      </c>
      <c r="K30" s="18">
        <f t="shared" si="2"/>
        <v>420</v>
      </c>
      <c r="L30" s="105"/>
      <c r="M30" s="106"/>
      <c r="O30" s="130">
        <f>G30*1.1</f>
        <v>7.7000000000000011</v>
      </c>
    </row>
    <row r="31" spans="1:15" x14ac:dyDescent="0.35">
      <c r="A31" s="24" t="s">
        <v>232</v>
      </c>
      <c r="B31" s="24" t="str">
        <f t="shared" si="0"/>
        <v>Thịt heo luộc giá chuaThịt đùi mông</v>
      </c>
      <c r="C31" s="24" t="s">
        <v>8</v>
      </c>
      <c r="D31" t="s">
        <v>45</v>
      </c>
      <c r="E31" t="s">
        <v>176</v>
      </c>
      <c r="F31" t="s">
        <v>46</v>
      </c>
      <c r="G31" s="17">
        <v>4.5</v>
      </c>
      <c r="H31" s="18">
        <v>100000</v>
      </c>
      <c r="I31" s="18">
        <v>100</v>
      </c>
      <c r="J31" s="17">
        <f t="shared" si="1"/>
        <v>4.4999999999999998E-2</v>
      </c>
      <c r="K31" s="18">
        <f t="shared" si="2"/>
        <v>4500</v>
      </c>
      <c r="L31" s="105"/>
      <c r="M31" s="106"/>
      <c r="N31" s="26"/>
      <c r="O31" s="26"/>
    </row>
    <row r="32" spans="1:15" x14ac:dyDescent="0.35">
      <c r="A32" s="24" t="s">
        <v>233</v>
      </c>
      <c r="B32" s="24" t="str">
        <f t="shared" si="0"/>
        <v>Thịt heo luộc giá chuaHành lá</v>
      </c>
      <c r="C32" s="24" t="s">
        <v>8</v>
      </c>
      <c r="D32" t="s">
        <v>45</v>
      </c>
      <c r="E32" t="s">
        <v>176</v>
      </c>
      <c r="F32" t="s">
        <v>24</v>
      </c>
      <c r="G32" s="17">
        <v>0.3</v>
      </c>
      <c r="H32" s="18">
        <v>18000</v>
      </c>
      <c r="I32" s="18">
        <v>100</v>
      </c>
      <c r="J32" s="17">
        <f t="shared" si="1"/>
        <v>3.0000000000000001E-3</v>
      </c>
      <c r="K32" s="18">
        <f t="shared" si="2"/>
        <v>54</v>
      </c>
      <c r="L32" s="105"/>
      <c r="M32" s="106"/>
      <c r="N32" s="26"/>
      <c r="O32" s="26"/>
    </row>
    <row r="33" spans="1:15" x14ac:dyDescent="0.35">
      <c r="A33" s="24" t="s">
        <v>233</v>
      </c>
      <c r="B33" s="24" t="str">
        <f t="shared" si="0"/>
        <v>Thịt heo luộc giá chuaGiá</v>
      </c>
      <c r="C33" s="24" t="s">
        <v>8</v>
      </c>
      <c r="D33" t="s">
        <v>45</v>
      </c>
      <c r="E33" t="s">
        <v>176</v>
      </c>
      <c r="F33" t="s">
        <v>26</v>
      </c>
      <c r="G33" s="17">
        <v>4</v>
      </c>
      <c r="H33" s="18">
        <v>10000</v>
      </c>
      <c r="I33" s="18">
        <v>100</v>
      </c>
      <c r="J33" s="17">
        <f t="shared" si="1"/>
        <v>0.04</v>
      </c>
      <c r="K33" s="18">
        <f t="shared" si="2"/>
        <v>400</v>
      </c>
      <c r="L33" s="105"/>
      <c r="M33" s="106"/>
      <c r="N33" s="79"/>
      <c r="O33" s="26"/>
    </row>
    <row r="34" spans="1:15" x14ac:dyDescent="0.35">
      <c r="A34" s="24" t="s">
        <v>233</v>
      </c>
      <c r="B34" s="24" t="str">
        <f t="shared" si="0"/>
        <v>Thịt heo luộc giá chuaCà rốt</v>
      </c>
      <c r="C34" s="24" t="s">
        <v>8</v>
      </c>
      <c r="D34" t="s">
        <v>45</v>
      </c>
      <c r="E34" t="s">
        <v>176</v>
      </c>
      <c r="F34" t="s">
        <v>78</v>
      </c>
      <c r="G34" s="17">
        <v>1</v>
      </c>
      <c r="H34" s="18">
        <v>15000</v>
      </c>
      <c r="I34" s="18">
        <v>100</v>
      </c>
      <c r="J34" s="17">
        <f t="shared" si="1"/>
        <v>0.01</v>
      </c>
      <c r="K34" s="18">
        <f t="shared" si="2"/>
        <v>150</v>
      </c>
      <c r="L34" s="105"/>
      <c r="M34" s="106"/>
    </row>
    <row r="35" spans="1:15" x14ac:dyDescent="0.35">
      <c r="A35" s="24" t="s">
        <v>233</v>
      </c>
      <c r="B35" s="24" t="str">
        <f t="shared" si="0"/>
        <v>Rau xào thập cẩmRau thập cẩm</v>
      </c>
      <c r="C35" s="24" t="s">
        <v>8</v>
      </c>
      <c r="D35" t="s">
        <v>47</v>
      </c>
      <c r="E35" t="s">
        <v>10</v>
      </c>
      <c r="F35" t="s">
        <v>11</v>
      </c>
      <c r="G35" s="17">
        <v>35</v>
      </c>
      <c r="H35" s="18">
        <v>16000</v>
      </c>
      <c r="I35" s="18">
        <v>438</v>
      </c>
      <c r="J35" s="17">
        <f t="shared" si="1"/>
        <v>7.9908675799086754E-2</v>
      </c>
      <c r="K35" s="18">
        <f t="shared" si="2"/>
        <v>1278.538812785388</v>
      </c>
      <c r="L35" s="105"/>
      <c r="M35" s="106"/>
    </row>
    <row r="36" spans="1:15" x14ac:dyDescent="0.35">
      <c r="A36" s="24" t="s">
        <v>233</v>
      </c>
      <c r="B36" s="24" t="str">
        <f t="shared" si="0"/>
        <v>Sữa chuaSữa chua</v>
      </c>
      <c r="C36" s="24" t="s">
        <v>8</v>
      </c>
      <c r="D36" t="s">
        <v>52</v>
      </c>
      <c r="E36" t="s">
        <v>51</v>
      </c>
      <c r="F36" t="s">
        <v>51</v>
      </c>
      <c r="G36" s="17">
        <v>290</v>
      </c>
      <c r="H36" s="18">
        <v>4620</v>
      </c>
      <c r="I36" s="18">
        <v>290</v>
      </c>
      <c r="J36" s="17">
        <f t="shared" si="1"/>
        <v>1</v>
      </c>
      <c r="K36" s="18">
        <f t="shared" si="2"/>
        <v>4620</v>
      </c>
      <c r="L36" s="105"/>
      <c r="M36" s="106"/>
    </row>
    <row r="37" spans="1:15" x14ac:dyDescent="0.35">
      <c r="A37" s="24" t="s">
        <v>232</v>
      </c>
      <c r="B37" s="24" t="str">
        <f t="shared" si="0"/>
        <v>Cá nục kho xì dầuCá nục</v>
      </c>
      <c r="C37" s="24" t="s">
        <v>8</v>
      </c>
      <c r="D37" t="s">
        <v>53</v>
      </c>
      <c r="E37" t="s">
        <v>54</v>
      </c>
      <c r="F37" t="s">
        <v>55</v>
      </c>
      <c r="G37" s="17">
        <v>10</v>
      </c>
      <c r="H37" s="18">
        <v>43000</v>
      </c>
      <c r="I37" s="18">
        <v>75</v>
      </c>
      <c r="J37" s="17">
        <f t="shared" si="1"/>
        <v>0.13333333333333333</v>
      </c>
      <c r="K37" s="18">
        <f t="shared" si="2"/>
        <v>5733.333333333333</v>
      </c>
      <c r="L37" s="27" t="e">
        <f>SUM(K31:K37,#REF!)</f>
        <v>#REF!</v>
      </c>
      <c r="M37" t="s">
        <v>66</v>
      </c>
      <c r="O37" s="130"/>
    </row>
    <row r="38" spans="1:15" ht="15" customHeight="1" x14ac:dyDescent="0.35">
      <c r="A38" s="24" t="s">
        <v>232</v>
      </c>
      <c r="B38" s="24" t="str">
        <f t="shared" si="0"/>
        <v>Cá chim kho càCá chim</v>
      </c>
      <c r="C38" s="24" t="s">
        <v>8</v>
      </c>
      <c r="D38" t="s">
        <v>18</v>
      </c>
      <c r="E38" t="s">
        <v>56</v>
      </c>
      <c r="F38" t="s">
        <v>57</v>
      </c>
      <c r="G38" s="17">
        <v>23</v>
      </c>
      <c r="H38" s="18">
        <v>37000</v>
      </c>
      <c r="I38" s="18">
        <v>134</v>
      </c>
      <c r="J38" s="17">
        <f t="shared" si="1"/>
        <v>0.17164179104477612</v>
      </c>
      <c r="K38" s="18">
        <f t="shared" si="2"/>
        <v>6350.746268656716</v>
      </c>
      <c r="L38" s="107">
        <f>SUM(K36,K38:K45)</f>
        <v>18183.598770851622</v>
      </c>
      <c r="M38" s="106" t="s">
        <v>67</v>
      </c>
      <c r="O38" s="130"/>
    </row>
    <row r="39" spans="1:15" x14ac:dyDescent="0.35">
      <c r="A39" s="24" t="s">
        <v>233</v>
      </c>
      <c r="B39" s="24" t="str">
        <f t="shared" si="0"/>
        <v>Cá chim kho càCà chua</v>
      </c>
      <c r="C39" s="24" t="s">
        <v>8</v>
      </c>
      <c r="D39" t="s">
        <v>18</v>
      </c>
      <c r="E39" t="s">
        <v>56</v>
      </c>
      <c r="F39" t="s">
        <v>14</v>
      </c>
      <c r="G39" s="17">
        <v>3</v>
      </c>
      <c r="H39" s="18">
        <v>20000</v>
      </c>
      <c r="I39" s="18">
        <v>134</v>
      </c>
      <c r="J39" s="17">
        <f t="shared" si="1"/>
        <v>2.2388059701492536E-2</v>
      </c>
      <c r="K39" s="18">
        <f t="shared" si="2"/>
        <v>447.76119402985074</v>
      </c>
      <c r="L39" s="107"/>
      <c r="M39" s="106"/>
      <c r="O39" s="130">
        <f t="shared" ref="O37:O42" si="3">G39*1.1</f>
        <v>3.3000000000000003</v>
      </c>
    </row>
    <row r="40" spans="1:15" x14ac:dyDescent="0.35">
      <c r="A40" s="24" t="s">
        <v>232</v>
      </c>
      <c r="B40" s="24" t="str">
        <f t="shared" si="0"/>
        <v>Tôm thịt rimTôm</v>
      </c>
      <c r="C40" s="24" t="s">
        <v>8</v>
      </c>
      <c r="D40" t="s">
        <v>18</v>
      </c>
      <c r="E40" t="s">
        <v>58</v>
      </c>
      <c r="F40" t="s">
        <v>37</v>
      </c>
      <c r="G40" s="17">
        <v>2.5</v>
      </c>
      <c r="H40" s="18">
        <v>115000</v>
      </c>
      <c r="I40" s="18">
        <v>134</v>
      </c>
      <c r="J40" s="17">
        <f t="shared" si="1"/>
        <v>1.8656716417910446E-2</v>
      </c>
      <c r="K40" s="18">
        <f t="shared" si="2"/>
        <v>2145.5223880597014</v>
      </c>
      <c r="L40" s="107"/>
      <c r="M40" s="106"/>
      <c r="O40" s="130"/>
    </row>
    <row r="41" spans="1:15" x14ac:dyDescent="0.35">
      <c r="A41" s="24" t="s">
        <v>232</v>
      </c>
      <c r="B41" s="24" t="str">
        <f t="shared" si="0"/>
        <v>Tôm thịt rimThịt nọng</v>
      </c>
      <c r="C41" s="24" t="s">
        <v>8</v>
      </c>
      <c r="D41" t="s">
        <v>18</v>
      </c>
      <c r="E41" t="s">
        <v>58</v>
      </c>
      <c r="F41" t="s">
        <v>59</v>
      </c>
      <c r="G41" s="17">
        <v>1.5</v>
      </c>
      <c r="H41" s="18">
        <v>60000</v>
      </c>
      <c r="I41" s="18">
        <v>134</v>
      </c>
      <c r="J41" s="17">
        <f t="shared" si="1"/>
        <v>1.1194029850746268E-2</v>
      </c>
      <c r="K41" s="18">
        <f t="shared" si="2"/>
        <v>671.64179104477614</v>
      </c>
      <c r="L41" s="107"/>
      <c r="M41" s="106"/>
      <c r="O41" s="130"/>
    </row>
    <row r="42" spans="1:15" x14ac:dyDescent="0.35">
      <c r="A42" s="24" t="s">
        <v>232</v>
      </c>
      <c r="B42" s="24" t="str">
        <f t="shared" si="0"/>
        <v>Tôm thịt rimNạc vai</v>
      </c>
      <c r="C42" s="24" t="s">
        <v>8</v>
      </c>
      <c r="D42" t="s">
        <v>18</v>
      </c>
      <c r="E42" t="s">
        <v>58</v>
      </c>
      <c r="F42" t="s">
        <v>60</v>
      </c>
      <c r="G42" s="17">
        <v>3.5</v>
      </c>
      <c r="H42" s="18">
        <v>100000</v>
      </c>
      <c r="I42" s="18">
        <v>134</v>
      </c>
      <c r="J42" s="17">
        <f t="shared" si="1"/>
        <v>2.6119402985074626E-2</v>
      </c>
      <c r="K42" s="18">
        <f t="shared" si="2"/>
        <v>2611.9402985074626</v>
      </c>
      <c r="L42" s="107"/>
      <c r="M42" s="106"/>
      <c r="O42" s="130"/>
    </row>
    <row r="43" spans="1:15" x14ac:dyDescent="0.35">
      <c r="A43" s="24" t="s">
        <v>233</v>
      </c>
      <c r="B43" s="24" t="str">
        <f t="shared" si="0"/>
        <v>Bí đao nấu tômBí đao</v>
      </c>
      <c r="C43" s="24" t="s">
        <v>8</v>
      </c>
      <c r="D43" t="s">
        <v>48</v>
      </c>
      <c r="E43" t="s">
        <v>61</v>
      </c>
      <c r="F43" t="s">
        <v>62</v>
      </c>
      <c r="G43" s="17">
        <v>5</v>
      </c>
      <c r="H43" s="18">
        <v>9000</v>
      </c>
      <c r="I43" s="18">
        <v>136</v>
      </c>
      <c r="J43" s="17">
        <f t="shared" si="1"/>
        <v>3.6764705882352942E-2</v>
      </c>
      <c r="K43" s="18">
        <f t="shared" si="2"/>
        <v>330.88235294117646</v>
      </c>
      <c r="L43" s="107"/>
      <c r="M43" s="106"/>
    </row>
    <row r="44" spans="1:15" x14ac:dyDescent="0.35">
      <c r="A44" s="24" t="s">
        <v>232</v>
      </c>
      <c r="B44" s="24" t="str">
        <f t="shared" si="0"/>
        <v>Bí đao nấu tômTôm</v>
      </c>
      <c r="C44" s="24" t="s">
        <v>8</v>
      </c>
      <c r="D44" t="s">
        <v>48</v>
      </c>
      <c r="E44" t="s">
        <v>61</v>
      </c>
      <c r="F44" t="s">
        <v>37</v>
      </c>
      <c r="G44" s="17">
        <v>0.5</v>
      </c>
      <c r="H44" s="18">
        <v>115000</v>
      </c>
      <c r="I44" s="18">
        <v>134</v>
      </c>
      <c r="J44" s="17">
        <f t="shared" si="1"/>
        <v>3.7313432835820895E-3</v>
      </c>
      <c r="K44" s="18">
        <f t="shared" si="2"/>
        <v>429.1044776119403</v>
      </c>
      <c r="L44" s="107"/>
      <c r="M44" s="106"/>
    </row>
    <row r="45" spans="1:15" x14ac:dyDescent="0.35">
      <c r="A45" s="24" t="s">
        <v>233</v>
      </c>
      <c r="B45" s="24" t="str">
        <f t="shared" si="0"/>
        <v>Rau muống xào tỏiRau muống</v>
      </c>
      <c r="C45" s="24" t="s">
        <v>8</v>
      </c>
      <c r="D45" t="s">
        <v>47</v>
      </c>
      <c r="E45" t="s">
        <v>63</v>
      </c>
      <c r="F45" t="s">
        <v>64</v>
      </c>
      <c r="G45" s="17">
        <v>12</v>
      </c>
      <c r="H45" s="18">
        <v>6000</v>
      </c>
      <c r="I45" s="18">
        <v>125</v>
      </c>
      <c r="J45" s="17">
        <f t="shared" si="1"/>
        <v>9.6000000000000002E-2</v>
      </c>
      <c r="K45" s="18">
        <f t="shared" si="2"/>
        <v>576</v>
      </c>
      <c r="L45" s="107"/>
      <c r="M45" s="106"/>
    </row>
    <row r="46" spans="1:15" x14ac:dyDescent="0.35">
      <c r="A46" s="24" t="s">
        <v>232</v>
      </c>
      <c r="B46" s="24" t="str">
        <f t="shared" si="0"/>
        <v>Gỏi gà xéMá đùi gà</v>
      </c>
      <c r="C46" s="24" t="s">
        <v>8</v>
      </c>
      <c r="D46" t="s">
        <v>53</v>
      </c>
      <c r="E46" t="s">
        <v>68</v>
      </c>
      <c r="F46" t="s">
        <v>456</v>
      </c>
      <c r="G46" s="17">
        <v>8.5</v>
      </c>
      <c r="H46" s="18">
        <v>40000</v>
      </c>
      <c r="I46" s="18">
        <v>100</v>
      </c>
      <c r="J46" s="17">
        <f t="shared" si="1"/>
        <v>8.5000000000000006E-2</v>
      </c>
      <c r="K46" s="18">
        <f t="shared" si="2"/>
        <v>3400</v>
      </c>
      <c r="L46" s="104">
        <f>SUM(K46:K52,K55,K56,K57,K58,K59,K60)</f>
        <v>10069.49999032591</v>
      </c>
      <c r="M46" s="108" t="s">
        <v>80</v>
      </c>
      <c r="O46" s="130"/>
    </row>
    <row r="47" spans="1:15" x14ac:dyDescent="0.35">
      <c r="A47" s="24" t="s">
        <v>233</v>
      </c>
      <c r="B47" s="24" t="str">
        <f t="shared" si="0"/>
        <v>Gỏi gà xéSu tím</v>
      </c>
      <c r="C47" s="24" t="s">
        <v>8</v>
      </c>
      <c r="D47" t="s">
        <v>53</v>
      </c>
      <c r="E47" t="s">
        <v>68</v>
      </c>
      <c r="F47" t="s">
        <v>22</v>
      </c>
      <c r="G47" s="17">
        <v>8</v>
      </c>
      <c r="H47" s="18">
        <v>14000</v>
      </c>
      <c r="I47" s="18">
        <v>404</v>
      </c>
      <c r="J47" s="17">
        <f t="shared" si="1"/>
        <v>1.9801980198019802E-2</v>
      </c>
      <c r="K47" s="18">
        <f t="shared" si="2"/>
        <v>277.22772277227722</v>
      </c>
      <c r="L47" s="105"/>
      <c r="M47" s="108"/>
      <c r="O47" s="130">
        <f t="shared" ref="O46:O50" si="4">G47*1.1</f>
        <v>8.8000000000000007</v>
      </c>
    </row>
    <row r="48" spans="1:15" x14ac:dyDescent="0.35">
      <c r="A48" s="24" t="s">
        <v>233</v>
      </c>
      <c r="B48" s="24" t="str">
        <f t="shared" si="0"/>
        <v>Gỏi gà xéSu trắng</v>
      </c>
      <c r="C48" s="24" t="s">
        <v>8</v>
      </c>
      <c r="D48" t="s">
        <v>53</v>
      </c>
      <c r="E48" t="s">
        <v>68</v>
      </c>
      <c r="F48" t="s">
        <v>39</v>
      </c>
      <c r="G48" s="17">
        <v>10</v>
      </c>
      <c r="H48" s="18">
        <v>10000</v>
      </c>
      <c r="I48" s="18">
        <v>404</v>
      </c>
      <c r="J48" s="17">
        <f t="shared" si="1"/>
        <v>2.4752475247524754E-2</v>
      </c>
      <c r="K48" s="18">
        <f t="shared" si="2"/>
        <v>247.52475247524754</v>
      </c>
      <c r="L48" s="105"/>
      <c r="M48" s="108"/>
      <c r="O48" s="130">
        <f t="shared" si="4"/>
        <v>11</v>
      </c>
    </row>
    <row r="49" spans="1:15" x14ac:dyDescent="0.35">
      <c r="A49" s="24" t="s">
        <v>233</v>
      </c>
      <c r="B49" s="24" t="str">
        <f t="shared" si="0"/>
        <v>Gỏi gà xéRau răm</v>
      </c>
      <c r="C49" s="24" t="s">
        <v>8</v>
      </c>
      <c r="D49" t="s">
        <v>53</v>
      </c>
      <c r="E49" t="s">
        <v>68</v>
      </c>
      <c r="F49" t="s">
        <v>69</v>
      </c>
      <c r="G49" s="17">
        <v>1.5</v>
      </c>
      <c r="H49" s="18">
        <v>20000</v>
      </c>
      <c r="I49" s="18">
        <v>404</v>
      </c>
      <c r="J49" s="17">
        <f t="shared" si="1"/>
        <v>3.7128712871287127E-3</v>
      </c>
      <c r="K49" s="18">
        <f t="shared" si="2"/>
        <v>74.257425742574256</v>
      </c>
      <c r="L49" s="105"/>
      <c r="M49" s="108"/>
      <c r="O49" s="130">
        <f t="shared" si="4"/>
        <v>1.6500000000000001</v>
      </c>
    </row>
    <row r="50" spans="1:15" x14ac:dyDescent="0.35">
      <c r="A50" s="24" t="s">
        <v>233</v>
      </c>
      <c r="B50" s="24" t="str">
        <f t="shared" si="0"/>
        <v>Gỏi gà xéCà Rốt</v>
      </c>
      <c r="C50" s="24" t="s">
        <v>8</v>
      </c>
      <c r="D50" t="s">
        <v>53</v>
      </c>
      <c r="E50" t="s">
        <v>68</v>
      </c>
      <c r="F50" t="s">
        <v>70</v>
      </c>
      <c r="G50" s="17">
        <v>10</v>
      </c>
      <c r="H50" s="18">
        <v>15000</v>
      </c>
      <c r="I50" s="18">
        <v>404</v>
      </c>
      <c r="J50" s="17">
        <f t="shared" si="1"/>
        <v>2.4752475247524754E-2</v>
      </c>
      <c r="K50" s="18">
        <f t="shared" si="2"/>
        <v>371.28712871287127</v>
      </c>
      <c r="L50" s="105"/>
      <c r="M50" s="108"/>
      <c r="O50" s="130">
        <f t="shared" si="4"/>
        <v>11</v>
      </c>
    </row>
    <row r="51" spans="1:15" x14ac:dyDescent="0.35">
      <c r="A51" s="24" t="s">
        <v>233</v>
      </c>
      <c r="B51" s="24" t="str">
        <f t="shared" si="0"/>
        <v>Mướp xào giáMướp</v>
      </c>
      <c r="C51" s="24" t="s">
        <v>8</v>
      </c>
      <c r="D51" t="s">
        <v>47</v>
      </c>
      <c r="E51" t="s">
        <v>71</v>
      </c>
      <c r="F51" t="s">
        <v>72</v>
      </c>
      <c r="G51" s="17">
        <v>32</v>
      </c>
      <c r="H51" s="18">
        <v>10000</v>
      </c>
      <c r="I51" s="18">
        <v>433</v>
      </c>
      <c r="J51" s="17">
        <f t="shared" si="1"/>
        <v>7.3903002309468821E-2</v>
      </c>
      <c r="K51" s="18">
        <f t="shared" si="2"/>
        <v>739.0300230946882</v>
      </c>
      <c r="L51" s="105"/>
      <c r="M51" s="108"/>
    </row>
    <row r="52" spans="1:15" x14ac:dyDescent="0.35">
      <c r="A52" s="24" t="s">
        <v>233</v>
      </c>
      <c r="B52" s="24" t="str">
        <f t="shared" si="0"/>
        <v>Mướp xào giáGiá</v>
      </c>
      <c r="C52" s="24" t="s">
        <v>8</v>
      </c>
      <c r="D52" t="s">
        <v>47</v>
      </c>
      <c r="E52" t="s">
        <v>71</v>
      </c>
      <c r="F52" t="s">
        <v>26</v>
      </c>
      <c r="G52" s="17">
        <v>17</v>
      </c>
      <c r="H52" s="18">
        <v>10000</v>
      </c>
      <c r="I52" s="18">
        <v>433</v>
      </c>
      <c r="J52" s="17">
        <f t="shared" si="1"/>
        <v>3.9260969976905313E-2</v>
      </c>
      <c r="K52" s="18">
        <f t="shared" si="2"/>
        <v>392.60969976905312</v>
      </c>
      <c r="L52" s="105"/>
      <c r="M52" s="108"/>
    </row>
    <row r="53" spans="1:15" x14ac:dyDescent="0.35">
      <c r="A53" s="24" t="s">
        <v>232</v>
      </c>
      <c r="B53" s="24" t="str">
        <f t="shared" si="0"/>
        <v>Chả cá sốt càChả cá</v>
      </c>
      <c r="C53" s="24" t="s">
        <v>8</v>
      </c>
      <c r="D53" t="s">
        <v>19</v>
      </c>
      <c r="E53" t="s">
        <v>73</v>
      </c>
      <c r="F53" t="s">
        <v>74</v>
      </c>
      <c r="G53" s="17">
        <v>270</v>
      </c>
      <c r="H53" s="18">
        <v>1000</v>
      </c>
      <c r="I53" s="18">
        <v>113</v>
      </c>
      <c r="J53" s="17">
        <f t="shared" si="1"/>
        <v>2.3893805309734515</v>
      </c>
      <c r="K53" s="18">
        <f t="shared" si="2"/>
        <v>2389.3805309734512</v>
      </c>
      <c r="L53" s="105"/>
      <c r="M53" s="108"/>
    </row>
    <row r="54" spans="1:15" x14ac:dyDescent="0.35">
      <c r="A54" s="24" t="s">
        <v>233</v>
      </c>
      <c r="B54" s="24" t="str">
        <f t="shared" si="0"/>
        <v>Chả cá sốt càCà chua</v>
      </c>
      <c r="C54" s="24" t="s">
        <v>8</v>
      </c>
      <c r="D54" t="s">
        <v>19</v>
      </c>
      <c r="E54" t="s">
        <v>73</v>
      </c>
      <c r="F54" t="s">
        <v>14</v>
      </c>
      <c r="G54" s="17">
        <v>3</v>
      </c>
      <c r="H54" s="18">
        <v>20000</v>
      </c>
      <c r="I54" s="18">
        <v>113</v>
      </c>
      <c r="J54" s="17">
        <f t="shared" si="1"/>
        <v>2.6548672566371681E-2</v>
      </c>
      <c r="K54" s="18">
        <f t="shared" si="2"/>
        <v>530.97345132743362</v>
      </c>
      <c r="L54" s="101">
        <f>SUM(K46:K60)</f>
        <v>12989.853972626797</v>
      </c>
      <c r="M54" s="106" t="s">
        <v>81</v>
      </c>
    </row>
    <row r="55" spans="1:15" x14ac:dyDescent="0.35">
      <c r="A55" s="24" t="s">
        <v>233</v>
      </c>
      <c r="B55" s="24" t="str">
        <f t="shared" si="0"/>
        <v>Dưa mónDưa món</v>
      </c>
      <c r="C55" s="24" t="s">
        <v>8</v>
      </c>
      <c r="D55" t="s">
        <v>157</v>
      </c>
      <c r="E55" t="s">
        <v>75</v>
      </c>
      <c r="F55" t="s">
        <v>75</v>
      </c>
      <c r="G55" s="17">
        <v>3</v>
      </c>
      <c r="H55" s="18">
        <v>18000</v>
      </c>
      <c r="I55" s="18">
        <v>100</v>
      </c>
      <c r="J55" s="17">
        <f t="shared" si="1"/>
        <v>0.03</v>
      </c>
      <c r="K55" s="18">
        <f t="shared" si="2"/>
        <v>540</v>
      </c>
      <c r="L55" s="102"/>
      <c r="M55" s="106"/>
    </row>
    <row r="56" spans="1:15" x14ac:dyDescent="0.35">
      <c r="A56" s="24" t="s">
        <v>233</v>
      </c>
      <c r="B56" s="24" t="str">
        <f t="shared" si="0"/>
        <v>Canh củ quảKhoai tây</v>
      </c>
      <c r="C56" s="24" t="s">
        <v>8</v>
      </c>
      <c r="D56" t="s">
        <v>12</v>
      </c>
      <c r="E56" t="s">
        <v>76</v>
      </c>
      <c r="F56" t="s">
        <v>77</v>
      </c>
      <c r="G56" s="17">
        <v>4</v>
      </c>
      <c r="H56" s="18">
        <v>17000</v>
      </c>
      <c r="I56" s="18">
        <v>433</v>
      </c>
      <c r="J56" s="17">
        <f t="shared" si="1"/>
        <v>9.2378752886836026E-3</v>
      </c>
      <c r="K56" s="18">
        <f t="shared" si="2"/>
        <v>157.04387990762126</v>
      </c>
      <c r="L56" s="102"/>
      <c r="M56" s="106"/>
    </row>
    <row r="57" spans="1:15" x14ac:dyDescent="0.35">
      <c r="A57" s="24" t="s">
        <v>233</v>
      </c>
      <c r="B57" s="24" t="str">
        <f t="shared" si="0"/>
        <v>Canh củ quảCà rốt</v>
      </c>
      <c r="C57" s="24" t="s">
        <v>8</v>
      </c>
      <c r="D57" t="s">
        <v>12</v>
      </c>
      <c r="E57" t="s">
        <v>76</v>
      </c>
      <c r="F57" t="s">
        <v>78</v>
      </c>
      <c r="G57" s="17">
        <v>5.5</v>
      </c>
      <c r="H57" s="18">
        <v>15000</v>
      </c>
      <c r="I57" s="18">
        <v>433</v>
      </c>
      <c r="J57" s="17">
        <f t="shared" si="1"/>
        <v>1.2702078521939953E-2</v>
      </c>
      <c r="K57" s="18">
        <f t="shared" si="2"/>
        <v>190.53117782909931</v>
      </c>
      <c r="L57" s="102"/>
      <c r="M57" s="106"/>
    </row>
    <row r="58" spans="1:15" x14ac:dyDescent="0.35">
      <c r="A58" s="24" t="s">
        <v>232</v>
      </c>
      <c r="B58" s="24" t="str">
        <f t="shared" si="0"/>
        <v>Canh củ quảThịt xay</v>
      </c>
      <c r="C58" s="24" t="s">
        <v>8</v>
      </c>
      <c r="D58" t="s">
        <v>12</v>
      </c>
      <c r="E58" t="s">
        <v>76</v>
      </c>
      <c r="F58" t="s">
        <v>31</v>
      </c>
      <c r="G58" s="17">
        <v>1</v>
      </c>
      <c r="H58" s="18">
        <v>80000</v>
      </c>
      <c r="I58" s="18">
        <v>404</v>
      </c>
      <c r="J58" s="17">
        <f t="shared" si="1"/>
        <v>2.4752475247524753E-3</v>
      </c>
      <c r="K58" s="18">
        <f t="shared" si="2"/>
        <v>198.01980198019803</v>
      </c>
      <c r="L58" s="102"/>
      <c r="M58" s="106"/>
    </row>
    <row r="59" spans="1:15" x14ac:dyDescent="0.35">
      <c r="A59" s="24" t="s">
        <v>233</v>
      </c>
      <c r="B59" s="24" t="str">
        <f t="shared" si="0"/>
        <v>Trái câyChuối</v>
      </c>
      <c r="C59" s="24" t="s">
        <v>8</v>
      </c>
      <c r="D59" t="s">
        <v>52</v>
      </c>
      <c r="E59" t="s">
        <v>17</v>
      </c>
      <c r="F59" t="s">
        <v>79</v>
      </c>
      <c r="G59" s="17">
        <v>450</v>
      </c>
      <c r="H59" s="18">
        <v>1500</v>
      </c>
      <c r="I59" s="18">
        <v>433</v>
      </c>
      <c r="J59" s="17">
        <f t="shared" si="1"/>
        <v>1.0392609699769053</v>
      </c>
      <c r="K59" s="18">
        <f t="shared" si="2"/>
        <v>1558.891454965358</v>
      </c>
      <c r="L59" s="102"/>
      <c r="M59" s="106"/>
    </row>
    <row r="60" spans="1:15" x14ac:dyDescent="0.35">
      <c r="A60" s="24" t="s">
        <v>233</v>
      </c>
      <c r="B60" s="24" t="str">
        <f t="shared" si="0"/>
        <v>CơmGạo</v>
      </c>
      <c r="C60" s="24" t="s">
        <v>8</v>
      </c>
      <c r="D60" t="s">
        <v>15</v>
      </c>
      <c r="E60" t="s">
        <v>15</v>
      </c>
      <c r="F60" t="s">
        <v>16</v>
      </c>
      <c r="G60" s="17">
        <v>10</v>
      </c>
      <c r="H60" s="18">
        <v>12500</v>
      </c>
      <c r="I60" s="18">
        <v>65</v>
      </c>
      <c r="J60" s="17">
        <f t="shared" si="1"/>
        <v>0.15384615384615385</v>
      </c>
      <c r="K60" s="18">
        <f t="shared" si="2"/>
        <v>1923.0769230769231</v>
      </c>
      <c r="L60" s="102"/>
      <c r="M60" s="106"/>
    </row>
    <row r="61" spans="1:15" x14ac:dyDescent="0.35">
      <c r="A61" s="24" t="s">
        <v>232</v>
      </c>
      <c r="B61" s="24" t="str">
        <f t="shared" si="0"/>
        <v>Cá phèn khoCá phèn</v>
      </c>
      <c r="C61" s="24" t="s">
        <v>8</v>
      </c>
      <c r="D61" t="s">
        <v>53</v>
      </c>
      <c r="E61" t="s">
        <v>82</v>
      </c>
      <c r="F61" t="s">
        <v>84</v>
      </c>
      <c r="G61" s="17">
        <v>4.2</v>
      </c>
      <c r="H61" s="18">
        <v>37000</v>
      </c>
      <c r="I61" s="18">
        <v>36</v>
      </c>
      <c r="J61" s="17">
        <f t="shared" si="1"/>
        <v>0.11666666666666667</v>
      </c>
      <c r="K61" s="18">
        <f t="shared" si="2"/>
        <v>4316.666666666667</v>
      </c>
      <c r="L61" s="103" t="e">
        <f>SUM(K61:K66,#REF!)</f>
        <v>#REF!</v>
      </c>
      <c r="M61" s="106" t="s">
        <v>89</v>
      </c>
      <c r="O61" s="130"/>
    </row>
    <row r="62" spans="1:15" x14ac:dyDescent="0.35">
      <c r="A62" s="24" t="s">
        <v>232</v>
      </c>
      <c r="B62" s="24" t="str">
        <f t="shared" si="0"/>
        <v>Thịt heo kho sả ruốcThịt heo nọng nạc</v>
      </c>
      <c r="C62" s="24" t="s">
        <v>8</v>
      </c>
      <c r="D62" t="s">
        <v>53</v>
      </c>
      <c r="E62" t="s">
        <v>83</v>
      </c>
      <c r="F62" t="s">
        <v>281</v>
      </c>
      <c r="G62" s="17">
        <v>5.5</v>
      </c>
      <c r="H62" s="18">
        <v>70000</v>
      </c>
      <c r="I62" s="18">
        <v>100</v>
      </c>
      <c r="J62" s="17">
        <f t="shared" si="1"/>
        <v>5.5E-2</v>
      </c>
      <c r="K62" s="18">
        <f t="shared" si="2"/>
        <v>3850</v>
      </c>
      <c r="L62" s="109"/>
      <c r="M62" s="106"/>
      <c r="O62" s="130"/>
    </row>
    <row r="63" spans="1:15" x14ac:dyDescent="0.35">
      <c r="A63" s="24" t="s">
        <v>232</v>
      </c>
      <c r="B63" s="24" t="str">
        <f t="shared" si="0"/>
        <v>Thịt heo kho sả ruốcSả</v>
      </c>
      <c r="C63" s="24" t="s">
        <v>8</v>
      </c>
      <c r="D63" t="s">
        <v>53</v>
      </c>
      <c r="E63" t="s">
        <v>83</v>
      </c>
      <c r="F63" t="s">
        <v>207</v>
      </c>
      <c r="G63" s="17">
        <v>1</v>
      </c>
      <c r="H63" s="18">
        <v>10000</v>
      </c>
      <c r="I63" s="18">
        <v>100</v>
      </c>
      <c r="J63" s="17">
        <f t="shared" si="1"/>
        <v>0.01</v>
      </c>
      <c r="K63" s="18">
        <f t="shared" si="2"/>
        <v>100</v>
      </c>
      <c r="L63" s="109"/>
      <c r="M63" s="106"/>
      <c r="O63" s="130"/>
    </row>
    <row r="64" spans="1:15" x14ac:dyDescent="0.35">
      <c r="A64" s="24" t="s">
        <v>232</v>
      </c>
      <c r="B64" s="24" t="str">
        <f t="shared" si="0"/>
        <v>Thịt heo kho sả ruốcMắm ruốc</v>
      </c>
      <c r="C64" s="24" t="s">
        <v>8</v>
      </c>
      <c r="D64" t="s">
        <v>53</v>
      </c>
      <c r="E64" t="s">
        <v>83</v>
      </c>
      <c r="F64" t="s">
        <v>282</v>
      </c>
      <c r="G64" s="17">
        <v>0.5</v>
      </c>
      <c r="H64" s="18">
        <v>40000</v>
      </c>
      <c r="I64" s="18">
        <v>100</v>
      </c>
      <c r="J64" s="17">
        <f t="shared" si="1"/>
        <v>5.0000000000000001E-3</v>
      </c>
      <c r="K64" s="18">
        <f t="shared" si="2"/>
        <v>200</v>
      </c>
      <c r="L64" s="109"/>
      <c r="M64" s="106"/>
      <c r="O64" s="130"/>
    </row>
    <row r="65" spans="1:18" x14ac:dyDescent="0.35">
      <c r="A65" s="24" t="s">
        <v>232</v>
      </c>
      <c r="B65" s="24" t="str">
        <f t="shared" si="0"/>
        <v>Canh cải ngọt thịt bằmThịt xay</v>
      </c>
      <c r="C65" s="24" t="s">
        <v>8</v>
      </c>
      <c r="D65" t="s">
        <v>12</v>
      </c>
      <c r="E65" t="s">
        <v>86</v>
      </c>
      <c r="F65" t="s">
        <v>31</v>
      </c>
      <c r="G65" s="17">
        <v>0.3</v>
      </c>
      <c r="H65" s="18">
        <v>80000</v>
      </c>
      <c r="I65" s="18">
        <v>100</v>
      </c>
      <c r="J65" s="17">
        <f t="shared" si="1"/>
        <v>3.0000000000000001E-3</v>
      </c>
      <c r="K65" s="18">
        <f t="shared" si="2"/>
        <v>240</v>
      </c>
      <c r="L65" s="109"/>
      <c r="M65" s="106"/>
    </row>
    <row r="66" spans="1:18" x14ac:dyDescent="0.35">
      <c r="A66" s="24" t="s">
        <v>233</v>
      </c>
      <c r="B66" s="24" t="str">
        <f t="shared" si="0"/>
        <v>Canh cải ngọt thịt bằmCải ngọt</v>
      </c>
      <c r="C66" s="24" t="s">
        <v>8</v>
      </c>
      <c r="D66" t="s">
        <v>12</v>
      </c>
      <c r="E66" t="s">
        <v>86</v>
      </c>
      <c r="F66" t="s">
        <v>49</v>
      </c>
      <c r="G66" s="17">
        <v>3.5</v>
      </c>
      <c r="H66" s="18">
        <v>8000</v>
      </c>
      <c r="I66" s="18">
        <v>100</v>
      </c>
      <c r="J66" s="17">
        <f t="shared" si="1"/>
        <v>3.5000000000000003E-2</v>
      </c>
      <c r="K66" s="18">
        <f t="shared" si="2"/>
        <v>280</v>
      </c>
      <c r="L66" s="110" t="e">
        <f>SUM(K67:K69,#REF!)</f>
        <v>#REF!</v>
      </c>
      <c r="M66" s="106" t="s">
        <v>88</v>
      </c>
    </row>
    <row r="67" spans="1:18" x14ac:dyDescent="0.35">
      <c r="A67" s="24" t="s">
        <v>232</v>
      </c>
      <c r="B67" s="24" t="str">
        <f t="shared" ref="B67:B130" si="5">E67&amp;F67</f>
        <v>cốt lết nướngCốt lết</v>
      </c>
      <c r="C67" s="24" t="s">
        <v>8</v>
      </c>
      <c r="D67" t="s">
        <v>18</v>
      </c>
      <c r="E67" t="s">
        <v>461</v>
      </c>
      <c r="F67" t="s">
        <v>87</v>
      </c>
      <c r="G67" s="17">
        <v>11</v>
      </c>
      <c r="H67" s="18">
        <v>100000</v>
      </c>
      <c r="I67" s="18">
        <v>100</v>
      </c>
      <c r="J67" s="17">
        <f t="shared" ref="J67:J130" si="6">G67/I67</f>
        <v>0.11</v>
      </c>
      <c r="K67" s="18">
        <f t="shared" ref="K67:K130" si="7">(G67*H67)/I67</f>
        <v>11000</v>
      </c>
      <c r="L67" s="111"/>
      <c r="M67" s="106"/>
      <c r="O67" s="130"/>
    </row>
    <row r="68" spans="1:18" x14ac:dyDescent="0.35">
      <c r="A68" s="24" t="s">
        <v>233</v>
      </c>
      <c r="B68" s="24" t="str">
        <f t="shared" si="5"/>
        <v>cốt lết nướngsả</v>
      </c>
      <c r="C68" s="24" t="s">
        <v>8</v>
      </c>
      <c r="D68" t="s">
        <v>18</v>
      </c>
      <c r="E68" t="s">
        <v>461</v>
      </c>
      <c r="F68" t="s">
        <v>452</v>
      </c>
      <c r="G68" s="17">
        <v>0.7</v>
      </c>
      <c r="H68" s="18">
        <v>30000</v>
      </c>
      <c r="I68" s="18">
        <v>100</v>
      </c>
      <c r="J68" s="17">
        <f t="shared" si="6"/>
        <v>6.9999999999999993E-3</v>
      </c>
      <c r="K68" s="18">
        <f t="shared" si="7"/>
        <v>210</v>
      </c>
      <c r="L68" s="111"/>
      <c r="M68" s="106"/>
      <c r="O68" s="130">
        <f t="shared" ref="O67:O70" si="8">G68*1.1</f>
        <v>0.77</v>
      </c>
    </row>
    <row r="69" spans="1:18" ht="15.5" x14ac:dyDescent="0.35">
      <c r="A69" s="24" t="s">
        <v>233</v>
      </c>
      <c r="B69" s="24" t="str">
        <f t="shared" si="5"/>
        <v>trứng ốp laTrứng gà</v>
      </c>
      <c r="C69" s="24" t="s">
        <v>8</v>
      </c>
      <c r="D69" t="s">
        <v>18</v>
      </c>
      <c r="E69" t="s">
        <v>509</v>
      </c>
      <c r="F69" t="s">
        <v>13</v>
      </c>
      <c r="G69" s="17">
        <v>100</v>
      </c>
      <c r="H69" s="18">
        <v>2000</v>
      </c>
      <c r="I69" s="18">
        <v>100</v>
      </c>
      <c r="J69" s="17">
        <f t="shared" si="6"/>
        <v>1</v>
      </c>
      <c r="K69" s="18">
        <f t="shared" si="7"/>
        <v>2000</v>
      </c>
      <c r="L69" s="111"/>
      <c r="M69" s="106"/>
      <c r="O69" s="130">
        <f t="shared" si="8"/>
        <v>110.00000000000001</v>
      </c>
      <c r="R69" s="95"/>
    </row>
    <row r="70" spans="1:18" ht="15" customHeight="1" x14ac:dyDescent="0.35">
      <c r="A70" s="24" t="s">
        <v>232</v>
      </c>
      <c r="B70" s="24" t="str">
        <f t="shared" si="5"/>
        <v>Cá basa kho nghệCá basa</v>
      </c>
      <c r="C70" s="24" t="s">
        <v>8</v>
      </c>
      <c r="D70" t="s">
        <v>18</v>
      </c>
      <c r="E70" t="s">
        <v>90</v>
      </c>
      <c r="F70" t="s">
        <v>92</v>
      </c>
      <c r="G70" s="17">
        <v>37</v>
      </c>
      <c r="H70" s="18">
        <v>35000</v>
      </c>
      <c r="I70" s="18">
        <v>300</v>
      </c>
      <c r="J70" s="17">
        <f t="shared" si="6"/>
        <v>0.12333333333333334</v>
      </c>
      <c r="K70" s="18">
        <f t="shared" si="7"/>
        <v>4316.666666666667</v>
      </c>
      <c r="L70" s="104"/>
      <c r="M70" s="108"/>
      <c r="O70" s="130"/>
    </row>
    <row r="71" spans="1:18" ht="15" customHeight="1" x14ac:dyDescent="0.35">
      <c r="A71" s="24" t="s">
        <v>232</v>
      </c>
      <c r="B71" s="24" t="str">
        <f t="shared" si="5"/>
        <v>Gỏi tai heoTai mui heo</v>
      </c>
      <c r="C71" s="24" t="s">
        <v>8</v>
      </c>
      <c r="D71" t="s">
        <v>19</v>
      </c>
      <c r="E71" t="s">
        <v>91</v>
      </c>
      <c r="F71" t="s">
        <v>93</v>
      </c>
      <c r="G71" s="17">
        <v>4</v>
      </c>
      <c r="H71" s="18">
        <v>70000</v>
      </c>
      <c r="I71" s="18">
        <v>100</v>
      </c>
      <c r="J71" s="17">
        <f t="shared" si="6"/>
        <v>0.04</v>
      </c>
      <c r="K71" s="18">
        <f t="shared" si="7"/>
        <v>2800</v>
      </c>
      <c r="L71" s="104"/>
      <c r="M71" s="108"/>
      <c r="Q71">
        <v>0.5</v>
      </c>
    </row>
    <row r="72" spans="1:18" ht="15" customHeight="1" x14ac:dyDescent="0.35">
      <c r="A72" s="24" t="s">
        <v>233</v>
      </c>
      <c r="B72" s="24" t="str">
        <f t="shared" si="5"/>
        <v xml:space="preserve">Gỏi tai heoSu tím </v>
      </c>
      <c r="C72" s="24" t="s">
        <v>8</v>
      </c>
      <c r="D72" t="s">
        <v>19</v>
      </c>
      <c r="E72" t="s">
        <v>91</v>
      </c>
      <c r="F72" t="s">
        <v>94</v>
      </c>
      <c r="G72" s="17">
        <v>2</v>
      </c>
      <c r="H72" s="18">
        <v>14000</v>
      </c>
      <c r="I72" s="18">
        <v>100</v>
      </c>
      <c r="J72" s="17">
        <f t="shared" si="6"/>
        <v>0.02</v>
      </c>
      <c r="K72" s="18">
        <f t="shared" si="7"/>
        <v>280</v>
      </c>
      <c r="L72" s="104"/>
      <c r="M72" s="108"/>
      <c r="O72" t="s">
        <v>328</v>
      </c>
      <c r="Q72">
        <v>0.5</v>
      </c>
    </row>
    <row r="73" spans="1:18" ht="15" customHeight="1" x14ac:dyDescent="0.35">
      <c r="A73" s="24" t="s">
        <v>233</v>
      </c>
      <c r="B73" s="24" t="str">
        <f t="shared" si="5"/>
        <v>Gỏi tai heoSu trắng</v>
      </c>
      <c r="C73" s="24" t="s">
        <v>8</v>
      </c>
      <c r="D73" t="s">
        <v>19</v>
      </c>
      <c r="E73" t="s">
        <v>91</v>
      </c>
      <c r="F73" t="s">
        <v>39</v>
      </c>
      <c r="G73" s="17">
        <v>2</v>
      </c>
      <c r="H73" s="18">
        <v>10000</v>
      </c>
      <c r="I73" s="18">
        <v>100</v>
      </c>
      <c r="J73" s="17">
        <f t="shared" si="6"/>
        <v>0.02</v>
      </c>
      <c r="K73" s="18">
        <f t="shared" si="7"/>
        <v>200</v>
      </c>
      <c r="L73" s="104"/>
      <c r="M73" s="108"/>
      <c r="O73" t="s">
        <v>328</v>
      </c>
      <c r="P73" t="s">
        <v>394</v>
      </c>
      <c r="Q73">
        <v>15</v>
      </c>
      <c r="R73" t="s">
        <v>392</v>
      </c>
    </row>
    <row r="74" spans="1:18" ht="15" customHeight="1" x14ac:dyDescent="0.35">
      <c r="A74" s="24" t="s">
        <v>233</v>
      </c>
      <c r="B74" s="24" t="str">
        <f t="shared" si="5"/>
        <v>Gỏi tai heoCà rốt</v>
      </c>
      <c r="C74" s="24" t="s">
        <v>8</v>
      </c>
      <c r="D74" t="s">
        <v>19</v>
      </c>
      <c r="E74" t="s">
        <v>91</v>
      </c>
      <c r="F74" t="s">
        <v>78</v>
      </c>
      <c r="G74" s="17">
        <v>1</v>
      </c>
      <c r="H74" s="18">
        <v>15000</v>
      </c>
      <c r="I74" s="18">
        <v>100</v>
      </c>
      <c r="J74" s="17">
        <f t="shared" si="6"/>
        <v>0.01</v>
      </c>
      <c r="K74" s="18">
        <f t="shared" si="7"/>
        <v>150</v>
      </c>
      <c r="L74" s="104"/>
      <c r="M74" s="108"/>
      <c r="R74" t="s">
        <v>354</v>
      </c>
    </row>
    <row r="75" spans="1:18" ht="15" customHeight="1" x14ac:dyDescent="0.35">
      <c r="A75" s="24" t="s">
        <v>233</v>
      </c>
      <c r="B75" s="24" t="str">
        <f t="shared" si="5"/>
        <v>Gỏi tai heoRau quế</v>
      </c>
      <c r="C75" s="24" t="s">
        <v>8</v>
      </c>
      <c r="D75" t="s">
        <v>19</v>
      </c>
      <c r="E75" t="s">
        <v>91</v>
      </c>
      <c r="F75" t="s">
        <v>23</v>
      </c>
      <c r="G75" s="17">
        <v>0.3</v>
      </c>
      <c r="H75" s="18">
        <v>30000</v>
      </c>
      <c r="I75" s="18">
        <v>100</v>
      </c>
      <c r="J75" s="17">
        <f t="shared" si="6"/>
        <v>3.0000000000000001E-3</v>
      </c>
      <c r="K75" s="18">
        <f t="shared" si="7"/>
        <v>90</v>
      </c>
      <c r="L75" s="104"/>
      <c r="M75" s="108"/>
    </row>
    <row r="76" spans="1:18" ht="15" customHeight="1" x14ac:dyDescent="0.35">
      <c r="A76" s="24" t="s">
        <v>233</v>
      </c>
      <c r="B76" s="24" t="str">
        <f t="shared" si="5"/>
        <v>Bầu xào giáGiá</v>
      </c>
      <c r="C76" s="24" t="s">
        <v>8</v>
      </c>
      <c r="D76" t="s">
        <v>47</v>
      </c>
      <c r="E76" t="s">
        <v>95</v>
      </c>
      <c r="F76" t="s">
        <v>26</v>
      </c>
      <c r="G76" s="17">
        <v>13</v>
      </c>
      <c r="H76" s="18">
        <v>10000</v>
      </c>
      <c r="I76" s="18">
        <v>323</v>
      </c>
      <c r="J76" s="17">
        <f t="shared" si="6"/>
        <v>4.0247678018575851E-2</v>
      </c>
      <c r="K76" s="18">
        <f t="shared" si="7"/>
        <v>402.47678018575851</v>
      </c>
      <c r="L76" s="104"/>
      <c r="M76" s="108"/>
    </row>
    <row r="77" spans="1:18" ht="15" customHeight="1" x14ac:dyDescent="0.35">
      <c r="A77" s="24" t="s">
        <v>233</v>
      </c>
      <c r="B77" s="24" t="str">
        <f t="shared" si="5"/>
        <v>Bầu xào giáBầu</v>
      </c>
      <c r="C77" s="24" t="s">
        <v>8</v>
      </c>
      <c r="D77" t="s">
        <v>47</v>
      </c>
      <c r="E77" t="s">
        <v>95</v>
      </c>
      <c r="F77" t="s">
        <v>96</v>
      </c>
      <c r="G77" s="17">
        <v>15</v>
      </c>
      <c r="H77" s="18">
        <v>11000</v>
      </c>
      <c r="I77" s="18">
        <v>323</v>
      </c>
      <c r="J77" s="17">
        <f t="shared" si="6"/>
        <v>4.6439628482972138E-2</v>
      </c>
      <c r="K77" s="18">
        <f t="shared" si="7"/>
        <v>510.83591331269349</v>
      </c>
      <c r="L77" s="104"/>
      <c r="M77" s="108"/>
    </row>
    <row r="78" spans="1:18" ht="15" customHeight="1" x14ac:dyDescent="0.35">
      <c r="A78" s="24" t="s">
        <v>233</v>
      </c>
      <c r="B78" s="24" t="str">
        <f t="shared" si="5"/>
        <v>Bồ ngốt nấu tômBồ ngót</v>
      </c>
      <c r="C78" s="24" t="s">
        <v>8</v>
      </c>
      <c r="D78" t="s">
        <v>12</v>
      </c>
      <c r="E78" t="s">
        <v>97</v>
      </c>
      <c r="F78" t="s">
        <v>98</v>
      </c>
      <c r="G78" s="17">
        <v>10</v>
      </c>
      <c r="H78" s="18">
        <v>12000</v>
      </c>
      <c r="I78" s="18">
        <v>323</v>
      </c>
      <c r="J78" s="17">
        <f t="shared" si="6"/>
        <v>3.0959752321981424E-2</v>
      </c>
      <c r="K78" s="18">
        <f t="shared" si="7"/>
        <v>371.51702786377712</v>
      </c>
      <c r="L78" s="104"/>
      <c r="M78" s="108"/>
    </row>
    <row r="79" spans="1:18" ht="17.25" customHeight="1" x14ac:dyDescent="0.35">
      <c r="A79" s="24" t="s">
        <v>232</v>
      </c>
      <c r="B79" s="24" t="str">
        <f t="shared" si="5"/>
        <v>Bồ ngốt nấu tômTôm</v>
      </c>
      <c r="C79" s="24" t="s">
        <v>8</v>
      </c>
      <c r="D79" t="s">
        <v>12</v>
      </c>
      <c r="E79" t="s">
        <v>97</v>
      </c>
      <c r="F79" t="s">
        <v>37</v>
      </c>
      <c r="G79" s="17">
        <v>1.5</v>
      </c>
      <c r="H79" s="18">
        <v>115000</v>
      </c>
      <c r="I79" s="18">
        <v>500</v>
      </c>
      <c r="J79" s="17">
        <f t="shared" si="6"/>
        <v>3.0000000000000001E-3</v>
      </c>
      <c r="K79" s="18">
        <f t="shared" si="7"/>
        <v>345</v>
      </c>
      <c r="L79" s="104"/>
      <c r="M79" s="108"/>
    </row>
    <row r="80" spans="1:18" ht="15" customHeight="1" x14ac:dyDescent="0.35">
      <c r="A80" s="24" t="s">
        <v>233</v>
      </c>
      <c r="B80" s="24" t="str">
        <f t="shared" si="5"/>
        <v>Trái câyThanh long</v>
      </c>
      <c r="C80" s="24" t="s">
        <v>8</v>
      </c>
      <c r="D80" t="s">
        <v>52</v>
      </c>
      <c r="E80" t="s">
        <v>17</v>
      </c>
      <c r="F80" t="s">
        <v>27</v>
      </c>
      <c r="G80" s="17">
        <v>35</v>
      </c>
      <c r="H80" s="18">
        <v>20000</v>
      </c>
      <c r="I80" s="18">
        <v>323</v>
      </c>
      <c r="J80" s="17">
        <f t="shared" si="6"/>
        <v>0.10835913312693499</v>
      </c>
      <c r="K80" s="18">
        <f t="shared" si="7"/>
        <v>2167.1826625386998</v>
      </c>
      <c r="L80" s="28">
        <f>SUM(K70:K81)</f>
        <v>15758.679050567598</v>
      </c>
      <c r="M80" t="s">
        <v>81</v>
      </c>
    </row>
    <row r="81" spans="1:15" ht="15" customHeight="1" x14ac:dyDescent="0.35">
      <c r="A81" s="24" t="s">
        <v>233</v>
      </c>
      <c r="B81" s="24" t="str">
        <f t="shared" si="5"/>
        <v>Sữa chuaSữa chua</v>
      </c>
      <c r="C81" s="24" t="s">
        <v>8</v>
      </c>
      <c r="D81" t="s">
        <v>51</v>
      </c>
      <c r="E81" t="s">
        <v>51</v>
      </c>
      <c r="F81" t="s">
        <v>51</v>
      </c>
      <c r="G81" s="17">
        <v>91</v>
      </c>
      <c r="H81" s="18">
        <v>4125</v>
      </c>
      <c r="I81" s="18">
        <v>91</v>
      </c>
      <c r="J81" s="17">
        <f t="shared" si="6"/>
        <v>1</v>
      </c>
      <c r="K81" s="18">
        <f t="shared" si="7"/>
        <v>4125</v>
      </c>
      <c r="L81" s="104">
        <f>SUM(K82:K90)</f>
        <v>11393.401606425703</v>
      </c>
    </row>
    <row r="82" spans="1:15" ht="15" customHeight="1" x14ac:dyDescent="0.35">
      <c r="A82" s="24" t="s">
        <v>232</v>
      </c>
      <c r="B82" s="24" t="str">
        <f t="shared" si="5"/>
        <v>Phở gàMá đùi gà</v>
      </c>
      <c r="C82" s="24" t="s">
        <v>8</v>
      </c>
      <c r="D82" t="s">
        <v>20</v>
      </c>
      <c r="E82" t="s">
        <v>99</v>
      </c>
      <c r="F82" t="s">
        <v>456</v>
      </c>
      <c r="G82" s="17">
        <v>15.5</v>
      </c>
      <c r="H82" s="18">
        <v>40000</v>
      </c>
      <c r="I82" s="18">
        <v>100</v>
      </c>
      <c r="J82" s="17">
        <f t="shared" si="6"/>
        <v>0.155</v>
      </c>
      <c r="K82" s="18">
        <f t="shared" si="7"/>
        <v>6200</v>
      </c>
      <c r="L82" s="105"/>
    </row>
    <row r="83" spans="1:15" ht="15" customHeight="1" x14ac:dyDescent="0.35">
      <c r="A83" s="24" t="s">
        <v>233</v>
      </c>
      <c r="B83" s="24" t="str">
        <f t="shared" si="5"/>
        <v>Phở gàPhở</v>
      </c>
      <c r="C83" s="24" t="s">
        <v>8</v>
      </c>
      <c r="D83" t="s">
        <v>20</v>
      </c>
      <c r="E83" t="s">
        <v>99</v>
      </c>
      <c r="F83" t="s">
        <v>100</v>
      </c>
      <c r="G83" s="17">
        <v>33</v>
      </c>
      <c r="H83" s="18">
        <v>12000</v>
      </c>
      <c r="I83" s="18">
        <v>100</v>
      </c>
      <c r="J83" s="17">
        <f t="shared" si="6"/>
        <v>0.33</v>
      </c>
      <c r="K83" s="18">
        <f t="shared" si="7"/>
        <v>3960</v>
      </c>
      <c r="L83" s="105"/>
    </row>
    <row r="84" spans="1:15" ht="15" customHeight="1" x14ac:dyDescent="0.35">
      <c r="A84" s="24" t="s">
        <v>233</v>
      </c>
      <c r="B84" s="24" t="str">
        <f t="shared" si="5"/>
        <v>Phở gàHành tây</v>
      </c>
      <c r="C84" s="24" t="s">
        <v>8</v>
      </c>
      <c r="D84" t="s">
        <v>20</v>
      </c>
      <c r="E84" t="s">
        <v>99</v>
      </c>
      <c r="F84" t="s">
        <v>35</v>
      </c>
      <c r="G84" s="17">
        <v>1.2</v>
      </c>
      <c r="H84" s="18">
        <v>15000</v>
      </c>
      <c r="I84" s="18">
        <v>100</v>
      </c>
      <c r="J84" s="17">
        <f t="shared" si="6"/>
        <v>1.2E-2</v>
      </c>
      <c r="K84" s="18">
        <f t="shared" si="7"/>
        <v>180</v>
      </c>
      <c r="L84" s="105"/>
    </row>
    <row r="85" spans="1:15" ht="15" customHeight="1" x14ac:dyDescent="0.35">
      <c r="A85" s="24" t="s">
        <v>233</v>
      </c>
      <c r="B85" s="24" t="str">
        <f t="shared" si="5"/>
        <v>Phở gàHành lá</v>
      </c>
      <c r="C85" s="24" t="s">
        <v>8</v>
      </c>
      <c r="D85" t="s">
        <v>20</v>
      </c>
      <c r="E85" t="s">
        <v>99</v>
      </c>
      <c r="F85" t="s">
        <v>24</v>
      </c>
      <c r="G85" s="17">
        <v>0.4</v>
      </c>
      <c r="H85" s="18">
        <v>20000</v>
      </c>
      <c r="I85" s="18">
        <v>100</v>
      </c>
      <c r="J85" s="17">
        <f t="shared" si="6"/>
        <v>4.0000000000000001E-3</v>
      </c>
      <c r="K85" s="18">
        <f t="shared" si="7"/>
        <v>80</v>
      </c>
      <c r="L85" s="105"/>
      <c r="M85" t="s">
        <v>80</v>
      </c>
    </row>
    <row r="86" spans="1:15" ht="15" customHeight="1" x14ac:dyDescent="0.35">
      <c r="A86" s="24" t="s">
        <v>233</v>
      </c>
      <c r="B86" s="24" t="str">
        <f t="shared" si="5"/>
        <v>Phở gàChanh</v>
      </c>
      <c r="C86" s="24" t="s">
        <v>8</v>
      </c>
      <c r="D86" t="s">
        <v>20</v>
      </c>
      <c r="E86" t="s">
        <v>99</v>
      </c>
      <c r="F86" t="s">
        <v>25</v>
      </c>
      <c r="G86" s="17">
        <v>0.8</v>
      </c>
      <c r="H86" s="18">
        <v>26000</v>
      </c>
      <c r="I86" s="18">
        <v>100</v>
      </c>
      <c r="J86" s="17">
        <f t="shared" si="6"/>
        <v>8.0000000000000002E-3</v>
      </c>
      <c r="K86" s="18">
        <f t="shared" si="7"/>
        <v>208</v>
      </c>
      <c r="L86" s="105"/>
      <c r="N86" s="30"/>
    </row>
    <row r="87" spans="1:15" ht="15" customHeight="1" x14ac:dyDescent="0.35">
      <c r="A87" s="24" t="s">
        <v>233</v>
      </c>
      <c r="B87" s="24" t="str">
        <f t="shared" si="5"/>
        <v>Phở gàNgò gai</v>
      </c>
      <c r="C87" s="24" t="s">
        <v>8</v>
      </c>
      <c r="D87" t="s">
        <v>20</v>
      </c>
      <c r="E87" t="s">
        <v>99</v>
      </c>
      <c r="F87" t="s">
        <v>101</v>
      </c>
      <c r="G87" s="17">
        <v>0.3</v>
      </c>
      <c r="H87" s="18">
        <v>35000</v>
      </c>
      <c r="I87" s="18">
        <v>100</v>
      </c>
      <c r="J87" s="17">
        <f t="shared" si="6"/>
        <v>3.0000000000000001E-3</v>
      </c>
      <c r="K87" s="18">
        <f t="shared" si="7"/>
        <v>105</v>
      </c>
      <c r="L87" s="105"/>
    </row>
    <row r="88" spans="1:15" x14ac:dyDescent="0.35">
      <c r="A88" s="24" t="s">
        <v>233</v>
      </c>
      <c r="B88" s="24" t="str">
        <f t="shared" si="5"/>
        <v>Phở gàRau quế</v>
      </c>
      <c r="C88" s="24" t="s">
        <v>8</v>
      </c>
      <c r="D88" t="s">
        <v>20</v>
      </c>
      <c r="E88" t="s">
        <v>99</v>
      </c>
      <c r="F88" t="s">
        <v>23</v>
      </c>
      <c r="G88" s="17">
        <v>0.4</v>
      </c>
      <c r="H88" s="18">
        <v>30000</v>
      </c>
      <c r="I88" s="18">
        <v>100</v>
      </c>
      <c r="J88" s="17">
        <f t="shared" si="6"/>
        <v>4.0000000000000001E-3</v>
      </c>
      <c r="K88" s="18">
        <f t="shared" si="7"/>
        <v>120</v>
      </c>
      <c r="L88" s="105"/>
    </row>
    <row r="89" spans="1:15" x14ac:dyDescent="0.35">
      <c r="A89" s="24" t="s">
        <v>233</v>
      </c>
      <c r="B89" s="24" t="str">
        <f t="shared" si="5"/>
        <v xml:space="preserve">Phở gàXà lách </v>
      </c>
      <c r="C89" s="24" t="s">
        <v>8</v>
      </c>
      <c r="D89" t="s">
        <v>20</v>
      </c>
      <c r="E89" t="s">
        <v>99</v>
      </c>
      <c r="F89" t="s">
        <v>38</v>
      </c>
      <c r="G89" s="17">
        <v>2</v>
      </c>
      <c r="H89" s="18">
        <v>22000</v>
      </c>
      <c r="I89" s="18">
        <v>100</v>
      </c>
      <c r="J89" s="17">
        <f t="shared" si="6"/>
        <v>0.02</v>
      </c>
      <c r="K89" s="18">
        <f t="shared" si="7"/>
        <v>440</v>
      </c>
      <c r="L89" s="25"/>
    </row>
    <row r="90" spans="1:15" ht="15" customHeight="1" x14ac:dyDescent="0.35">
      <c r="A90" s="24" t="s">
        <v>233</v>
      </c>
      <c r="B90" s="24" t="str">
        <f t="shared" si="5"/>
        <v>Phở gàGiá</v>
      </c>
      <c r="C90" s="24" t="s">
        <v>8</v>
      </c>
      <c r="D90" t="s">
        <v>20</v>
      </c>
      <c r="E90" t="s">
        <v>99</v>
      </c>
      <c r="F90" t="s">
        <v>26</v>
      </c>
      <c r="G90" s="17">
        <v>2.5</v>
      </c>
      <c r="H90" s="18">
        <v>10000</v>
      </c>
      <c r="I90" s="18">
        <v>249</v>
      </c>
      <c r="J90" s="17">
        <f t="shared" si="6"/>
        <v>1.0040160642570281E-2</v>
      </c>
      <c r="K90" s="18">
        <f t="shared" si="7"/>
        <v>100.40160642570281</v>
      </c>
      <c r="L90" s="115"/>
    </row>
    <row r="91" spans="1:15" ht="15" customHeight="1" x14ac:dyDescent="0.35">
      <c r="A91" s="24" t="s">
        <v>232</v>
      </c>
      <c r="B91" s="24" t="str">
        <f t="shared" si="5"/>
        <v>Cá đù khoCá đù</v>
      </c>
      <c r="C91" s="24" t="s">
        <v>8</v>
      </c>
      <c r="D91" t="s">
        <v>18</v>
      </c>
      <c r="E91" t="s">
        <v>104</v>
      </c>
      <c r="F91" t="s">
        <v>105</v>
      </c>
      <c r="G91" s="17">
        <v>12</v>
      </c>
      <c r="H91" s="18">
        <v>45000</v>
      </c>
      <c r="I91" s="18">
        <v>100</v>
      </c>
      <c r="J91" s="17">
        <f t="shared" si="6"/>
        <v>0.12</v>
      </c>
      <c r="K91" s="18">
        <f t="shared" si="7"/>
        <v>5400</v>
      </c>
      <c r="L91" s="115"/>
      <c r="O91" s="130"/>
    </row>
    <row r="92" spans="1:15" ht="15" customHeight="1" x14ac:dyDescent="0.35">
      <c r="A92" s="24" t="s">
        <v>232</v>
      </c>
      <c r="B92" s="24" t="str">
        <f t="shared" si="5"/>
        <v>Heo xíu xào giáHeo đùi mông</v>
      </c>
      <c r="C92" s="24" t="s">
        <v>8</v>
      </c>
      <c r="D92" t="s">
        <v>19</v>
      </c>
      <c r="E92" t="s">
        <v>106</v>
      </c>
      <c r="F92" t="s">
        <v>30</v>
      </c>
      <c r="G92" s="17">
        <v>3.5</v>
      </c>
      <c r="H92" s="18">
        <v>100000</v>
      </c>
      <c r="I92" s="18">
        <v>100</v>
      </c>
      <c r="J92" s="17">
        <f t="shared" si="6"/>
        <v>3.5000000000000003E-2</v>
      </c>
      <c r="K92" s="18">
        <f t="shared" si="7"/>
        <v>3500</v>
      </c>
      <c r="L92" s="115"/>
    </row>
    <row r="93" spans="1:15" ht="15" customHeight="1" x14ac:dyDescent="0.35">
      <c r="A93" s="24" t="s">
        <v>233</v>
      </c>
      <c r="B93" s="24" t="str">
        <f t="shared" si="5"/>
        <v>Heo xíu xào giáGiá</v>
      </c>
      <c r="C93" s="24" t="s">
        <v>8</v>
      </c>
      <c r="D93" t="s">
        <v>19</v>
      </c>
      <c r="E93" t="s">
        <v>106</v>
      </c>
      <c r="F93" t="s">
        <v>26</v>
      </c>
      <c r="G93" s="17">
        <v>6</v>
      </c>
      <c r="H93" s="18">
        <v>10000</v>
      </c>
      <c r="I93" s="18">
        <v>100</v>
      </c>
      <c r="J93" s="17">
        <f t="shared" si="6"/>
        <v>0.06</v>
      </c>
      <c r="K93" s="18">
        <f t="shared" si="7"/>
        <v>600</v>
      </c>
      <c r="L93" s="115"/>
    </row>
    <row r="94" spans="1:15" ht="15" customHeight="1" x14ac:dyDescent="0.35">
      <c r="A94" s="24" t="s">
        <v>233</v>
      </c>
      <c r="B94" s="24" t="str">
        <f t="shared" si="5"/>
        <v>Củ quả luộcCà rốt</v>
      </c>
      <c r="C94" s="24" t="s">
        <v>8</v>
      </c>
      <c r="D94" t="s">
        <v>47</v>
      </c>
      <c r="E94" t="s">
        <v>107</v>
      </c>
      <c r="F94" t="s">
        <v>78</v>
      </c>
      <c r="G94" s="17">
        <v>3</v>
      </c>
      <c r="H94" s="18">
        <v>15000</v>
      </c>
      <c r="I94" s="18">
        <v>119</v>
      </c>
      <c r="J94" s="17">
        <f t="shared" si="6"/>
        <v>2.5210084033613446E-2</v>
      </c>
      <c r="K94" s="18">
        <f t="shared" si="7"/>
        <v>378.15126050420167</v>
      </c>
      <c r="L94" s="115"/>
      <c r="M94" t="s">
        <v>109</v>
      </c>
    </row>
    <row r="95" spans="1:15" ht="15" customHeight="1" x14ac:dyDescent="0.35">
      <c r="A95" s="24" t="s">
        <v>233</v>
      </c>
      <c r="B95" s="24" t="str">
        <f t="shared" si="5"/>
        <v>Củ quả luộcKhoai tây</v>
      </c>
      <c r="C95" s="24" t="s">
        <v>8</v>
      </c>
      <c r="D95" t="s">
        <v>47</v>
      </c>
      <c r="E95" t="s">
        <v>107</v>
      </c>
      <c r="F95" t="s">
        <v>77</v>
      </c>
      <c r="G95" s="17">
        <v>3</v>
      </c>
      <c r="H95" s="18">
        <v>17000</v>
      </c>
      <c r="I95" s="18">
        <v>119</v>
      </c>
      <c r="J95" s="17">
        <f t="shared" si="6"/>
        <v>2.5210084033613446E-2</v>
      </c>
      <c r="K95" s="18">
        <f t="shared" si="7"/>
        <v>428.57142857142856</v>
      </c>
      <c r="L95" s="115"/>
    </row>
    <row r="96" spans="1:15" ht="15" customHeight="1" x14ac:dyDescent="0.35">
      <c r="A96" s="24" t="s">
        <v>233</v>
      </c>
      <c r="B96" s="24" t="str">
        <f t="shared" si="5"/>
        <v>Củ quả luộcĐậu bắp</v>
      </c>
      <c r="C96" s="24" t="s">
        <v>8</v>
      </c>
      <c r="D96" t="s">
        <v>47</v>
      </c>
      <c r="E96" t="s">
        <v>107</v>
      </c>
      <c r="F96" t="s">
        <v>108</v>
      </c>
      <c r="G96" s="17">
        <v>3.5</v>
      </c>
      <c r="H96" s="18">
        <v>12000</v>
      </c>
      <c r="I96" s="18">
        <v>119</v>
      </c>
      <c r="J96" s="17">
        <f t="shared" si="6"/>
        <v>2.9411764705882353E-2</v>
      </c>
      <c r="K96" s="18">
        <f t="shared" si="7"/>
        <v>352.94117647058823</v>
      </c>
      <c r="L96" s="115"/>
    </row>
    <row r="97" spans="1:15" ht="15" customHeight="1" x14ac:dyDescent="0.35">
      <c r="A97" s="24" t="s">
        <v>233</v>
      </c>
      <c r="B97" s="24" t="str">
        <f t="shared" si="5"/>
        <v>Bí đao nấu tômBí đao</v>
      </c>
      <c r="C97" s="24" t="s">
        <v>8</v>
      </c>
      <c r="D97" t="s">
        <v>48</v>
      </c>
      <c r="E97" t="s">
        <v>61</v>
      </c>
      <c r="F97" t="s">
        <v>62</v>
      </c>
      <c r="G97" s="17">
        <v>4.5</v>
      </c>
      <c r="H97" s="18">
        <v>10000</v>
      </c>
      <c r="I97" s="18">
        <v>119</v>
      </c>
      <c r="J97" s="17">
        <f t="shared" si="6"/>
        <v>3.7815126050420166E-2</v>
      </c>
      <c r="K97" s="18">
        <f t="shared" si="7"/>
        <v>378.15126050420167</v>
      </c>
      <c r="L97" s="115"/>
    </row>
    <row r="98" spans="1:15" ht="17.25" customHeight="1" x14ac:dyDescent="0.35">
      <c r="A98" s="24" t="s">
        <v>232</v>
      </c>
      <c r="B98" s="24" t="str">
        <f t="shared" si="5"/>
        <v>Bí đao nấu tômTôm</v>
      </c>
      <c r="C98" s="24" t="s">
        <v>8</v>
      </c>
      <c r="D98" t="s">
        <v>48</v>
      </c>
      <c r="E98" t="s">
        <v>61</v>
      </c>
      <c r="F98" t="s">
        <v>37</v>
      </c>
      <c r="G98" s="17">
        <v>0.5</v>
      </c>
      <c r="H98" s="18">
        <v>110000</v>
      </c>
      <c r="I98" s="18">
        <v>119</v>
      </c>
      <c r="J98" s="17">
        <f t="shared" si="6"/>
        <v>4.2016806722689074E-3</v>
      </c>
      <c r="K98" s="18">
        <f t="shared" si="7"/>
        <v>462.18487394957981</v>
      </c>
      <c r="L98" s="115"/>
    </row>
    <row r="99" spans="1:15" ht="15" customHeight="1" x14ac:dyDescent="0.35">
      <c r="A99" s="24" t="s">
        <v>233</v>
      </c>
      <c r="B99" s="24" t="str">
        <f t="shared" si="5"/>
        <v>Trái câyDưa hấu</v>
      </c>
      <c r="C99" s="24" t="s">
        <v>8</v>
      </c>
      <c r="D99" t="s">
        <v>52</v>
      </c>
      <c r="E99" t="s">
        <v>17</v>
      </c>
      <c r="F99" t="s">
        <v>102</v>
      </c>
      <c r="G99" s="17">
        <v>12</v>
      </c>
      <c r="H99" s="18">
        <v>12000</v>
      </c>
      <c r="I99" s="18">
        <v>119</v>
      </c>
      <c r="J99" s="17">
        <f t="shared" si="6"/>
        <v>0.10084033613445378</v>
      </c>
      <c r="K99" s="18">
        <f t="shared" si="7"/>
        <v>1210.0840336134454</v>
      </c>
      <c r="L99" s="115"/>
    </row>
    <row r="100" spans="1:15" x14ac:dyDescent="0.35">
      <c r="A100" s="24" t="s">
        <v>233</v>
      </c>
      <c r="B100" s="24" t="str">
        <f t="shared" si="5"/>
        <v>Sữa chuaSữa chua</v>
      </c>
      <c r="C100" s="24" t="s">
        <v>8</v>
      </c>
      <c r="D100" t="s">
        <v>51</v>
      </c>
      <c r="E100" t="s">
        <v>51</v>
      </c>
      <c r="F100" t="s">
        <v>51</v>
      </c>
      <c r="G100" s="17">
        <v>119</v>
      </c>
      <c r="H100" s="18">
        <v>4375</v>
      </c>
      <c r="I100" s="18">
        <v>119</v>
      </c>
      <c r="J100" s="17">
        <f t="shared" si="6"/>
        <v>1</v>
      </c>
      <c r="K100" s="18">
        <f t="shared" si="7"/>
        <v>4375</v>
      </c>
      <c r="L100" s="105"/>
    </row>
    <row r="101" spans="1:15" x14ac:dyDescent="0.35">
      <c r="A101" s="24" t="s">
        <v>232</v>
      </c>
      <c r="B101" s="24" t="str">
        <f t="shared" si="5"/>
        <v>Cá hố khoCá hố</v>
      </c>
      <c r="C101" s="24" t="s">
        <v>8</v>
      </c>
      <c r="D101" t="s">
        <v>18</v>
      </c>
      <c r="E101" t="s">
        <v>115</v>
      </c>
      <c r="F101" t="s">
        <v>116</v>
      </c>
      <c r="G101" s="17">
        <v>40</v>
      </c>
      <c r="H101" s="18">
        <v>60000</v>
      </c>
      <c r="I101" s="18">
        <v>325</v>
      </c>
      <c r="J101" s="17">
        <f t="shared" si="6"/>
        <v>0.12307692307692308</v>
      </c>
      <c r="K101" s="18">
        <f t="shared" si="7"/>
        <v>7384.6153846153848</v>
      </c>
      <c r="L101" s="105"/>
      <c r="O101" s="130"/>
    </row>
    <row r="102" spans="1:15" x14ac:dyDescent="0.35">
      <c r="A102" s="24" t="s">
        <v>233</v>
      </c>
      <c r="B102" s="24" t="str">
        <f t="shared" si="5"/>
        <v>Mướp xào giáMướp</v>
      </c>
      <c r="C102" s="24" t="s">
        <v>8</v>
      </c>
      <c r="D102" t="s">
        <v>47</v>
      </c>
      <c r="E102" t="s">
        <v>71</v>
      </c>
      <c r="F102" t="s">
        <v>72</v>
      </c>
      <c r="G102" s="17">
        <v>20</v>
      </c>
      <c r="H102" s="18">
        <v>10000</v>
      </c>
      <c r="I102" s="18">
        <v>325</v>
      </c>
      <c r="J102" s="17">
        <f t="shared" si="6"/>
        <v>6.1538461538461542E-2</v>
      </c>
      <c r="K102" s="18">
        <f t="shared" si="7"/>
        <v>615.38461538461536</v>
      </c>
      <c r="L102" s="105"/>
    </row>
    <row r="103" spans="1:15" x14ac:dyDescent="0.35">
      <c r="A103" s="24" t="s">
        <v>233</v>
      </c>
      <c r="B103" s="24" t="str">
        <f t="shared" si="5"/>
        <v>Mướp xào giáGiá</v>
      </c>
      <c r="C103" s="24" t="s">
        <v>8</v>
      </c>
      <c r="D103" t="s">
        <v>47</v>
      </c>
      <c r="E103" t="s">
        <v>71</v>
      </c>
      <c r="F103" t="s">
        <v>26</v>
      </c>
      <c r="G103" s="17">
        <v>20</v>
      </c>
      <c r="H103" s="18">
        <v>10000</v>
      </c>
      <c r="I103" s="18">
        <v>325</v>
      </c>
      <c r="J103" s="17">
        <f t="shared" si="6"/>
        <v>6.1538461538461542E-2</v>
      </c>
      <c r="K103" s="18">
        <f t="shared" si="7"/>
        <v>615.38461538461536</v>
      </c>
      <c r="L103" s="105"/>
    </row>
    <row r="104" spans="1:15" ht="15.5" x14ac:dyDescent="0.35">
      <c r="A104" s="24" t="s">
        <v>233</v>
      </c>
      <c r="B104" s="24" t="str">
        <f t="shared" si="5"/>
        <v>Trái câyỔi</v>
      </c>
      <c r="C104" s="24" t="s">
        <v>8</v>
      </c>
      <c r="D104" t="s">
        <v>52</v>
      </c>
      <c r="E104" t="s">
        <v>17</v>
      </c>
      <c r="F104" t="s">
        <v>41</v>
      </c>
      <c r="G104" s="17">
        <v>30</v>
      </c>
      <c r="H104" s="18">
        <v>17000</v>
      </c>
      <c r="I104" s="18">
        <v>415</v>
      </c>
      <c r="J104" s="17">
        <f t="shared" si="6"/>
        <v>7.2289156626506021E-2</v>
      </c>
      <c r="K104" s="18">
        <f t="shared" si="7"/>
        <v>1228.9156626506024</v>
      </c>
      <c r="L104" s="29">
        <f>SUM(K101:K104)</f>
        <v>9844.3002780352181</v>
      </c>
      <c r="M104" t="s">
        <v>121</v>
      </c>
    </row>
    <row r="105" spans="1:15" x14ac:dyDescent="0.35">
      <c r="A105" s="24" t="s">
        <v>232</v>
      </c>
      <c r="B105" s="24" t="str">
        <f t="shared" si="5"/>
        <v>Cơm sườn queSườn</v>
      </c>
      <c r="C105" s="24" t="s">
        <v>8</v>
      </c>
      <c r="D105" t="s">
        <v>18</v>
      </c>
      <c r="E105" t="s">
        <v>122</v>
      </c>
      <c r="F105" t="s">
        <v>123</v>
      </c>
      <c r="G105" s="17">
        <v>9</v>
      </c>
      <c r="H105" s="18">
        <v>95000</v>
      </c>
      <c r="I105" s="18">
        <v>100</v>
      </c>
      <c r="J105" s="17">
        <f t="shared" si="6"/>
        <v>0.09</v>
      </c>
      <c r="K105" s="18">
        <f t="shared" si="7"/>
        <v>8550</v>
      </c>
      <c r="L105" s="113"/>
      <c r="O105" s="130"/>
    </row>
    <row r="106" spans="1:15" x14ac:dyDescent="0.35">
      <c r="A106" s="24" t="s">
        <v>233</v>
      </c>
      <c r="B106" s="24" t="str">
        <f t="shared" si="5"/>
        <v>Cơm sườn queSả</v>
      </c>
      <c r="C106" s="24" t="s">
        <v>8</v>
      </c>
      <c r="D106" t="s">
        <v>18</v>
      </c>
      <c r="E106" t="s">
        <v>122</v>
      </c>
      <c r="F106" t="s">
        <v>207</v>
      </c>
      <c r="G106" s="17">
        <v>0.6</v>
      </c>
      <c r="H106" s="18">
        <v>10000</v>
      </c>
      <c r="I106" s="18">
        <v>100</v>
      </c>
      <c r="J106" s="17">
        <f t="shared" si="6"/>
        <v>6.0000000000000001E-3</v>
      </c>
      <c r="K106" s="18">
        <f t="shared" si="7"/>
        <v>60</v>
      </c>
      <c r="L106" s="113"/>
      <c r="O106" s="130">
        <f t="shared" ref="O105:O110" si="9">G106*1.1</f>
        <v>0.66</v>
      </c>
    </row>
    <row r="107" spans="1:15" x14ac:dyDescent="0.35">
      <c r="A107" s="24" t="s">
        <v>233</v>
      </c>
      <c r="B107" s="24" t="str">
        <f t="shared" si="5"/>
        <v xml:space="preserve">Cơm sườn queCải thảo </v>
      </c>
      <c r="C107" s="24" t="s">
        <v>8</v>
      </c>
      <c r="D107" t="s">
        <v>18</v>
      </c>
      <c r="E107" t="s">
        <v>122</v>
      </c>
      <c r="F107" t="s">
        <v>186</v>
      </c>
      <c r="G107" s="17">
        <v>3</v>
      </c>
      <c r="H107" s="18">
        <v>14000</v>
      </c>
      <c r="I107" s="18">
        <v>100</v>
      </c>
      <c r="J107" s="17">
        <f t="shared" si="6"/>
        <v>0.03</v>
      </c>
      <c r="K107" s="18">
        <f t="shared" si="7"/>
        <v>420</v>
      </c>
      <c r="L107" s="113"/>
      <c r="O107" s="130">
        <f t="shared" si="9"/>
        <v>3.3000000000000003</v>
      </c>
    </row>
    <row r="108" spans="1:15" x14ac:dyDescent="0.35">
      <c r="A108" s="24" t="s">
        <v>233</v>
      </c>
      <c r="B108" s="24" t="str">
        <f t="shared" si="5"/>
        <v>Cơm sườn queCà rốt</v>
      </c>
      <c r="C108" s="24" t="s">
        <v>8</v>
      </c>
      <c r="D108" t="s">
        <v>18</v>
      </c>
      <c r="E108" t="s">
        <v>122</v>
      </c>
      <c r="F108" t="s">
        <v>78</v>
      </c>
      <c r="G108" s="17">
        <v>2</v>
      </c>
      <c r="H108" s="18">
        <v>15000</v>
      </c>
      <c r="I108" s="18">
        <v>100</v>
      </c>
      <c r="J108" s="17">
        <f t="shared" si="6"/>
        <v>0.02</v>
      </c>
      <c r="K108" s="18">
        <f t="shared" si="7"/>
        <v>300</v>
      </c>
      <c r="L108" s="114">
        <f>SUM(K114:K122)</f>
        <v>15929.91525423729</v>
      </c>
      <c r="N108" s="30"/>
      <c r="O108" s="130">
        <f t="shared" si="9"/>
        <v>2.2000000000000002</v>
      </c>
    </row>
    <row r="109" spans="1:15" x14ac:dyDescent="0.35">
      <c r="A109" s="24" t="s">
        <v>233</v>
      </c>
      <c r="B109" s="24" t="str">
        <f t="shared" si="5"/>
        <v>Cơm sườn quecủ cải</v>
      </c>
      <c r="C109" s="24" t="s">
        <v>8</v>
      </c>
      <c r="D109" t="s">
        <v>18</v>
      </c>
      <c r="E109" t="s">
        <v>122</v>
      </c>
      <c r="F109" t="s">
        <v>175</v>
      </c>
      <c r="G109" s="17">
        <v>3</v>
      </c>
      <c r="H109" s="18">
        <v>8000</v>
      </c>
      <c r="I109" s="18">
        <v>100</v>
      </c>
      <c r="J109" s="17">
        <f t="shared" si="6"/>
        <v>0.03</v>
      </c>
      <c r="K109" s="18">
        <f t="shared" si="7"/>
        <v>240</v>
      </c>
      <c r="L109" s="115"/>
      <c r="O109" s="130">
        <f t="shared" si="9"/>
        <v>3.3000000000000003</v>
      </c>
    </row>
    <row r="110" spans="1:15" x14ac:dyDescent="0.35">
      <c r="A110" s="24" t="s">
        <v>233</v>
      </c>
      <c r="B110" s="24" t="str">
        <f t="shared" si="5"/>
        <v>Cơm sườn queỚt sừng</v>
      </c>
      <c r="C110" s="24" t="s">
        <v>8</v>
      </c>
      <c r="D110" t="s">
        <v>18</v>
      </c>
      <c r="E110" t="s">
        <v>122</v>
      </c>
      <c r="F110" t="s">
        <v>203</v>
      </c>
      <c r="G110" s="17">
        <v>0.5</v>
      </c>
      <c r="H110" s="18">
        <v>40000</v>
      </c>
      <c r="I110" s="18">
        <v>100</v>
      </c>
      <c r="J110" s="17">
        <f t="shared" si="6"/>
        <v>5.0000000000000001E-3</v>
      </c>
      <c r="K110" s="18">
        <f t="shared" si="7"/>
        <v>200</v>
      </c>
      <c r="L110" s="115"/>
      <c r="O110" s="130">
        <f t="shared" si="9"/>
        <v>0.55000000000000004</v>
      </c>
    </row>
    <row r="111" spans="1:15" x14ac:dyDescent="0.35">
      <c r="A111" s="24" t="s">
        <v>232</v>
      </c>
      <c r="B111" s="24" t="str">
        <f t="shared" si="5"/>
        <v>Trứng xào cà chuaTrứng gà</v>
      </c>
      <c r="C111" s="24" t="s">
        <v>8</v>
      </c>
      <c r="D111" t="s">
        <v>19</v>
      </c>
      <c r="E111" t="s">
        <v>124</v>
      </c>
      <c r="F111" t="s">
        <v>13</v>
      </c>
      <c r="G111" s="17">
        <v>230</v>
      </c>
      <c r="H111" s="18">
        <v>2400</v>
      </c>
      <c r="I111" s="18">
        <v>262</v>
      </c>
      <c r="J111" s="17">
        <f t="shared" si="6"/>
        <v>0.87786259541984735</v>
      </c>
      <c r="K111" s="18">
        <f t="shared" si="7"/>
        <v>2106.8702290076335</v>
      </c>
      <c r="L111" s="115"/>
    </row>
    <row r="112" spans="1:15" x14ac:dyDescent="0.35">
      <c r="A112" s="24" t="s">
        <v>233</v>
      </c>
      <c r="B112" s="24" t="str">
        <f t="shared" si="5"/>
        <v>Trứng xào cà chuaCà chua</v>
      </c>
      <c r="C112" s="24" t="s">
        <v>8</v>
      </c>
      <c r="D112" t="s">
        <v>19</v>
      </c>
      <c r="E112" t="s">
        <v>124</v>
      </c>
      <c r="F112" t="s">
        <v>14</v>
      </c>
      <c r="G112" s="17">
        <v>5</v>
      </c>
      <c r="H112" s="18">
        <v>20000</v>
      </c>
      <c r="I112" s="18">
        <v>262</v>
      </c>
      <c r="J112" s="17">
        <f t="shared" si="6"/>
        <v>1.9083969465648856E-2</v>
      </c>
      <c r="K112" s="18">
        <f t="shared" si="7"/>
        <v>381.67938931297709</v>
      </c>
      <c r="L112" s="115"/>
    </row>
    <row r="113" spans="1:15" x14ac:dyDescent="0.35">
      <c r="A113" s="24" t="s">
        <v>233</v>
      </c>
      <c r="B113" s="24" t="str">
        <f t="shared" si="5"/>
        <v>Trái câyChuối</v>
      </c>
      <c r="C113" s="24" t="s">
        <v>8</v>
      </c>
      <c r="D113" t="s">
        <v>52</v>
      </c>
      <c r="E113" t="s">
        <v>17</v>
      </c>
      <c r="F113" t="s">
        <v>79</v>
      </c>
      <c r="G113" s="17">
        <v>262</v>
      </c>
      <c r="H113" s="18">
        <v>1500</v>
      </c>
      <c r="I113" s="18">
        <v>262</v>
      </c>
      <c r="J113" s="17">
        <f t="shared" si="6"/>
        <v>1</v>
      </c>
      <c r="K113" s="18">
        <f t="shared" si="7"/>
        <v>1500</v>
      </c>
      <c r="L113" s="115"/>
    </row>
    <row r="114" spans="1:15" x14ac:dyDescent="0.35">
      <c r="A114" s="24" t="s">
        <v>232</v>
      </c>
      <c r="B114" s="24" t="str">
        <f t="shared" si="5"/>
        <v>Cá lóc khoCá lóc</v>
      </c>
      <c r="C114" s="24" t="s">
        <v>8</v>
      </c>
      <c r="D114" t="s">
        <v>53</v>
      </c>
      <c r="E114" t="s">
        <v>110</v>
      </c>
      <c r="F114" t="s">
        <v>111</v>
      </c>
      <c r="G114" s="17">
        <v>15</v>
      </c>
      <c r="H114" s="18">
        <v>58000</v>
      </c>
      <c r="I114" s="18">
        <v>125</v>
      </c>
      <c r="J114" s="17">
        <f t="shared" si="6"/>
        <v>0.12</v>
      </c>
      <c r="K114" s="18">
        <f t="shared" si="7"/>
        <v>6960</v>
      </c>
      <c r="L114" s="115"/>
      <c r="M114" t="s">
        <v>121</v>
      </c>
      <c r="O114" s="130"/>
    </row>
    <row r="115" spans="1:15" x14ac:dyDescent="0.35">
      <c r="A115" s="24" t="s">
        <v>233</v>
      </c>
      <c r="B115" s="24" t="str">
        <f t="shared" si="5"/>
        <v>Đậu khuôn thịt bằmĐậu khuôn</v>
      </c>
      <c r="C115" s="24" t="s">
        <v>8</v>
      </c>
      <c r="D115" t="s">
        <v>19</v>
      </c>
      <c r="E115" t="s">
        <v>128</v>
      </c>
      <c r="F115" t="s">
        <v>114</v>
      </c>
      <c r="G115" s="17">
        <v>118</v>
      </c>
      <c r="H115" s="18">
        <v>1600</v>
      </c>
      <c r="I115" s="18">
        <v>118</v>
      </c>
      <c r="J115" s="17">
        <f t="shared" si="6"/>
        <v>1</v>
      </c>
      <c r="K115" s="18">
        <f t="shared" si="7"/>
        <v>1600</v>
      </c>
      <c r="L115" s="115"/>
    </row>
    <row r="116" spans="1:15" x14ac:dyDescent="0.35">
      <c r="A116" s="24" t="s">
        <v>232</v>
      </c>
      <c r="B116" s="24" t="str">
        <f t="shared" si="5"/>
        <v>Đậu khuôn thịt bằmThịt bằm</v>
      </c>
      <c r="C116" s="24" t="s">
        <v>8</v>
      </c>
      <c r="D116" t="s">
        <v>19</v>
      </c>
      <c r="E116" t="s">
        <v>128</v>
      </c>
      <c r="F116" t="s">
        <v>50</v>
      </c>
      <c r="G116" s="17">
        <v>1</v>
      </c>
      <c r="H116" s="18">
        <v>80000</v>
      </c>
      <c r="I116" s="18">
        <v>100</v>
      </c>
      <c r="J116" s="17">
        <f t="shared" si="6"/>
        <v>0.01</v>
      </c>
      <c r="K116" s="18">
        <f t="shared" si="7"/>
        <v>800</v>
      </c>
      <c r="L116" s="115"/>
    </row>
    <row r="117" spans="1:15" x14ac:dyDescent="0.35">
      <c r="A117" s="24" t="s">
        <v>298</v>
      </c>
      <c r="B117" s="24" t="str">
        <f t="shared" si="5"/>
        <v>Đậu khuôn thịt bằmNấm mèo</v>
      </c>
      <c r="C117" s="24" t="s">
        <v>8</v>
      </c>
      <c r="D117" t="s">
        <v>19</v>
      </c>
      <c r="E117" t="s">
        <v>128</v>
      </c>
      <c r="F117" t="s">
        <v>28</v>
      </c>
      <c r="G117" s="17">
        <v>0.2</v>
      </c>
      <c r="H117" s="18">
        <v>110000</v>
      </c>
      <c r="I117" s="18">
        <v>118</v>
      </c>
      <c r="J117" s="17">
        <f t="shared" si="6"/>
        <v>1.6949152542372883E-3</v>
      </c>
      <c r="K117" s="18">
        <f t="shared" si="7"/>
        <v>186.4406779661017</v>
      </c>
      <c r="L117" s="112"/>
    </row>
    <row r="118" spans="1:15" x14ac:dyDescent="0.35">
      <c r="A118" s="24" t="s">
        <v>298</v>
      </c>
      <c r="B118" s="24" t="str">
        <f t="shared" si="5"/>
        <v>Đậu khuôn thịt bằmCà rốt</v>
      </c>
      <c r="C118" s="24" t="s">
        <v>8</v>
      </c>
      <c r="D118" t="s">
        <v>19</v>
      </c>
      <c r="E118" t="s">
        <v>128</v>
      </c>
      <c r="F118" t="s">
        <v>78</v>
      </c>
      <c r="G118" s="17">
        <v>2</v>
      </c>
      <c r="H118" s="18">
        <v>15000</v>
      </c>
      <c r="I118" s="18">
        <v>118</v>
      </c>
      <c r="J118" s="17">
        <f t="shared" si="6"/>
        <v>1.6949152542372881E-2</v>
      </c>
      <c r="K118" s="18">
        <f t="shared" si="7"/>
        <v>254.23728813559322</v>
      </c>
      <c r="L118" s="112"/>
    </row>
    <row r="119" spans="1:15" x14ac:dyDescent="0.35">
      <c r="A119" s="24" t="s">
        <v>233</v>
      </c>
      <c r="B119" s="24" t="str">
        <f t="shared" si="5"/>
        <v>Dưa cải xàoDưa cải</v>
      </c>
      <c r="C119" s="24" t="s">
        <v>8</v>
      </c>
      <c r="D119" t="s">
        <v>47</v>
      </c>
      <c r="E119" t="s">
        <v>112</v>
      </c>
      <c r="F119" t="s">
        <v>113</v>
      </c>
      <c r="G119" s="17">
        <v>9</v>
      </c>
      <c r="H119" s="18">
        <v>15000</v>
      </c>
      <c r="I119" s="18">
        <v>118</v>
      </c>
      <c r="J119" s="17">
        <f t="shared" si="6"/>
        <v>7.6271186440677971E-2</v>
      </c>
      <c r="K119" s="18">
        <f t="shared" si="7"/>
        <v>1144.0677966101696</v>
      </c>
      <c r="L119" s="112"/>
      <c r="N119" s="30"/>
    </row>
    <row r="120" spans="1:15" x14ac:dyDescent="0.35">
      <c r="A120" s="24" t="s">
        <v>233</v>
      </c>
      <c r="B120" s="24" t="str">
        <f t="shared" si="5"/>
        <v>Bí đỏ thịt bằmBí đỏ</v>
      </c>
      <c r="C120" s="24" t="s">
        <v>8</v>
      </c>
      <c r="D120" t="s">
        <v>48</v>
      </c>
      <c r="E120" t="s">
        <v>127</v>
      </c>
      <c r="F120" t="s">
        <v>103</v>
      </c>
      <c r="G120" s="17">
        <v>4</v>
      </c>
      <c r="H120" s="18">
        <v>12000</v>
      </c>
      <c r="I120" s="18">
        <v>118</v>
      </c>
      <c r="J120" s="17">
        <f t="shared" si="6"/>
        <v>3.3898305084745763E-2</v>
      </c>
      <c r="K120" s="18">
        <f t="shared" si="7"/>
        <v>406.77966101694915</v>
      </c>
      <c r="L120" s="112"/>
      <c r="N120" s="30">
        <f>SUM(K123:K127)</f>
        <v>3611.3360323886641</v>
      </c>
    </row>
    <row r="121" spans="1:15" x14ac:dyDescent="0.35">
      <c r="A121" s="24" t="s">
        <v>232</v>
      </c>
      <c r="B121" s="24" t="str">
        <f t="shared" si="5"/>
        <v>Bí đỏ thịt bằmThịt bằm</v>
      </c>
      <c r="C121" s="24" t="s">
        <v>8</v>
      </c>
      <c r="D121" t="s">
        <v>48</v>
      </c>
      <c r="E121" t="s">
        <v>127</v>
      </c>
      <c r="F121" t="s">
        <v>50</v>
      </c>
      <c r="G121" s="17">
        <v>0.3</v>
      </c>
      <c r="H121" s="18">
        <v>80000</v>
      </c>
      <c r="I121" s="18">
        <v>118</v>
      </c>
      <c r="J121" s="17">
        <f t="shared" si="6"/>
        <v>2.542372881355932E-3</v>
      </c>
      <c r="K121" s="18">
        <f t="shared" si="7"/>
        <v>203.38983050847457</v>
      </c>
      <c r="L121" s="112"/>
      <c r="M121" t="s">
        <v>120</v>
      </c>
    </row>
    <row r="122" spans="1:15" x14ac:dyDescent="0.35">
      <c r="A122" s="24" t="s">
        <v>233</v>
      </c>
      <c r="B122" s="24" t="str">
        <f t="shared" si="5"/>
        <v>Sữa chuaSữa chua</v>
      </c>
      <c r="C122" s="24" t="s">
        <v>51</v>
      </c>
      <c r="D122" t="s">
        <v>51</v>
      </c>
      <c r="E122" t="s">
        <v>51</v>
      </c>
      <c r="F122" t="s">
        <v>51</v>
      </c>
      <c r="G122" s="17">
        <v>118</v>
      </c>
      <c r="H122" s="18">
        <v>4375</v>
      </c>
      <c r="I122" s="18">
        <v>118</v>
      </c>
      <c r="J122" s="17">
        <f t="shared" si="6"/>
        <v>1</v>
      </c>
      <c r="K122" s="18">
        <f t="shared" si="7"/>
        <v>4375</v>
      </c>
      <c r="L122" s="112"/>
    </row>
    <row r="123" spans="1:15" x14ac:dyDescent="0.35">
      <c r="A123" s="24" t="s">
        <v>232</v>
      </c>
      <c r="B123" s="24" t="str">
        <f t="shared" si="5"/>
        <v xml:space="preserve">Gỏi bòBò </v>
      </c>
      <c r="C123" t="s">
        <v>8</v>
      </c>
      <c r="D123" t="s">
        <v>19</v>
      </c>
      <c r="E123" t="s">
        <v>129</v>
      </c>
      <c r="F123" t="s">
        <v>130</v>
      </c>
      <c r="G123" s="17">
        <v>8</v>
      </c>
      <c r="H123" s="18">
        <v>80000</v>
      </c>
      <c r="I123" s="18">
        <v>247</v>
      </c>
      <c r="J123" s="17">
        <f t="shared" si="6"/>
        <v>3.2388663967611336E-2</v>
      </c>
      <c r="K123" s="18">
        <f t="shared" si="7"/>
        <v>2591.0931174089069</v>
      </c>
      <c r="L123" s="112"/>
    </row>
    <row r="124" spans="1:15" x14ac:dyDescent="0.35">
      <c r="A124" s="24" t="s">
        <v>233</v>
      </c>
      <c r="B124" s="24" t="str">
        <f t="shared" si="5"/>
        <v>Gỏi bòSu trắng</v>
      </c>
      <c r="C124" t="s">
        <v>8</v>
      </c>
      <c r="D124" t="s">
        <v>19</v>
      </c>
      <c r="E124" t="s">
        <v>129</v>
      </c>
      <c r="F124" t="s">
        <v>39</v>
      </c>
      <c r="G124" s="17">
        <v>6</v>
      </c>
      <c r="H124" s="18">
        <v>10000</v>
      </c>
      <c r="I124" s="18">
        <v>247</v>
      </c>
      <c r="J124" s="17">
        <f t="shared" si="6"/>
        <v>2.4291497975708502E-2</v>
      </c>
      <c r="K124" s="18">
        <f t="shared" si="7"/>
        <v>242.91497975708501</v>
      </c>
      <c r="L124" s="112"/>
    </row>
    <row r="125" spans="1:15" ht="15.75" customHeight="1" x14ac:dyDescent="0.35">
      <c r="A125" s="24" t="s">
        <v>233</v>
      </c>
      <c r="B125" s="24" t="str">
        <f t="shared" si="5"/>
        <v>Gỏi bòSu tím</v>
      </c>
      <c r="C125" t="s">
        <v>8</v>
      </c>
      <c r="D125" t="s">
        <v>19</v>
      </c>
      <c r="E125" t="s">
        <v>129</v>
      </c>
      <c r="F125" t="s">
        <v>22</v>
      </c>
      <c r="G125" s="17">
        <v>6</v>
      </c>
      <c r="H125" s="18">
        <v>14000</v>
      </c>
      <c r="I125" s="18">
        <v>247</v>
      </c>
      <c r="J125" s="17">
        <f t="shared" si="6"/>
        <v>2.4291497975708502E-2</v>
      </c>
      <c r="K125" s="18">
        <f t="shared" si="7"/>
        <v>340.08097165991904</v>
      </c>
      <c r="L125" s="29">
        <f>SUM(K123:K131)</f>
        <v>9314.2712550607284</v>
      </c>
      <c r="M125" t="s">
        <v>121</v>
      </c>
    </row>
    <row r="126" spans="1:15" x14ac:dyDescent="0.35">
      <c r="A126" s="24" t="s">
        <v>233</v>
      </c>
      <c r="B126" s="24" t="str">
        <f t="shared" si="5"/>
        <v>Gỏi bòCà rốt</v>
      </c>
      <c r="C126" t="s">
        <v>8</v>
      </c>
      <c r="D126" t="s">
        <v>19</v>
      </c>
      <c r="E126" t="s">
        <v>129</v>
      </c>
      <c r="F126" t="s">
        <v>78</v>
      </c>
      <c r="G126" s="17">
        <v>4</v>
      </c>
      <c r="H126" s="18">
        <v>18000</v>
      </c>
      <c r="I126" s="18">
        <v>247</v>
      </c>
      <c r="J126" s="17">
        <f t="shared" si="6"/>
        <v>1.6194331983805668E-2</v>
      </c>
      <c r="K126" s="18">
        <f t="shared" si="7"/>
        <v>291.497975708502</v>
      </c>
      <c r="L126" s="104">
        <f>SUM(K132:K140)</f>
        <v>15164.827586206895</v>
      </c>
    </row>
    <row r="127" spans="1:15" x14ac:dyDescent="0.35">
      <c r="A127" s="24" t="s">
        <v>233</v>
      </c>
      <c r="B127" s="24" t="str">
        <f t="shared" si="5"/>
        <v>Gỏi bòQuế</v>
      </c>
      <c r="C127" t="s">
        <v>8</v>
      </c>
      <c r="D127" t="s">
        <v>19</v>
      </c>
      <c r="E127" t="s">
        <v>129</v>
      </c>
      <c r="F127" t="s">
        <v>40</v>
      </c>
      <c r="G127" s="17">
        <v>1.2</v>
      </c>
      <c r="H127" s="18">
        <v>30000</v>
      </c>
      <c r="I127" s="18">
        <v>247</v>
      </c>
      <c r="J127" s="17">
        <f t="shared" si="6"/>
        <v>4.8582995951417006E-3</v>
      </c>
      <c r="K127" s="18">
        <f t="shared" si="7"/>
        <v>145.748987854251</v>
      </c>
      <c r="L127" s="105"/>
    </row>
    <row r="128" spans="1:15" x14ac:dyDescent="0.35">
      <c r="A128" s="24" t="s">
        <v>233</v>
      </c>
      <c r="B128" s="24" t="str">
        <f t="shared" si="5"/>
        <v>Đậu bắp hấpĐậu bắp</v>
      </c>
      <c r="C128" t="s">
        <v>8</v>
      </c>
      <c r="D128" t="s">
        <v>47</v>
      </c>
      <c r="E128" t="s">
        <v>131</v>
      </c>
      <c r="F128" t="s">
        <v>108</v>
      </c>
      <c r="G128" s="17">
        <v>16</v>
      </c>
      <c r="H128" s="18">
        <v>12000</v>
      </c>
      <c r="I128" s="18">
        <v>247</v>
      </c>
      <c r="J128" s="17">
        <f t="shared" si="6"/>
        <v>6.4777327935222673E-2</v>
      </c>
      <c r="K128" s="18">
        <f t="shared" si="7"/>
        <v>777.32793522267207</v>
      </c>
      <c r="L128" s="105"/>
    </row>
    <row r="129" spans="1:15" x14ac:dyDescent="0.35">
      <c r="A129" s="24" t="s">
        <v>233</v>
      </c>
      <c r="B129" s="24" t="str">
        <f t="shared" si="5"/>
        <v>Su thịt bằmSu trắng</v>
      </c>
      <c r="C129" t="s">
        <v>8</v>
      </c>
      <c r="D129" t="s">
        <v>48</v>
      </c>
      <c r="E129" t="s">
        <v>132</v>
      </c>
      <c r="F129" t="s">
        <v>39</v>
      </c>
      <c r="G129" s="17">
        <v>8</v>
      </c>
      <c r="H129" s="18">
        <v>10000</v>
      </c>
      <c r="I129" s="18">
        <v>247</v>
      </c>
      <c r="J129" s="17">
        <f t="shared" si="6"/>
        <v>3.2388663967611336E-2</v>
      </c>
      <c r="K129" s="18">
        <f t="shared" si="7"/>
        <v>323.88663967611336</v>
      </c>
      <c r="L129" s="105"/>
    </row>
    <row r="130" spans="1:15" x14ac:dyDescent="0.35">
      <c r="A130" s="24" t="s">
        <v>232</v>
      </c>
      <c r="B130" s="24" t="str">
        <f t="shared" si="5"/>
        <v>Su thịt bằmThịt bằm</v>
      </c>
      <c r="C130" t="s">
        <v>8</v>
      </c>
      <c r="D130" t="s">
        <v>48</v>
      </c>
      <c r="E130" t="s">
        <v>132</v>
      </c>
      <c r="F130" t="s">
        <v>50</v>
      </c>
      <c r="G130" s="17">
        <v>0.7</v>
      </c>
      <c r="H130" s="18">
        <v>80000</v>
      </c>
      <c r="I130" s="18">
        <v>247</v>
      </c>
      <c r="J130" s="17">
        <f t="shared" si="6"/>
        <v>2.8340080971659917E-3</v>
      </c>
      <c r="K130" s="18">
        <f t="shared" si="7"/>
        <v>226.72064777327935</v>
      </c>
      <c r="L130" s="105"/>
      <c r="M130" t="s">
        <v>88</v>
      </c>
    </row>
    <row r="131" spans="1:15" x14ac:dyDescent="0.35">
      <c r="A131" s="24" t="s">
        <v>233</v>
      </c>
      <c r="B131" s="24" t="str">
        <f t="shared" ref="B131:B208" si="10">E131&amp;F131</f>
        <v>Sữa chuaSữa chua</v>
      </c>
      <c r="C131" t="s">
        <v>8</v>
      </c>
      <c r="D131" t="s">
        <v>51</v>
      </c>
      <c r="E131" t="s">
        <v>51</v>
      </c>
      <c r="F131" t="s">
        <v>51</v>
      </c>
      <c r="G131" s="17">
        <v>247</v>
      </c>
      <c r="H131" s="18">
        <v>4375</v>
      </c>
      <c r="I131" s="18">
        <v>247</v>
      </c>
      <c r="J131" s="17">
        <f t="shared" ref="J131:J208" si="11">G131/I131</f>
        <v>1</v>
      </c>
      <c r="K131" s="18">
        <f t="shared" ref="K131:K209" si="12">(G131*H131)/I131</f>
        <v>4375</v>
      </c>
      <c r="L131" s="105"/>
    </row>
    <row r="132" spans="1:15" x14ac:dyDescent="0.35">
      <c r="A132" s="24" t="s">
        <v>232</v>
      </c>
      <c r="B132" s="24" t="str">
        <f t="shared" si="10"/>
        <v>Cá hố khoCá hố</v>
      </c>
      <c r="C132" t="s">
        <v>8</v>
      </c>
      <c r="D132" t="s">
        <v>18</v>
      </c>
      <c r="E132" t="s">
        <v>115</v>
      </c>
      <c r="F132" t="s">
        <v>116</v>
      </c>
      <c r="G132" s="17">
        <v>12</v>
      </c>
      <c r="H132" s="18">
        <v>60000</v>
      </c>
      <c r="I132" s="18">
        <v>116</v>
      </c>
      <c r="J132" s="17">
        <f t="shared" si="11"/>
        <v>0.10344827586206896</v>
      </c>
      <c r="K132" s="18">
        <f t="shared" si="12"/>
        <v>6206.8965517241377</v>
      </c>
      <c r="L132" s="105"/>
      <c r="O132" s="130"/>
    </row>
    <row r="133" spans="1:15" x14ac:dyDescent="0.35">
      <c r="A133" s="24" t="s">
        <v>232</v>
      </c>
      <c r="B133" s="24" t="str">
        <f t="shared" si="10"/>
        <v>Heo xào măngba chỉ lóc sườn</v>
      </c>
      <c r="C133" t="s">
        <v>8</v>
      </c>
      <c r="D133" t="s">
        <v>491</v>
      </c>
      <c r="E133" t="s">
        <v>134</v>
      </c>
      <c r="F133" t="s">
        <v>460</v>
      </c>
      <c r="G133" s="17">
        <v>1.7</v>
      </c>
      <c r="H133" s="18">
        <v>85000</v>
      </c>
      <c r="I133" s="18">
        <v>100</v>
      </c>
      <c r="J133" s="17">
        <f t="shared" si="11"/>
        <v>1.7000000000000001E-2</v>
      </c>
      <c r="K133" s="18">
        <f t="shared" si="12"/>
        <v>1445</v>
      </c>
      <c r="L133" s="105"/>
      <c r="O133" s="130"/>
    </row>
    <row r="134" spans="1:15" x14ac:dyDescent="0.35">
      <c r="A134" s="24" t="s">
        <v>232</v>
      </c>
      <c r="B134" s="24" t="str">
        <f t="shared" si="10"/>
        <v>Heo xào măngNạc vai</v>
      </c>
      <c r="C134" t="s">
        <v>8</v>
      </c>
      <c r="D134" t="s">
        <v>491</v>
      </c>
      <c r="E134" t="s">
        <v>134</v>
      </c>
      <c r="F134" t="s">
        <v>60</v>
      </c>
      <c r="G134" s="17">
        <v>2.5</v>
      </c>
      <c r="H134" s="18">
        <v>100000</v>
      </c>
      <c r="I134" s="18">
        <v>100</v>
      </c>
      <c r="J134" s="17">
        <f t="shared" si="11"/>
        <v>2.5000000000000001E-2</v>
      </c>
      <c r="K134" s="18">
        <f t="shared" si="12"/>
        <v>2500</v>
      </c>
      <c r="L134" s="25"/>
      <c r="O134" s="130"/>
    </row>
    <row r="135" spans="1:15" ht="15.5" x14ac:dyDescent="0.35">
      <c r="A135" s="24" t="s">
        <v>233</v>
      </c>
      <c r="B135" s="24" t="str">
        <f t="shared" si="10"/>
        <v>Heo xào măngMăng vàng</v>
      </c>
      <c r="C135" t="s">
        <v>8</v>
      </c>
      <c r="D135" t="s">
        <v>491</v>
      </c>
      <c r="E135" t="s">
        <v>134</v>
      </c>
      <c r="F135" t="s">
        <v>136</v>
      </c>
      <c r="G135" s="17">
        <v>4.5</v>
      </c>
      <c r="H135" s="18">
        <v>25000</v>
      </c>
      <c r="I135" s="18">
        <v>100</v>
      </c>
      <c r="J135" s="17">
        <f t="shared" si="11"/>
        <v>4.4999999999999998E-2</v>
      </c>
      <c r="K135" s="18">
        <f t="shared" si="12"/>
        <v>1125</v>
      </c>
      <c r="L135" s="29">
        <f>SUM(K132:K141)</f>
        <v>19539.827586206895</v>
      </c>
      <c r="M135" t="s">
        <v>89</v>
      </c>
      <c r="O135" s="130">
        <f t="shared" ref="O132:O135" si="13">G135*1.1</f>
        <v>4.95</v>
      </c>
    </row>
    <row r="136" spans="1:15" x14ac:dyDescent="0.35">
      <c r="A136" s="24" t="s">
        <v>233</v>
      </c>
      <c r="B136" s="24" t="str">
        <f t="shared" si="10"/>
        <v>Mướp xào giáMướp</v>
      </c>
      <c r="C136" t="s">
        <v>8</v>
      </c>
      <c r="D136" t="s">
        <v>47</v>
      </c>
      <c r="E136" t="s">
        <v>71</v>
      </c>
      <c r="F136" t="s">
        <v>72</v>
      </c>
      <c r="G136" s="17">
        <v>7</v>
      </c>
      <c r="H136" s="18">
        <v>10000</v>
      </c>
      <c r="I136" s="18">
        <v>116</v>
      </c>
      <c r="J136" s="17">
        <f t="shared" si="11"/>
        <v>6.0344827586206899E-2</v>
      </c>
      <c r="K136" s="18">
        <f t="shared" si="12"/>
        <v>603.44827586206895</v>
      </c>
      <c r="L136" s="104">
        <f>SUM(K142:K158)</f>
        <v>17404.538461538461</v>
      </c>
    </row>
    <row r="137" spans="1:15" x14ac:dyDescent="0.35">
      <c r="A137" s="24" t="s">
        <v>233</v>
      </c>
      <c r="B137" s="24" t="str">
        <f t="shared" si="10"/>
        <v>Mướp xào giáGiá</v>
      </c>
      <c r="C137" t="s">
        <v>8</v>
      </c>
      <c r="D137" t="s">
        <v>47</v>
      </c>
      <c r="E137" t="s">
        <v>71</v>
      </c>
      <c r="F137" t="s">
        <v>26</v>
      </c>
      <c r="G137" s="17">
        <v>6</v>
      </c>
      <c r="H137" s="18">
        <v>10000</v>
      </c>
      <c r="I137" s="18">
        <v>116</v>
      </c>
      <c r="J137" s="17">
        <f t="shared" si="11"/>
        <v>5.1724137931034482E-2</v>
      </c>
      <c r="K137" s="18">
        <f t="shared" si="12"/>
        <v>517.24137931034488</v>
      </c>
      <c r="L137" s="104"/>
    </row>
    <row r="138" spans="1:15" x14ac:dyDescent="0.35">
      <c r="A138" s="24" t="s">
        <v>233</v>
      </c>
      <c r="B138" s="24" t="str">
        <f t="shared" si="10"/>
        <v>Rau má thịt bằmRau má</v>
      </c>
      <c r="C138" t="s">
        <v>8</v>
      </c>
      <c r="D138" t="s">
        <v>48</v>
      </c>
      <c r="E138" t="s">
        <v>118</v>
      </c>
      <c r="F138" t="s">
        <v>119</v>
      </c>
      <c r="G138" s="17">
        <v>4</v>
      </c>
      <c r="H138" s="18">
        <v>18000</v>
      </c>
      <c r="I138" s="18">
        <v>116</v>
      </c>
      <c r="J138" s="17">
        <f t="shared" si="11"/>
        <v>3.4482758620689655E-2</v>
      </c>
      <c r="K138" s="18">
        <f t="shared" si="12"/>
        <v>620.68965517241384</v>
      </c>
      <c r="L138" s="104"/>
    </row>
    <row r="139" spans="1:15" x14ac:dyDescent="0.35">
      <c r="A139" s="24" t="s">
        <v>232</v>
      </c>
      <c r="B139" s="24" t="str">
        <f t="shared" si="10"/>
        <v>Rau má thịt bằmThịt bằm</v>
      </c>
      <c r="C139" t="s">
        <v>8</v>
      </c>
      <c r="D139" t="s">
        <v>48</v>
      </c>
      <c r="E139" t="s">
        <v>118</v>
      </c>
      <c r="F139" t="s">
        <v>50</v>
      </c>
      <c r="G139" s="17">
        <v>0.3</v>
      </c>
      <c r="H139" s="18">
        <v>80000</v>
      </c>
      <c r="I139" s="18">
        <v>116</v>
      </c>
      <c r="J139" s="17">
        <f t="shared" si="11"/>
        <v>2.5862068965517241E-3</v>
      </c>
      <c r="K139" s="18">
        <f t="shared" si="12"/>
        <v>206.89655172413794</v>
      </c>
      <c r="L139" s="105"/>
    </row>
    <row r="140" spans="1:15" x14ac:dyDescent="0.35">
      <c r="A140" s="24" t="s">
        <v>233</v>
      </c>
      <c r="B140" s="24" t="str">
        <f t="shared" si="10"/>
        <v>Trái câyChôm chôm</v>
      </c>
      <c r="C140" t="s">
        <v>8</v>
      </c>
      <c r="D140" t="s">
        <v>52</v>
      </c>
      <c r="E140" t="s">
        <v>17</v>
      </c>
      <c r="F140" t="s">
        <v>133</v>
      </c>
      <c r="G140" s="17">
        <v>9</v>
      </c>
      <c r="H140" s="18">
        <v>25000</v>
      </c>
      <c r="I140" s="18">
        <v>116</v>
      </c>
      <c r="J140" s="17">
        <f t="shared" si="11"/>
        <v>7.7586206896551727E-2</v>
      </c>
      <c r="K140" s="18">
        <f t="shared" si="12"/>
        <v>1939.655172413793</v>
      </c>
      <c r="L140" s="105"/>
    </row>
    <row r="141" spans="1:15" x14ac:dyDescent="0.35">
      <c r="A141" s="24" t="s">
        <v>233</v>
      </c>
      <c r="B141" s="24" t="str">
        <f t="shared" si="10"/>
        <v>Sữa chuaSữa chua</v>
      </c>
      <c r="C141" t="s">
        <v>8</v>
      </c>
      <c r="D141" t="s">
        <v>51</v>
      </c>
      <c r="E141" t="s">
        <v>51</v>
      </c>
      <c r="F141" t="s">
        <v>51</v>
      </c>
      <c r="G141" s="17">
        <v>40</v>
      </c>
      <c r="H141" s="18">
        <v>4375</v>
      </c>
      <c r="I141" s="18">
        <v>40</v>
      </c>
      <c r="J141" s="17">
        <f t="shared" si="11"/>
        <v>1</v>
      </c>
      <c r="K141" s="18">
        <f t="shared" si="12"/>
        <v>4375</v>
      </c>
      <c r="L141" s="105"/>
    </row>
    <row r="142" spans="1:15" x14ac:dyDescent="0.35">
      <c r="A142" s="24" t="s">
        <v>232</v>
      </c>
      <c r="B142" s="24" t="str">
        <f t="shared" si="10"/>
        <v xml:space="preserve">Bún bò chả cuaChanh </v>
      </c>
      <c r="C142" s="24" t="s">
        <v>8</v>
      </c>
      <c r="D142" t="s">
        <v>20</v>
      </c>
      <c r="E142" t="s">
        <v>478</v>
      </c>
      <c r="F142" t="s">
        <v>36</v>
      </c>
      <c r="G142" s="17">
        <v>0.8</v>
      </c>
      <c r="H142" s="18">
        <v>26000</v>
      </c>
      <c r="I142" s="18">
        <v>100</v>
      </c>
      <c r="J142" s="17">
        <f t="shared" si="11"/>
        <v>8.0000000000000002E-3</v>
      </c>
      <c r="K142" s="18">
        <f t="shared" si="12"/>
        <v>208</v>
      </c>
      <c r="L142" s="105"/>
      <c r="M142" t="s">
        <v>150</v>
      </c>
    </row>
    <row r="143" spans="1:15" x14ac:dyDescent="0.35">
      <c r="A143" s="24" t="s">
        <v>232</v>
      </c>
      <c r="B143" s="24" t="str">
        <f t="shared" si="10"/>
        <v>Bún bò chả cuaHành lá</v>
      </c>
      <c r="C143" s="24" t="s">
        <v>8</v>
      </c>
      <c r="D143" t="s">
        <v>20</v>
      </c>
      <c r="E143" t="s">
        <v>478</v>
      </c>
      <c r="F143" t="s">
        <v>24</v>
      </c>
      <c r="G143" s="17">
        <v>0.4</v>
      </c>
      <c r="H143" s="18">
        <v>20000</v>
      </c>
      <c r="I143" s="18">
        <v>100</v>
      </c>
      <c r="J143" s="17">
        <f t="shared" si="11"/>
        <v>4.0000000000000001E-3</v>
      </c>
      <c r="K143" s="18">
        <f t="shared" si="12"/>
        <v>80</v>
      </c>
      <c r="L143" s="105"/>
      <c r="N143" s="30"/>
    </row>
    <row r="144" spans="1:15" x14ac:dyDescent="0.35">
      <c r="A144" s="24" t="s">
        <v>232</v>
      </c>
      <c r="B144" s="24" t="str">
        <f t="shared" si="10"/>
        <v>Bún bò chả cuaHành tây</v>
      </c>
      <c r="C144" s="24" t="s">
        <v>8</v>
      </c>
      <c r="D144" t="s">
        <v>20</v>
      </c>
      <c r="E144" t="s">
        <v>478</v>
      </c>
      <c r="F144" t="s">
        <v>35</v>
      </c>
      <c r="G144" s="17">
        <v>1.5</v>
      </c>
      <c r="H144" s="2">
        <v>15000</v>
      </c>
      <c r="I144" s="18">
        <v>100</v>
      </c>
      <c r="J144" s="17">
        <f t="shared" si="11"/>
        <v>1.4999999999999999E-2</v>
      </c>
      <c r="K144" s="18">
        <f t="shared" si="12"/>
        <v>225</v>
      </c>
      <c r="L144" s="105"/>
    </row>
    <row r="145" spans="1:12" x14ac:dyDescent="0.35">
      <c r="A145" s="24" t="s">
        <v>233</v>
      </c>
      <c r="B145" s="24" t="str">
        <f t="shared" si="10"/>
        <v xml:space="preserve">Bún bò chả cuaGiá </v>
      </c>
      <c r="C145" s="24" t="s">
        <v>8</v>
      </c>
      <c r="D145" t="s">
        <v>20</v>
      </c>
      <c r="E145" t="s">
        <v>478</v>
      </c>
      <c r="F145" t="s">
        <v>148</v>
      </c>
      <c r="G145" s="17">
        <v>2.5</v>
      </c>
      <c r="H145" s="18">
        <v>10000</v>
      </c>
      <c r="I145" s="18">
        <v>100</v>
      </c>
      <c r="J145" s="17">
        <f t="shared" si="11"/>
        <v>2.5000000000000001E-2</v>
      </c>
      <c r="K145" s="18">
        <f t="shared" si="12"/>
        <v>250</v>
      </c>
      <c r="L145" s="105"/>
    </row>
    <row r="146" spans="1:12" x14ac:dyDescent="0.35">
      <c r="A146" s="24" t="s">
        <v>233</v>
      </c>
      <c r="B146" s="24" t="str">
        <f t="shared" si="10"/>
        <v>Bún bò chả cuaỚt xanh huế</v>
      </c>
      <c r="C146" s="24" t="s">
        <v>8</v>
      </c>
      <c r="D146" t="s">
        <v>20</v>
      </c>
      <c r="E146" t="s">
        <v>478</v>
      </c>
      <c r="F146" t="s">
        <v>270</v>
      </c>
      <c r="G146" s="17">
        <v>0.3</v>
      </c>
      <c r="H146" s="18">
        <v>30000</v>
      </c>
      <c r="I146" s="18">
        <v>100</v>
      </c>
      <c r="J146" s="17">
        <f t="shared" si="11"/>
        <v>3.0000000000000001E-3</v>
      </c>
      <c r="K146" s="18">
        <f t="shared" si="12"/>
        <v>90</v>
      </c>
      <c r="L146" s="105"/>
    </row>
    <row r="147" spans="1:12" ht="15.5" x14ac:dyDescent="0.35">
      <c r="A147" s="24" t="s">
        <v>233</v>
      </c>
      <c r="B147" s="24" t="str">
        <f t="shared" si="10"/>
        <v>Bún bò chả cuaRau quế</v>
      </c>
      <c r="C147" s="24" t="s">
        <v>8</v>
      </c>
      <c r="D147" t="s">
        <v>20</v>
      </c>
      <c r="E147" t="s">
        <v>478</v>
      </c>
      <c r="F147" t="s">
        <v>23</v>
      </c>
      <c r="G147" s="17">
        <v>0.4</v>
      </c>
      <c r="H147" s="18">
        <v>30000</v>
      </c>
      <c r="I147" s="18">
        <v>100</v>
      </c>
      <c r="J147" s="17">
        <f t="shared" si="11"/>
        <v>4.0000000000000001E-3</v>
      </c>
      <c r="K147" s="18">
        <f t="shared" si="12"/>
        <v>120</v>
      </c>
      <c r="L147" s="25"/>
    </row>
    <row r="148" spans="1:12" ht="15.5" x14ac:dyDescent="0.35">
      <c r="A148" s="24" t="s">
        <v>233</v>
      </c>
      <c r="B148" s="24" t="str">
        <f t="shared" si="10"/>
        <v>Bún bò chả cuaXà lách</v>
      </c>
      <c r="C148" s="24" t="s">
        <v>8</v>
      </c>
      <c r="D148" t="s">
        <v>20</v>
      </c>
      <c r="E148" t="s">
        <v>478</v>
      </c>
      <c r="F148" t="s">
        <v>197</v>
      </c>
      <c r="G148" s="17">
        <v>2.2000000000000002</v>
      </c>
      <c r="H148" s="18">
        <v>22000</v>
      </c>
      <c r="I148" s="18">
        <v>100</v>
      </c>
      <c r="J148" s="17">
        <f t="shared" si="11"/>
        <v>2.2000000000000002E-2</v>
      </c>
      <c r="K148" s="18">
        <f t="shared" si="12"/>
        <v>484.00000000000006</v>
      </c>
      <c r="L148" s="25"/>
    </row>
    <row r="149" spans="1:12" ht="15.5" x14ac:dyDescent="0.35">
      <c r="A149" s="24" t="s">
        <v>232</v>
      </c>
      <c r="B149" s="24" t="str">
        <f t="shared" si="10"/>
        <v>Bún bò chả cuaNạm bò M19</v>
      </c>
      <c r="C149" s="24" t="s">
        <v>8</v>
      </c>
      <c r="D149" t="s">
        <v>20</v>
      </c>
      <c r="E149" t="s">
        <v>478</v>
      </c>
      <c r="F149" t="s">
        <v>405</v>
      </c>
      <c r="G149" s="17">
        <v>8.5</v>
      </c>
      <c r="H149" s="18">
        <v>90000</v>
      </c>
      <c r="I149" s="18">
        <v>100</v>
      </c>
      <c r="J149" s="17">
        <f t="shared" si="11"/>
        <v>8.5000000000000006E-2</v>
      </c>
      <c r="K149" s="18">
        <f t="shared" si="12"/>
        <v>7650</v>
      </c>
      <c r="L149" s="25"/>
    </row>
    <row r="150" spans="1:12" ht="15.5" x14ac:dyDescent="0.35">
      <c r="A150" s="24" t="s">
        <v>232</v>
      </c>
      <c r="B150" s="24" t="str">
        <f t="shared" si="10"/>
        <v>Bún bò chả cuaChả cua</v>
      </c>
      <c r="C150" s="24" t="s">
        <v>8</v>
      </c>
      <c r="D150" t="s">
        <v>20</v>
      </c>
      <c r="E150" t="s">
        <v>478</v>
      </c>
      <c r="F150" t="s">
        <v>376</v>
      </c>
      <c r="G150" s="17">
        <v>2</v>
      </c>
      <c r="H150" s="18">
        <v>110000</v>
      </c>
      <c r="I150" s="18">
        <v>100</v>
      </c>
      <c r="J150" s="17">
        <f t="shared" si="11"/>
        <v>0.02</v>
      </c>
      <c r="K150" s="18">
        <f t="shared" si="12"/>
        <v>2200</v>
      </c>
      <c r="L150" s="25"/>
    </row>
    <row r="151" spans="1:12" ht="15.5" x14ac:dyDescent="0.35">
      <c r="A151" s="24" t="s">
        <v>232</v>
      </c>
      <c r="B151" s="24" t="str">
        <f t="shared" si="10"/>
        <v>Bún bò chả cuaXương ống bò</v>
      </c>
      <c r="C151" s="24" t="s">
        <v>8</v>
      </c>
      <c r="D151" t="s">
        <v>20</v>
      </c>
      <c r="E151" t="s">
        <v>478</v>
      </c>
      <c r="F151" t="s">
        <v>381</v>
      </c>
      <c r="G151" s="17">
        <v>2</v>
      </c>
      <c r="H151" s="18">
        <v>30000</v>
      </c>
      <c r="I151" s="18">
        <v>100</v>
      </c>
      <c r="J151" s="17">
        <f t="shared" si="11"/>
        <v>0.02</v>
      </c>
      <c r="K151" s="18">
        <f t="shared" si="12"/>
        <v>600</v>
      </c>
      <c r="L151" s="25"/>
    </row>
    <row r="152" spans="1:12" ht="15.5" x14ac:dyDescent="0.35">
      <c r="A152" s="24" t="s">
        <v>232</v>
      </c>
      <c r="B152" s="24" t="str">
        <f t="shared" si="10"/>
        <v>Bún bò chả cuaHuyết bò</v>
      </c>
      <c r="C152" s="24" t="s">
        <v>8</v>
      </c>
      <c r="D152" t="s">
        <v>20</v>
      </c>
      <c r="E152" t="s">
        <v>478</v>
      </c>
      <c r="F152" t="s">
        <v>167</v>
      </c>
      <c r="G152" s="17">
        <v>2.5</v>
      </c>
      <c r="H152" s="18">
        <v>30000</v>
      </c>
      <c r="I152" s="18">
        <v>100</v>
      </c>
      <c r="J152" s="17">
        <f t="shared" si="11"/>
        <v>2.5000000000000001E-2</v>
      </c>
      <c r="K152" s="18">
        <f t="shared" si="12"/>
        <v>750</v>
      </c>
      <c r="L152" s="25"/>
    </row>
    <row r="153" spans="1:12" ht="15.5" x14ac:dyDescent="0.35">
      <c r="A153" s="24" t="s">
        <v>233</v>
      </c>
      <c r="B153" s="24" t="str">
        <f t="shared" si="10"/>
        <v>Bún bò chả cuaĐu đủ</v>
      </c>
      <c r="C153" s="24" t="s">
        <v>8</v>
      </c>
      <c r="D153" t="s">
        <v>20</v>
      </c>
      <c r="E153" t="s">
        <v>478</v>
      </c>
      <c r="F153" t="s">
        <v>367</v>
      </c>
      <c r="G153" s="17">
        <v>0.8</v>
      </c>
      <c r="H153" s="18">
        <v>12000</v>
      </c>
      <c r="I153" s="18">
        <v>100</v>
      </c>
      <c r="J153" s="17">
        <f t="shared" si="11"/>
        <v>8.0000000000000002E-3</v>
      </c>
      <c r="K153" s="18">
        <f t="shared" si="12"/>
        <v>96</v>
      </c>
      <c r="L153" s="25"/>
    </row>
    <row r="154" spans="1:12" ht="15.5" x14ac:dyDescent="0.35">
      <c r="A154" s="24" t="s">
        <v>233</v>
      </c>
      <c r="B154" s="24" t="str">
        <f t="shared" si="10"/>
        <v>Bún bò chả cuaHành tái</v>
      </c>
      <c r="C154" s="24" t="s">
        <v>8</v>
      </c>
      <c r="D154" t="s">
        <v>20</v>
      </c>
      <c r="E154" t="s">
        <v>478</v>
      </c>
      <c r="F154" t="s">
        <v>371</v>
      </c>
      <c r="G154" s="17">
        <v>0.3</v>
      </c>
      <c r="H154" s="18">
        <v>40000</v>
      </c>
      <c r="I154" s="18">
        <v>100</v>
      </c>
      <c r="J154" s="17">
        <f t="shared" si="11"/>
        <v>3.0000000000000001E-3</v>
      </c>
      <c r="K154" s="18">
        <f t="shared" si="12"/>
        <v>120</v>
      </c>
      <c r="L154" s="25"/>
    </row>
    <row r="155" spans="1:12" ht="15.5" x14ac:dyDescent="0.35">
      <c r="A155" s="24" t="s">
        <v>233</v>
      </c>
      <c r="B155" s="24" t="str">
        <f t="shared" si="10"/>
        <v>Bún bò chả cuaCà rốt</v>
      </c>
      <c r="C155" s="24" t="s">
        <v>8</v>
      </c>
      <c r="D155" t="s">
        <v>20</v>
      </c>
      <c r="E155" t="s">
        <v>478</v>
      </c>
      <c r="F155" t="s">
        <v>78</v>
      </c>
      <c r="G155" s="17">
        <v>0.8</v>
      </c>
      <c r="H155" s="18">
        <v>15000</v>
      </c>
      <c r="I155" s="18">
        <v>100</v>
      </c>
      <c r="J155" s="17">
        <f t="shared" si="11"/>
        <v>8.0000000000000002E-3</v>
      </c>
      <c r="K155" s="18">
        <f t="shared" si="12"/>
        <v>120</v>
      </c>
      <c r="L155" s="25"/>
    </row>
    <row r="156" spans="1:12" ht="15.5" x14ac:dyDescent="0.35">
      <c r="A156" s="24" t="s">
        <v>232</v>
      </c>
      <c r="B156" s="24" t="str">
        <f t="shared" si="10"/>
        <v>Bún bò chả cuabún tươi</v>
      </c>
      <c r="C156" s="24" t="s">
        <v>8</v>
      </c>
      <c r="D156" t="s">
        <v>20</v>
      </c>
      <c r="E156" t="s">
        <v>478</v>
      </c>
      <c r="F156" t="s">
        <v>467</v>
      </c>
      <c r="G156" s="17">
        <v>33</v>
      </c>
      <c r="H156" s="18">
        <v>10000</v>
      </c>
      <c r="I156" s="18">
        <v>100</v>
      </c>
      <c r="J156" s="17">
        <f t="shared" si="11"/>
        <v>0.33</v>
      </c>
      <c r="K156" s="18">
        <f t="shared" si="12"/>
        <v>3300</v>
      </c>
      <c r="L156" s="25"/>
    </row>
    <row r="157" spans="1:12" ht="15.5" x14ac:dyDescent="0.35">
      <c r="A157" s="24" t="s">
        <v>233</v>
      </c>
      <c r="B157" s="24" t="str">
        <f t="shared" si="10"/>
        <v>Bún bò chả cuaSả</v>
      </c>
      <c r="C157" s="24" t="s">
        <v>8</v>
      </c>
      <c r="D157" t="s">
        <v>20</v>
      </c>
      <c r="E157" t="s">
        <v>478</v>
      </c>
      <c r="F157" t="s">
        <v>207</v>
      </c>
      <c r="G157" s="17">
        <v>0.5</v>
      </c>
      <c r="H157" s="18">
        <v>30000</v>
      </c>
      <c r="I157" s="18">
        <v>100</v>
      </c>
      <c r="J157" s="17">
        <f t="shared" si="11"/>
        <v>5.0000000000000001E-3</v>
      </c>
      <c r="K157" s="18">
        <f t="shared" si="12"/>
        <v>150</v>
      </c>
      <c r="L157" s="25"/>
    </row>
    <row r="158" spans="1:12" x14ac:dyDescent="0.35">
      <c r="A158" s="24" t="s">
        <v>233</v>
      </c>
      <c r="B158" s="24" t="str">
        <f t="shared" si="10"/>
        <v>Trái câyTáo</v>
      </c>
      <c r="C158" s="24" t="s">
        <v>8</v>
      </c>
      <c r="D158" t="s">
        <v>52</v>
      </c>
      <c r="E158" t="s">
        <v>17</v>
      </c>
      <c r="F158" t="s">
        <v>149</v>
      </c>
      <c r="G158" s="17">
        <v>9</v>
      </c>
      <c r="H158" s="18">
        <v>25000</v>
      </c>
      <c r="I158" s="18">
        <v>234</v>
      </c>
      <c r="J158" s="17">
        <f t="shared" si="11"/>
        <v>3.8461538461538464E-2</v>
      </c>
      <c r="K158" s="18">
        <f t="shared" si="12"/>
        <v>961.53846153846155</v>
      </c>
    </row>
    <row r="159" spans="1:12" x14ac:dyDescent="0.35">
      <c r="A159" s="24" t="s">
        <v>232</v>
      </c>
      <c r="B159" s="24" t="str">
        <f t="shared" si="10"/>
        <v>Mỳ cá lócChanh</v>
      </c>
      <c r="C159" s="24" t="s">
        <v>8</v>
      </c>
      <c r="D159" t="s">
        <v>20</v>
      </c>
      <c r="E159" t="s">
        <v>286</v>
      </c>
      <c r="F159" s="24" t="s">
        <v>25</v>
      </c>
      <c r="G159" s="17">
        <v>0.8</v>
      </c>
      <c r="H159" s="18">
        <v>26000</v>
      </c>
      <c r="I159" s="18">
        <v>100</v>
      </c>
      <c r="J159" s="17">
        <f t="shared" si="11"/>
        <v>8.0000000000000002E-3</v>
      </c>
      <c r="K159" s="18">
        <f t="shared" si="12"/>
        <v>208</v>
      </c>
    </row>
    <row r="160" spans="1:12" x14ac:dyDescent="0.35">
      <c r="A160" s="24" t="s">
        <v>233</v>
      </c>
      <c r="B160" s="24" t="str">
        <f t="shared" si="10"/>
        <v>Mỳ cá lócGiá</v>
      </c>
      <c r="C160" s="24" t="s">
        <v>8</v>
      </c>
      <c r="D160" t="s">
        <v>20</v>
      </c>
      <c r="E160" t="s">
        <v>286</v>
      </c>
      <c r="F160" s="24" t="s">
        <v>26</v>
      </c>
      <c r="G160" s="17">
        <v>2.5</v>
      </c>
      <c r="H160" s="18">
        <v>10000</v>
      </c>
      <c r="I160" s="18">
        <v>100</v>
      </c>
      <c r="J160" s="17">
        <f t="shared" si="11"/>
        <v>2.5000000000000001E-2</v>
      </c>
      <c r="K160" s="18">
        <f t="shared" si="12"/>
        <v>250</v>
      </c>
    </row>
    <row r="161" spans="1:15" x14ac:dyDescent="0.35">
      <c r="A161" s="24" t="s">
        <v>233</v>
      </c>
      <c r="B161" s="24" t="str">
        <f t="shared" si="10"/>
        <v>Mỳ cá lócHành lá</v>
      </c>
      <c r="C161" s="24" t="s">
        <v>8</v>
      </c>
      <c r="D161" t="s">
        <v>20</v>
      </c>
      <c r="E161" t="s">
        <v>286</v>
      </c>
      <c r="F161" s="24" t="s">
        <v>24</v>
      </c>
      <c r="G161" s="17">
        <v>0.4</v>
      </c>
      <c r="H161" s="18">
        <v>20000</v>
      </c>
      <c r="I161" s="18">
        <v>100</v>
      </c>
      <c r="J161" s="17">
        <f t="shared" si="11"/>
        <v>4.0000000000000001E-3</v>
      </c>
      <c r="K161" s="18">
        <f t="shared" si="12"/>
        <v>80</v>
      </c>
    </row>
    <row r="162" spans="1:15" x14ac:dyDescent="0.35">
      <c r="A162" s="24" t="s">
        <v>233</v>
      </c>
      <c r="B162" s="24" t="str">
        <f t="shared" si="10"/>
        <v>Mỳ cá lócXà lách</v>
      </c>
      <c r="C162" s="24" t="s">
        <v>8</v>
      </c>
      <c r="D162" t="s">
        <v>20</v>
      </c>
      <c r="E162" t="s">
        <v>286</v>
      </c>
      <c r="F162" s="24" t="s">
        <v>197</v>
      </c>
      <c r="G162" s="17">
        <v>2</v>
      </c>
      <c r="H162" s="18">
        <v>22000</v>
      </c>
      <c r="I162" s="18">
        <v>100</v>
      </c>
      <c r="J162" s="17">
        <f t="shared" si="11"/>
        <v>0.02</v>
      </c>
      <c r="K162" s="18">
        <f t="shared" si="12"/>
        <v>440</v>
      </c>
    </row>
    <row r="163" spans="1:15" x14ac:dyDescent="0.35">
      <c r="A163" s="24" t="s">
        <v>233</v>
      </c>
      <c r="B163" s="24" t="str">
        <f t="shared" si="10"/>
        <v>Mỳ cá lócĐậu phộng rang</v>
      </c>
      <c r="C163" s="24" t="s">
        <v>8</v>
      </c>
      <c r="D163" t="s">
        <v>20</v>
      </c>
      <c r="E163" t="s">
        <v>286</v>
      </c>
      <c r="F163" s="24" t="s">
        <v>303</v>
      </c>
      <c r="G163" s="17">
        <v>0.7</v>
      </c>
      <c r="H163" s="18">
        <v>50000</v>
      </c>
      <c r="I163" s="18">
        <v>100</v>
      </c>
      <c r="J163" s="17">
        <f t="shared" si="11"/>
        <v>6.9999999999999993E-3</v>
      </c>
      <c r="K163" s="18">
        <f t="shared" si="12"/>
        <v>350</v>
      </c>
    </row>
    <row r="164" spans="1:15" x14ac:dyDescent="0.35">
      <c r="A164" s="24" t="s">
        <v>233</v>
      </c>
      <c r="B164" s="24" t="str">
        <f t="shared" si="10"/>
        <v>Mỳ cá lócNgò gai</v>
      </c>
      <c r="C164" s="24" t="s">
        <v>8</v>
      </c>
      <c r="D164" t="s">
        <v>20</v>
      </c>
      <c r="E164" t="s">
        <v>286</v>
      </c>
      <c r="F164" s="24" t="s">
        <v>101</v>
      </c>
      <c r="G164" s="17">
        <v>10</v>
      </c>
      <c r="H164" s="18">
        <v>35000</v>
      </c>
      <c r="I164" s="18">
        <v>100</v>
      </c>
      <c r="J164" s="17">
        <f t="shared" si="11"/>
        <v>0.1</v>
      </c>
      <c r="K164" s="18">
        <f t="shared" si="12"/>
        <v>3500</v>
      </c>
    </row>
    <row r="165" spans="1:15" x14ac:dyDescent="0.35">
      <c r="A165" s="24" t="s">
        <v>233</v>
      </c>
      <c r="B165" s="24" t="str">
        <f t="shared" si="10"/>
        <v>Mỳ cá lócỚt xanh</v>
      </c>
      <c r="C165" s="24" t="s">
        <v>8</v>
      </c>
      <c r="D165" t="s">
        <v>20</v>
      </c>
      <c r="E165" t="s">
        <v>286</v>
      </c>
      <c r="F165" s="24" t="s">
        <v>400</v>
      </c>
      <c r="G165" s="17">
        <v>0.2</v>
      </c>
      <c r="H165" s="18">
        <v>30000</v>
      </c>
      <c r="I165" s="18">
        <v>100</v>
      </c>
      <c r="J165" s="17">
        <f t="shared" si="11"/>
        <v>2E-3</v>
      </c>
      <c r="K165" s="18">
        <f t="shared" si="12"/>
        <v>60</v>
      </c>
    </row>
    <row r="166" spans="1:15" x14ac:dyDescent="0.35">
      <c r="A166" s="24" t="s">
        <v>233</v>
      </c>
      <c r="B166" s="24" t="str">
        <f t="shared" si="10"/>
        <v>Mỳ cá lócRau quế</v>
      </c>
      <c r="C166" s="24" t="s">
        <v>8</v>
      </c>
      <c r="D166" t="s">
        <v>20</v>
      </c>
      <c r="E166" t="s">
        <v>286</v>
      </c>
      <c r="F166" s="24" t="s">
        <v>23</v>
      </c>
      <c r="G166" s="17">
        <v>0.3</v>
      </c>
      <c r="H166" s="18">
        <v>30000</v>
      </c>
      <c r="I166" s="18">
        <v>100</v>
      </c>
      <c r="J166" s="17">
        <f t="shared" si="11"/>
        <v>3.0000000000000001E-3</v>
      </c>
      <c r="K166" s="18">
        <f t="shared" si="12"/>
        <v>90</v>
      </c>
    </row>
    <row r="167" spans="1:15" x14ac:dyDescent="0.35">
      <c r="A167" s="24" t="s">
        <v>233</v>
      </c>
      <c r="B167" s="24" t="str">
        <f t="shared" si="10"/>
        <v>Mỳ cá lócSu trắng</v>
      </c>
      <c r="C167" s="24" t="s">
        <v>8</v>
      </c>
      <c r="D167" t="s">
        <v>20</v>
      </c>
      <c r="E167" t="s">
        <v>286</v>
      </c>
      <c r="F167" s="24" t="s">
        <v>39</v>
      </c>
      <c r="G167" s="17">
        <v>1</v>
      </c>
      <c r="H167" s="18">
        <v>10000</v>
      </c>
      <c r="I167" s="18">
        <v>100</v>
      </c>
      <c r="J167" s="17">
        <f t="shared" si="11"/>
        <v>0.01</v>
      </c>
      <c r="K167" s="18">
        <f t="shared" si="12"/>
        <v>100</v>
      </c>
    </row>
    <row r="168" spans="1:15" x14ac:dyDescent="0.35">
      <c r="A168" s="24" t="s">
        <v>232</v>
      </c>
      <c r="B168" s="24" t="str">
        <f t="shared" si="10"/>
        <v>Mỳ cá lócCá lóc</v>
      </c>
      <c r="C168" s="24" t="s">
        <v>8</v>
      </c>
      <c r="D168" t="s">
        <v>20</v>
      </c>
      <c r="E168" t="s">
        <v>286</v>
      </c>
      <c r="F168" s="24" t="s">
        <v>111</v>
      </c>
      <c r="G168" s="17">
        <v>13.5</v>
      </c>
      <c r="H168" s="18">
        <v>70000</v>
      </c>
      <c r="I168" s="18">
        <v>100</v>
      </c>
      <c r="J168" s="17">
        <f t="shared" si="11"/>
        <v>0.13500000000000001</v>
      </c>
      <c r="K168" s="18">
        <f t="shared" si="12"/>
        <v>9450</v>
      </c>
    </row>
    <row r="169" spans="1:15" x14ac:dyDescent="0.35">
      <c r="A169" s="24" t="s">
        <v>233</v>
      </c>
      <c r="B169" s="24" t="str">
        <f t="shared" si="10"/>
        <v>Mỳ cá lócMỳ tươi</v>
      </c>
      <c r="C169" s="24" t="s">
        <v>8</v>
      </c>
      <c r="D169" t="s">
        <v>20</v>
      </c>
      <c r="E169" t="s">
        <v>286</v>
      </c>
      <c r="F169" t="s">
        <v>389</v>
      </c>
      <c r="G169" s="17">
        <v>33</v>
      </c>
      <c r="H169" s="18">
        <v>9500</v>
      </c>
      <c r="I169" s="18">
        <v>100</v>
      </c>
      <c r="J169" s="17">
        <f t="shared" si="11"/>
        <v>0.33</v>
      </c>
      <c r="K169" s="18">
        <f t="shared" si="12"/>
        <v>3135</v>
      </c>
    </row>
    <row r="170" spans="1:15" x14ac:dyDescent="0.35">
      <c r="A170" s="24" t="s">
        <v>233</v>
      </c>
      <c r="B170" s="24" t="str">
        <f t="shared" si="10"/>
        <v>Mỳ cá lócchuối cây cắt sẵn</v>
      </c>
      <c r="C170" s="24" t="s">
        <v>8</v>
      </c>
      <c r="D170" t="s">
        <v>20</v>
      </c>
      <c r="E170" t="s">
        <v>286</v>
      </c>
      <c r="F170" t="s">
        <v>462</v>
      </c>
      <c r="G170" s="17">
        <v>0.5</v>
      </c>
      <c r="H170" s="18">
        <v>15000</v>
      </c>
      <c r="I170" s="18">
        <v>100</v>
      </c>
      <c r="J170" s="17">
        <f t="shared" si="11"/>
        <v>5.0000000000000001E-3</v>
      </c>
      <c r="K170" s="18">
        <f t="shared" si="12"/>
        <v>75</v>
      </c>
    </row>
    <row r="171" spans="1:15" x14ac:dyDescent="0.35">
      <c r="A171" s="24" t="s">
        <v>232</v>
      </c>
      <c r="B171" s="24" t="str">
        <f t="shared" si="10"/>
        <v>Cá nhói kho nghệCá nhói</v>
      </c>
      <c r="C171" t="s">
        <v>8</v>
      </c>
      <c r="D171" t="s">
        <v>18</v>
      </c>
      <c r="E171" t="s">
        <v>151</v>
      </c>
      <c r="F171" t="s">
        <v>152</v>
      </c>
      <c r="G171" s="17">
        <v>14</v>
      </c>
      <c r="H171" s="18">
        <v>48000</v>
      </c>
      <c r="I171" s="18">
        <v>120</v>
      </c>
      <c r="J171" s="17">
        <f t="shared" si="11"/>
        <v>0.11666666666666667</v>
      </c>
      <c r="K171" s="18">
        <f t="shared" si="12"/>
        <v>5600</v>
      </c>
      <c r="O171" s="130"/>
    </row>
    <row r="172" spans="1:15" x14ac:dyDescent="0.35">
      <c r="A172" s="24" t="s">
        <v>233</v>
      </c>
      <c r="B172" s="24" t="str">
        <f t="shared" si="10"/>
        <v xml:space="preserve">Cá nhói kho nghệNén </v>
      </c>
      <c r="C172" t="s">
        <v>8</v>
      </c>
      <c r="D172" t="s">
        <v>18</v>
      </c>
      <c r="E172" t="s">
        <v>151</v>
      </c>
      <c r="F172" t="s">
        <v>153</v>
      </c>
      <c r="G172" s="17">
        <v>1</v>
      </c>
      <c r="H172" s="18">
        <v>60000</v>
      </c>
      <c r="I172" s="18">
        <v>120</v>
      </c>
      <c r="J172" s="17">
        <f t="shared" si="11"/>
        <v>8.3333333333333332E-3</v>
      </c>
      <c r="K172" s="18">
        <f t="shared" si="12"/>
        <v>500</v>
      </c>
      <c r="O172" s="130">
        <f t="shared" ref="O171:O173" si="14">G172*1.1</f>
        <v>1.1000000000000001</v>
      </c>
    </row>
    <row r="173" spans="1:15" x14ac:dyDescent="0.35">
      <c r="A173" s="24" t="s">
        <v>233</v>
      </c>
      <c r="B173" s="24" t="str">
        <f t="shared" si="10"/>
        <v>Cá nhói kho nghệNghệ</v>
      </c>
      <c r="C173" t="s">
        <v>8</v>
      </c>
      <c r="D173" t="s">
        <v>18</v>
      </c>
      <c r="E173" t="s">
        <v>151</v>
      </c>
      <c r="F173" t="s">
        <v>154</v>
      </c>
      <c r="G173" s="17">
        <v>1</v>
      </c>
      <c r="H173" s="18">
        <v>22000</v>
      </c>
      <c r="I173" s="18">
        <v>120</v>
      </c>
      <c r="J173" s="17">
        <f t="shared" si="11"/>
        <v>8.3333333333333332E-3</v>
      </c>
      <c r="K173" s="18">
        <f t="shared" si="12"/>
        <v>183.33333333333334</v>
      </c>
      <c r="O173" s="130">
        <f t="shared" si="14"/>
        <v>1.1000000000000001</v>
      </c>
    </row>
    <row r="174" spans="1:15" x14ac:dyDescent="0.35">
      <c r="A174" s="24" t="s">
        <v>233</v>
      </c>
      <c r="B174" s="24" t="str">
        <f t="shared" si="10"/>
        <v>Cà tím mỡ hànhCà tím</v>
      </c>
      <c r="C174" t="s">
        <v>8</v>
      </c>
      <c r="D174" t="s">
        <v>47</v>
      </c>
      <c r="E174" t="s">
        <v>155</v>
      </c>
      <c r="F174" t="s">
        <v>156</v>
      </c>
      <c r="G174" s="17">
        <v>9.5</v>
      </c>
      <c r="H174" s="18">
        <v>11000</v>
      </c>
      <c r="I174" s="18">
        <v>100</v>
      </c>
      <c r="J174" s="17">
        <f t="shared" si="11"/>
        <v>9.5000000000000001E-2</v>
      </c>
      <c r="K174" s="18">
        <f t="shared" si="12"/>
        <v>1045</v>
      </c>
    </row>
    <row r="175" spans="1:15" x14ac:dyDescent="0.35">
      <c r="A175" s="24" t="s">
        <v>233</v>
      </c>
      <c r="B175" s="24" t="str">
        <f t="shared" si="10"/>
        <v>Sườn honSườn</v>
      </c>
      <c r="C175" t="s">
        <v>8</v>
      </c>
      <c r="D175" t="s">
        <v>18</v>
      </c>
      <c r="E175" t="s">
        <v>158</v>
      </c>
      <c r="F175" t="s">
        <v>123</v>
      </c>
      <c r="G175" s="17">
        <v>3</v>
      </c>
      <c r="H175" s="18">
        <v>95000</v>
      </c>
      <c r="I175" s="18">
        <v>40</v>
      </c>
      <c r="J175" s="17">
        <f t="shared" si="11"/>
        <v>7.4999999999999997E-2</v>
      </c>
      <c r="K175" s="18">
        <f t="shared" si="12"/>
        <v>7125</v>
      </c>
      <c r="O175" s="130">
        <f>G175*1.1</f>
        <v>3.3000000000000003</v>
      </c>
    </row>
    <row r="176" spans="1:15" x14ac:dyDescent="0.35">
      <c r="A176" s="24" t="s">
        <v>233</v>
      </c>
      <c r="B176" s="24" t="str">
        <f t="shared" si="10"/>
        <v>Su trắng xàoSu trắng</v>
      </c>
      <c r="C176" t="s">
        <v>8</v>
      </c>
      <c r="D176" t="s">
        <v>47</v>
      </c>
      <c r="E176" t="s">
        <v>159</v>
      </c>
      <c r="F176" t="s">
        <v>39</v>
      </c>
      <c r="G176" s="17">
        <v>9</v>
      </c>
      <c r="H176" s="18">
        <v>10000</v>
      </c>
      <c r="I176" s="18">
        <v>100</v>
      </c>
      <c r="J176" s="17">
        <f t="shared" si="11"/>
        <v>0.09</v>
      </c>
      <c r="K176" s="18">
        <f t="shared" si="12"/>
        <v>900</v>
      </c>
    </row>
    <row r="177" spans="1:15" x14ac:dyDescent="0.35">
      <c r="A177" s="24" t="s">
        <v>232</v>
      </c>
      <c r="B177" s="24" t="str">
        <f t="shared" si="10"/>
        <v>Cá diêu hồng kho tiêuCá diêu hồng</v>
      </c>
      <c r="C177" t="s">
        <v>8</v>
      </c>
      <c r="D177" t="s">
        <v>18</v>
      </c>
      <c r="E177" t="s">
        <v>160</v>
      </c>
      <c r="F177" t="s">
        <v>161</v>
      </c>
      <c r="G177" s="17">
        <v>55</v>
      </c>
      <c r="H177" s="18">
        <v>65000</v>
      </c>
      <c r="I177" s="18">
        <v>378</v>
      </c>
      <c r="J177" s="17">
        <f t="shared" si="11"/>
        <v>0.14550264550264549</v>
      </c>
      <c r="K177" s="18">
        <f t="shared" si="12"/>
        <v>9457.671957671957</v>
      </c>
      <c r="O177" s="130"/>
    </row>
    <row r="178" spans="1:15" x14ac:dyDescent="0.35">
      <c r="A178" s="24" t="s">
        <v>232</v>
      </c>
      <c r="B178" s="24" t="str">
        <f t="shared" si="10"/>
        <v>Vịt kho măngVịt</v>
      </c>
      <c r="C178" t="s">
        <v>8</v>
      </c>
      <c r="D178" t="s">
        <v>18</v>
      </c>
      <c r="E178" t="s">
        <v>162</v>
      </c>
      <c r="F178" t="s">
        <v>163</v>
      </c>
      <c r="G178" s="17">
        <v>13.5</v>
      </c>
      <c r="H178" s="18">
        <v>65000</v>
      </c>
      <c r="I178" s="18">
        <v>100</v>
      </c>
      <c r="J178" s="17">
        <f t="shared" si="11"/>
        <v>0.13500000000000001</v>
      </c>
      <c r="K178" s="18">
        <f t="shared" si="12"/>
        <v>8775</v>
      </c>
      <c r="O178" s="130"/>
    </row>
    <row r="179" spans="1:15" x14ac:dyDescent="0.35">
      <c r="A179" s="24" t="s">
        <v>233</v>
      </c>
      <c r="B179" s="24" t="str">
        <f t="shared" si="10"/>
        <v>Vịt kho măngMăng</v>
      </c>
      <c r="C179" t="s">
        <v>8</v>
      </c>
      <c r="D179" t="s">
        <v>18</v>
      </c>
      <c r="E179" t="s">
        <v>162</v>
      </c>
      <c r="F179" t="s">
        <v>117</v>
      </c>
      <c r="G179" s="17">
        <v>2</v>
      </c>
      <c r="H179" s="18">
        <v>25000</v>
      </c>
      <c r="I179" s="18">
        <v>103</v>
      </c>
      <c r="J179" s="17">
        <f t="shared" si="11"/>
        <v>1.9417475728155338E-2</v>
      </c>
      <c r="K179" s="18">
        <f t="shared" si="12"/>
        <v>485.43689320388347</v>
      </c>
      <c r="O179" s="130">
        <f t="shared" ref="O177:O179" si="15">G179*1.1</f>
        <v>2.2000000000000002</v>
      </c>
    </row>
    <row r="180" spans="1:15" x14ac:dyDescent="0.35">
      <c r="A180" s="24" t="s">
        <v>232</v>
      </c>
      <c r="B180" s="24" t="str">
        <f t="shared" si="10"/>
        <v>Chả lá lốtChả quết</v>
      </c>
      <c r="C180" t="s">
        <v>8</v>
      </c>
      <c r="D180" t="s">
        <v>19</v>
      </c>
      <c r="E180" t="s">
        <v>164</v>
      </c>
      <c r="F180" t="s">
        <v>166</v>
      </c>
      <c r="G180" s="17">
        <v>1.5</v>
      </c>
      <c r="H180" s="18">
        <v>120000</v>
      </c>
      <c r="I180" s="18">
        <v>100</v>
      </c>
      <c r="J180" s="17">
        <f t="shared" si="11"/>
        <v>1.4999999999999999E-2</v>
      </c>
      <c r="K180" s="18">
        <f t="shared" si="12"/>
        <v>1800</v>
      </c>
    </row>
    <row r="181" spans="1:15" x14ac:dyDescent="0.35">
      <c r="A181" s="24" t="s">
        <v>233</v>
      </c>
      <c r="B181" s="24" t="str">
        <f t="shared" si="10"/>
        <v>Chả lá lốtLá lốt</v>
      </c>
      <c r="C181" t="s">
        <v>8</v>
      </c>
      <c r="D181" t="s">
        <v>19</v>
      </c>
      <c r="E181" t="s">
        <v>164</v>
      </c>
      <c r="F181" t="s">
        <v>165</v>
      </c>
      <c r="G181" s="16">
        <v>4</v>
      </c>
      <c r="H181" s="2">
        <v>12000</v>
      </c>
      <c r="I181" s="18">
        <v>774</v>
      </c>
      <c r="J181" s="17">
        <f t="shared" si="11"/>
        <v>5.1679586563307496E-3</v>
      </c>
      <c r="K181" s="18">
        <f t="shared" si="12"/>
        <v>62.015503875968989</v>
      </c>
    </row>
    <row r="182" spans="1:15" x14ac:dyDescent="0.35">
      <c r="A182" s="24" t="s">
        <v>232</v>
      </c>
      <c r="B182" s="24" t="str">
        <f t="shared" si="10"/>
        <v>Chả lá lốtBột nở</v>
      </c>
      <c r="C182" t="s">
        <v>8</v>
      </c>
      <c r="D182" t="s">
        <v>19</v>
      </c>
      <c r="E182" t="s">
        <v>164</v>
      </c>
      <c r="F182" t="s">
        <v>348</v>
      </c>
      <c r="G182" s="16">
        <v>2.5</v>
      </c>
      <c r="H182" s="2">
        <v>25000</v>
      </c>
      <c r="I182" s="18">
        <v>774</v>
      </c>
      <c r="J182" s="17">
        <f t="shared" si="11"/>
        <v>3.2299741602067182E-3</v>
      </c>
      <c r="K182" s="18">
        <f t="shared" si="12"/>
        <v>80.749354005167959</v>
      </c>
    </row>
    <row r="183" spans="1:15" x14ac:dyDescent="0.35">
      <c r="A183" s="24" t="s">
        <v>232</v>
      </c>
      <c r="B183" s="24" t="str">
        <f t="shared" si="10"/>
        <v>Chả lá lốtThịt xay</v>
      </c>
      <c r="C183" t="s">
        <v>8</v>
      </c>
      <c r="D183" t="s">
        <v>19</v>
      </c>
      <c r="E183" t="s">
        <v>164</v>
      </c>
      <c r="F183" t="s">
        <v>31</v>
      </c>
      <c r="G183" s="16">
        <v>2</v>
      </c>
      <c r="H183" s="2">
        <v>80000</v>
      </c>
      <c r="I183" s="18">
        <v>100</v>
      </c>
      <c r="J183" s="17">
        <f t="shared" si="11"/>
        <v>0.02</v>
      </c>
      <c r="K183" s="18">
        <f t="shared" si="12"/>
        <v>1600</v>
      </c>
    </row>
    <row r="184" spans="1:15" x14ac:dyDescent="0.35">
      <c r="A184" s="24" t="s">
        <v>232</v>
      </c>
      <c r="B184" s="24" t="str">
        <f t="shared" si="10"/>
        <v>Tôm rim trứng cútTôm</v>
      </c>
      <c r="C184" t="s">
        <v>8</v>
      </c>
      <c r="D184" t="s">
        <v>18</v>
      </c>
      <c r="E184" t="s">
        <v>168</v>
      </c>
      <c r="F184" t="s">
        <v>37</v>
      </c>
      <c r="G184" s="17">
        <v>5</v>
      </c>
      <c r="H184" s="18">
        <v>100000</v>
      </c>
      <c r="I184" s="18">
        <v>100</v>
      </c>
      <c r="J184" s="17">
        <f t="shared" si="11"/>
        <v>0.05</v>
      </c>
      <c r="K184" s="18">
        <f t="shared" si="12"/>
        <v>5000</v>
      </c>
      <c r="O184" s="130"/>
    </row>
    <row r="185" spans="1:15" x14ac:dyDescent="0.35">
      <c r="A185" s="24" t="s">
        <v>233</v>
      </c>
      <c r="B185" s="24" t="str">
        <f t="shared" si="10"/>
        <v>Tôm rim trứng cútTrứng cút</v>
      </c>
      <c r="C185" t="s">
        <v>8</v>
      </c>
      <c r="D185" t="s">
        <v>18</v>
      </c>
      <c r="E185" t="s">
        <v>168</v>
      </c>
      <c r="F185" t="s">
        <v>169</v>
      </c>
      <c r="G185" s="17">
        <v>770</v>
      </c>
      <c r="H185" s="18">
        <v>550</v>
      </c>
      <c r="I185" s="18">
        <v>250</v>
      </c>
      <c r="J185" s="17">
        <f t="shared" si="11"/>
        <v>3.08</v>
      </c>
      <c r="K185" s="18">
        <f t="shared" si="12"/>
        <v>1694</v>
      </c>
      <c r="O185" s="130">
        <f t="shared" ref="O184:O185" si="16">G185*1.1</f>
        <v>847.00000000000011</v>
      </c>
    </row>
    <row r="186" spans="1:15" x14ac:dyDescent="0.35">
      <c r="A186" s="24" t="s">
        <v>233</v>
      </c>
      <c r="B186" s="24" t="str">
        <f t="shared" si="10"/>
        <v>Rau lang luộc Rau lang</v>
      </c>
      <c r="C186" s="24" t="s">
        <v>8</v>
      </c>
      <c r="D186" t="s">
        <v>47</v>
      </c>
      <c r="E186" t="s">
        <v>171</v>
      </c>
      <c r="F186" t="s">
        <v>170</v>
      </c>
      <c r="G186" s="17">
        <v>8.5</v>
      </c>
      <c r="H186" s="18">
        <v>19000</v>
      </c>
      <c r="I186" s="18">
        <v>100</v>
      </c>
      <c r="J186" s="17">
        <f t="shared" si="11"/>
        <v>8.5000000000000006E-2</v>
      </c>
      <c r="K186" s="18">
        <f t="shared" si="12"/>
        <v>1615</v>
      </c>
    </row>
    <row r="187" spans="1:15" x14ac:dyDescent="0.35">
      <c r="A187" s="24" t="s">
        <v>232</v>
      </c>
      <c r="B187" s="24" t="str">
        <f t="shared" si="10"/>
        <v>Cá bạc má khoCá bạc má</v>
      </c>
      <c r="C187" t="s">
        <v>8</v>
      </c>
      <c r="D187" t="s">
        <v>18</v>
      </c>
      <c r="E187" t="s">
        <v>172</v>
      </c>
      <c r="F187" t="s">
        <v>173</v>
      </c>
      <c r="G187" s="17">
        <v>12</v>
      </c>
      <c r="H187" s="18">
        <v>42000</v>
      </c>
      <c r="I187" s="18">
        <v>100</v>
      </c>
      <c r="J187" s="17">
        <f t="shared" si="11"/>
        <v>0.12</v>
      </c>
      <c r="K187" s="18">
        <f t="shared" si="12"/>
        <v>5040</v>
      </c>
      <c r="O187" s="130"/>
    </row>
    <row r="188" spans="1:15" x14ac:dyDescent="0.35">
      <c r="A188" s="24" t="s">
        <v>233</v>
      </c>
      <c r="B188" s="24" t="str">
        <f t="shared" si="10"/>
        <v>Củ cải xàocủ cải</v>
      </c>
      <c r="C188" t="s">
        <v>8</v>
      </c>
      <c r="D188" t="s">
        <v>47</v>
      </c>
      <c r="E188" t="s">
        <v>174</v>
      </c>
      <c r="F188" t="s">
        <v>175</v>
      </c>
      <c r="G188" s="17">
        <v>10.5</v>
      </c>
      <c r="H188" s="18">
        <v>8000</v>
      </c>
      <c r="I188" s="18">
        <v>110</v>
      </c>
      <c r="J188" s="17">
        <f t="shared" si="11"/>
        <v>9.5454545454545459E-2</v>
      </c>
      <c r="K188" s="18">
        <f t="shared" si="12"/>
        <v>763.63636363636363</v>
      </c>
    </row>
    <row r="189" spans="1:15" x14ac:dyDescent="0.35">
      <c r="A189" s="24" t="s">
        <v>233</v>
      </c>
      <c r="B189" s="24" t="str">
        <f t="shared" si="10"/>
        <v>Khổ qua thịt bằmKhổ qua</v>
      </c>
      <c r="C189" s="24" t="s">
        <v>8</v>
      </c>
      <c r="D189" t="s">
        <v>48</v>
      </c>
      <c r="E189" t="s">
        <v>177</v>
      </c>
      <c r="F189" t="s">
        <v>178</v>
      </c>
      <c r="G189" s="17">
        <v>4</v>
      </c>
      <c r="H189" s="18">
        <v>16000</v>
      </c>
      <c r="I189" s="18">
        <v>109</v>
      </c>
      <c r="J189" s="17">
        <f t="shared" si="11"/>
        <v>3.669724770642202E-2</v>
      </c>
      <c r="K189" s="18">
        <f t="shared" si="12"/>
        <v>587.1559633027523</v>
      </c>
    </row>
    <row r="190" spans="1:15" x14ac:dyDescent="0.35">
      <c r="A190" s="24" t="s">
        <v>232</v>
      </c>
      <c r="B190" s="24" t="str">
        <f t="shared" si="10"/>
        <v>Khổ qua thịt bằmThịt bằm</v>
      </c>
      <c r="C190" s="24" t="s">
        <v>8</v>
      </c>
      <c r="D190" t="s">
        <v>48</v>
      </c>
      <c r="E190" t="s">
        <v>177</v>
      </c>
      <c r="F190" t="s">
        <v>50</v>
      </c>
      <c r="G190" s="17">
        <v>0.3</v>
      </c>
      <c r="H190" s="18">
        <v>80000</v>
      </c>
      <c r="I190" s="18">
        <v>109</v>
      </c>
      <c r="J190" s="17">
        <f t="shared" si="11"/>
        <v>2.7522935779816511E-3</v>
      </c>
      <c r="K190" s="18">
        <f t="shared" si="12"/>
        <v>220.18348623853211</v>
      </c>
    </row>
    <row r="191" spans="1:15" x14ac:dyDescent="0.35">
      <c r="A191" s="24" t="s">
        <v>233</v>
      </c>
      <c r="B191" s="24" t="str">
        <f>E191&amp;F191</f>
        <v>Khổ qua nấu tômKhổ qua</v>
      </c>
      <c r="C191" s="24" t="s">
        <v>8</v>
      </c>
      <c r="D191" t="s">
        <v>12</v>
      </c>
      <c r="E191" t="s">
        <v>335</v>
      </c>
      <c r="F191" t="s">
        <v>178</v>
      </c>
      <c r="G191" s="17">
        <v>4</v>
      </c>
      <c r="H191" s="18">
        <v>16000</v>
      </c>
      <c r="I191" s="18">
        <v>109</v>
      </c>
      <c r="J191" s="17">
        <f>G191/I191</f>
        <v>3.669724770642202E-2</v>
      </c>
      <c r="K191" s="18">
        <f>(G191*H191)/I191</f>
        <v>587.1559633027523</v>
      </c>
    </row>
    <row r="192" spans="1:15" x14ac:dyDescent="0.35">
      <c r="A192" s="24" t="s">
        <v>232</v>
      </c>
      <c r="B192" s="24" t="str">
        <f>E192&amp;F192</f>
        <v>Khổ qua nấu tômTôm</v>
      </c>
      <c r="C192" s="24" t="s">
        <v>8</v>
      </c>
      <c r="D192" t="s">
        <v>12</v>
      </c>
      <c r="E192" t="s">
        <v>335</v>
      </c>
      <c r="F192" t="s">
        <v>37</v>
      </c>
      <c r="G192" s="17">
        <v>0.4</v>
      </c>
      <c r="H192" s="18">
        <v>130000</v>
      </c>
      <c r="I192" s="18">
        <v>120</v>
      </c>
      <c r="J192" s="17">
        <f>G192/I192</f>
        <v>3.3333333333333335E-3</v>
      </c>
      <c r="K192" s="18">
        <f>(G192*H192)/I192</f>
        <v>433.33333333333331</v>
      </c>
    </row>
    <row r="193" spans="1:15" x14ac:dyDescent="0.35">
      <c r="A193" s="24" t="s">
        <v>232</v>
      </c>
      <c r="B193" s="24" t="str">
        <f t="shared" si="10"/>
        <v xml:space="preserve">Bầu nấu tômTôm </v>
      </c>
      <c r="C193" s="24" t="s">
        <v>8</v>
      </c>
      <c r="D193" t="s">
        <v>48</v>
      </c>
      <c r="E193" t="s">
        <v>179</v>
      </c>
      <c r="F193" t="s">
        <v>180</v>
      </c>
      <c r="G193" s="17">
        <v>0.4</v>
      </c>
      <c r="H193" s="18">
        <v>115000</v>
      </c>
      <c r="I193" s="18">
        <v>120</v>
      </c>
      <c r="J193" s="17">
        <f t="shared" si="11"/>
        <v>3.3333333333333335E-3</v>
      </c>
      <c r="K193" s="18">
        <f t="shared" si="12"/>
        <v>383.33333333333331</v>
      </c>
    </row>
    <row r="194" spans="1:15" x14ac:dyDescent="0.35">
      <c r="A194" s="24" t="s">
        <v>233</v>
      </c>
      <c r="B194" s="24" t="str">
        <f t="shared" si="10"/>
        <v>Bầu nấu tômBầu</v>
      </c>
      <c r="C194" s="24" t="s">
        <v>8</v>
      </c>
      <c r="D194" t="s">
        <v>48</v>
      </c>
      <c r="E194" t="s">
        <v>179</v>
      </c>
      <c r="F194" t="s">
        <v>96</v>
      </c>
      <c r="G194" s="17">
        <v>4</v>
      </c>
      <c r="H194" s="18">
        <v>12000</v>
      </c>
      <c r="I194" s="18">
        <v>120</v>
      </c>
      <c r="J194" s="17">
        <f t="shared" si="11"/>
        <v>3.3333333333333333E-2</v>
      </c>
      <c r="K194" s="18">
        <f t="shared" si="12"/>
        <v>400</v>
      </c>
    </row>
    <row r="195" spans="1:15" x14ac:dyDescent="0.35">
      <c r="A195" s="24" t="s">
        <v>232</v>
      </c>
      <c r="B195" s="24" t="str">
        <f t="shared" si="10"/>
        <v>Cơm gà chiên mắmmá đùi gà</v>
      </c>
      <c r="C195" s="24" t="s">
        <v>8</v>
      </c>
      <c r="D195" t="s">
        <v>18</v>
      </c>
      <c r="E195" t="s">
        <v>181</v>
      </c>
      <c r="F195" t="s">
        <v>464</v>
      </c>
      <c r="G195" s="17">
        <v>15</v>
      </c>
      <c r="H195" s="18">
        <v>40000</v>
      </c>
      <c r="I195" s="18">
        <v>100</v>
      </c>
      <c r="J195" s="17">
        <f t="shared" si="11"/>
        <v>0.15</v>
      </c>
      <c r="K195" s="18">
        <f t="shared" si="12"/>
        <v>6000</v>
      </c>
      <c r="O195" s="130"/>
    </row>
    <row r="196" spans="1:15" x14ac:dyDescent="0.35">
      <c r="A196" s="24" t="s">
        <v>232</v>
      </c>
      <c r="B196" s="24" t="str">
        <f t="shared" si="10"/>
        <v>Trứng luộcTrứng gà</v>
      </c>
      <c r="C196" s="24" t="s">
        <v>8</v>
      </c>
      <c r="D196" t="s">
        <v>19</v>
      </c>
      <c r="E196" t="s">
        <v>182</v>
      </c>
      <c r="F196" t="s">
        <v>13</v>
      </c>
      <c r="G196" s="17">
        <v>238</v>
      </c>
      <c r="H196" s="18">
        <v>2200</v>
      </c>
      <c r="I196" s="18">
        <v>238</v>
      </c>
      <c r="J196" s="17">
        <f t="shared" si="11"/>
        <v>1</v>
      </c>
      <c r="K196" s="18">
        <f t="shared" si="12"/>
        <v>2200</v>
      </c>
    </row>
    <row r="197" spans="1:15" x14ac:dyDescent="0.35">
      <c r="A197" s="24" t="s">
        <v>232</v>
      </c>
      <c r="B197" s="24" t="str">
        <f t="shared" si="10"/>
        <v>Cơm sườn kim chiCốt lết</v>
      </c>
      <c r="C197" s="24" t="s">
        <v>8</v>
      </c>
      <c r="D197" t="s">
        <v>18</v>
      </c>
      <c r="E197" t="s">
        <v>184</v>
      </c>
      <c r="F197" t="s">
        <v>87</v>
      </c>
      <c r="G197" s="17">
        <v>11</v>
      </c>
      <c r="H197" s="18">
        <v>100000</v>
      </c>
      <c r="I197" s="18">
        <v>100</v>
      </c>
      <c r="J197" s="17">
        <f t="shared" si="11"/>
        <v>0.11</v>
      </c>
      <c r="K197" s="18">
        <f t="shared" si="12"/>
        <v>11000</v>
      </c>
      <c r="O197" s="130"/>
    </row>
    <row r="198" spans="1:15" x14ac:dyDescent="0.35">
      <c r="A198" s="24" t="s">
        <v>233</v>
      </c>
      <c r="B198" s="24" t="str">
        <f t="shared" si="10"/>
        <v>Cơm sườn kim chiSả</v>
      </c>
      <c r="C198" s="24" t="s">
        <v>8</v>
      </c>
      <c r="D198" t="s">
        <v>18</v>
      </c>
      <c r="E198" t="s">
        <v>184</v>
      </c>
      <c r="F198" t="s">
        <v>207</v>
      </c>
      <c r="G198" s="17">
        <v>0.6</v>
      </c>
      <c r="H198" s="18">
        <v>10000</v>
      </c>
      <c r="I198" s="18">
        <v>100</v>
      </c>
      <c r="J198" s="17">
        <f t="shared" si="11"/>
        <v>6.0000000000000001E-3</v>
      </c>
      <c r="K198" s="18">
        <f t="shared" si="12"/>
        <v>60</v>
      </c>
      <c r="O198" s="130">
        <f t="shared" ref="O197:O202" si="17">G198*1.1</f>
        <v>0.66</v>
      </c>
    </row>
    <row r="199" spans="1:15" x14ac:dyDescent="0.35">
      <c r="A199" s="24" t="s">
        <v>233</v>
      </c>
      <c r="B199" s="24" t="str">
        <f t="shared" si="10"/>
        <v xml:space="preserve">Cơm sườn kim chiCải thảo </v>
      </c>
      <c r="C199" s="24" t="s">
        <v>8</v>
      </c>
      <c r="D199" t="s">
        <v>18</v>
      </c>
      <c r="E199" t="s">
        <v>184</v>
      </c>
      <c r="F199" t="s">
        <v>186</v>
      </c>
      <c r="G199" s="17">
        <v>3</v>
      </c>
      <c r="H199" s="18">
        <v>14000</v>
      </c>
      <c r="I199" s="18">
        <v>100</v>
      </c>
      <c r="J199" s="17">
        <f t="shared" si="11"/>
        <v>0.03</v>
      </c>
      <c r="K199" s="18">
        <f t="shared" si="12"/>
        <v>420</v>
      </c>
      <c r="O199" s="130">
        <f t="shared" si="17"/>
        <v>3.3000000000000003</v>
      </c>
    </row>
    <row r="200" spans="1:15" x14ac:dyDescent="0.35">
      <c r="A200" s="24" t="s">
        <v>233</v>
      </c>
      <c r="B200" s="24" t="str">
        <f t="shared" si="10"/>
        <v>Cơm sườn kim chiCà rốt</v>
      </c>
      <c r="C200" s="24" t="s">
        <v>8</v>
      </c>
      <c r="D200" t="s">
        <v>18</v>
      </c>
      <c r="E200" t="s">
        <v>184</v>
      </c>
      <c r="F200" t="s">
        <v>78</v>
      </c>
      <c r="G200" s="17">
        <v>3</v>
      </c>
      <c r="H200" s="18">
        <v>15000</v>
      </c>
      <c r="I200" s="18">
        <v>100</v>
      </c>
      <c r="J200" s="17">
        <f t="shared" si="11"/>
        <v>0.03</v>
      </c>
      <c r="K200" s="18">
        <f t="shared" si="12"/>
        <v>450</v>
      </c>
      <c r="O200" s="130">
        <f t="shared" si="17"/>
        <v>3.3000000000000003</v>
      </c>
    </row>
    <row r="201" spans="1:15" x14ac:dyDescent="0.35">
      <c r="A201" s="24" t="s">
        <v>233</v>
      </c>
      <c r="B201" s="24" t="str">
        <f t="shared" si="10"/>
        <v>Cơm sườn kim chicủ cải</v>
      </c>
      <c r="C201" s="24" t="s">
        <v>8</v>
      </c>
      <c r="D201" t="s">
        <v>18</v>
      </c>
      <c r="E201" t="s">
        <v>184</v>
      </c>
      <c r="F201" t="s">
        <v>175</v>
      </c>
      <c r="G201" s="17">
        <v>3</v>
      </c>
      <c r="H201" s="18">
        <v>8000</v>
      </c>
      <c r="I201" s="18">
        <v>100</v>
      </c>
      <c r="J201" s="17">
        <f t="shared" si="11"/>
        <v>0.03</v>
      </c>
      <c r="K201" s="18">
        <f t="shared" si="12"/>
        <v>240</v>
      </c>
      <c r="O201" s="130">
        <f t="shared" si="17"/>
        <v>3.3000000000000003</v>
      </c>
    </row>
    <row r="202" spans="1:15" x14ac:dyDescent="0.35">
      <c r="A202" s="24" t="s">
        <v>233</v>
      </c>
      <c r="B202" s="24" t="str">
        <f t="shared" si="10"/>
        <v>Cơm sườn kim chiỚt sừng</v>
      </c>
      <c r="C202" s="24" t="s">
        <v>8</v>
      </c>
      <c r="D202" t="s">
        <v>18</v>
      </c>
      <c r="E202" t="s">
        <v>184</v>
      </c>
      <c r="F202" t="s">
        <v>203</v>
      </c>
      <c r="G202" s="17">
        <v>0.5</v>
      </c>
      <c r="H202" s="18">
        <v>40000</v>
      </c>
      <c r="I202" s="18">
        <v>100</v>
      </c>
      <c r="J202" s="17">
        <f t="shared" si="11"/>
        <v>5.0000000000000001E-3</v>
      </c>
      <c r="K202" s="18">
        <f t="shared" si="12"/>
        <v>200</v>
      </c>
      <c r="O202" s="130">
        <f t="shared" si="17"/>
        <v>0.55000000000000004</v>
      </c>
    </row>
    <row r="203" spans="1:15" x14ac:dyDescent="0.35">
      <c r="A203" s="24" t="s">
        <v>232</v>
      </c>
      <c r="B203" s="24" t="str">
        <f t="shared" si="10"/>
        <v>Trứng ốp laTrứng gà (cái)</v>
      </c>
      <c r="C203" s="24" t="s">
        <v>8</v>
      </c>
      <c r="D203" t="s">
        <v>19</v>
      </c>
      <c r="E203" t="s">
        <v>185</v>
      </c>
      <c r="F203" t="s">
        <v>183</v>
      </c>
      <c r="G203" s="17">
        <v>74</v>
      </c>
      <c r="H203" s="18">
        <v>2200</v>
      </c>
      <c r="I203" s="18">
        <v>74</v>
      </c>
      <c r="J203" s="17">
        <f t="shared" si="11"/>
        <v>1</v>
      </c>
      <c r="K203" s="18">
        <f t="shared" si="12"/>
        <v>2200</v>
      </c>
    </row>
    <row r="204" spans="1:15" x14ac:dyDescent="0.35">
      <c r="A204" s="24" t="s">
        <v>233</v>
      </c>
      <c r="B204" s="24" t="str">
        <f t="shared" si="10"/>
        <v>Canh chua trứngTrứng</v>
      </c>
      <c r="C204" t="s">
        <v>8</v>
      </c>
      <c r="D204" t="s">
        <v>48</v>
      </c>
      <c r="E204" t="s">
        <v>187</v>
      </c>
      <c r="F204" t="s">
        <v>188</v>
      </c>
      <c r="G204" s="17">
        <v>10</v>
      </c>
      <c r="H204" s="18">
        <v>2200</v>
      </c>
      <c r="I204" s="18">
        <v>74</v>
      </c>
      <c r="J204" s="17">
        <f t="shared" si="11"/>
        <v>0.13513513513513514</v>
      </c>
      <c r="K204" s="18">
        <f t="shared" si="12"/>
        <v>297.29729729729729</v>
      </c>
    </row>
    <row r="205" spans="1:15" x14ac:dyDescent="0.35">
      <c r="A205" s="24" t="s">
        <v>233</v>
      </c>
      <c r="B205" s="24" t="str">
        <f t="shared" si="10"/>
        <v>Canh chua trứngMăng chua</v>
      </c>
      <c r="C205" t="s">
        <v>8</v>
      </c>
      <c r="D205" t="s">
        <v>48</v>
      </c>
      <c r="E205" t="s">
        <v>187</v>
      </c>
      <c r="F205" t="s">
        <v>189</v>
      </c>
      <c r="G205" s="17">
        <v>1</v>
      </c>
      <c r="H205" s="18">
        <v>25000</v>
      </c>
      <c r="I205" s="18">
        <v>74</v>
      </c>
      <c r="J205" s="17">
        <f t="shared" si="11"/>
        <v>1.3513513513513514E-2</v>
      </c>
      <c r="K205" s="18">
        <f t="shared" si="12"/>
        <v>337.83783783783781</v>
      </c>
    </row>
    <row r="206" spans="1:15" x14ac:dyDescent="0.35">
      <c r="A206" s="24" t="s">
        <v>232</v>
      </c>
      <c r="B206" s="24" t="str">
        <f t="shared" si="10"/>
        <v xml:space="preserve">Bò lúc lắcBò </v>
      </c>
      <c r="C206" s="24" t="s">
        <v>8</v>
      </c>
      <c r="D206" t="s">
        <v>18</v>
      </c>
      <c r="E206" t="s">
        <v>195</v>
      </c>
      <c r="F206" t="s">
        <v>130</v>
      </c>
      <c r="G206" s="17">
        <v>14</v>
      </c>
      <c r="H206" s="18">
        <v>120000</v>
      </c>
      <c r="I206" s="18">
        <v>115</v>
      </c>
      <c r="J206" s="17">
        <f t="shared" si="11"/>
        <v>0.12173913043478261</v>
      </c>
      <c r="K206" s="18">
        <f t="shared" si="12"/>
        <v>14608.695652173914</v>
      </c>
      <c r="N206" s="36"/>
      <c r="O206" s="130"/>
    </row>
    <row r="207" spans="1:15" x14ac:dyDescent="0.35">
      <c r="A207" s="24" t="s">
        <v>233</v>
      </c>
      <c r="B207" s="24" t="str">
        <f t="shared" si="10"/>
        <v>Bò lúc lắcỚt chuông</v>
      </c>
      <c r="C207" s="24" t="s">
        <v>8</v>
      </c>
      <c r="D207" t="s">
        <v>18</v>
      </c>
      <c r="E207" t="s">
        <v>195</v>
      </c>
      <c r="F207" t="s">
        <v>196</v>
      </c>
      <c r="G207" s="17">
        <v>10</v>
      </c>
      <c r="H207" s="18">
        <v>40000</v>
      </c>
      <c r="I207" s="18">
        <v>120</v>
      </c>
      <c r="J207" s="17">
        <f t="shared" si="11"/>
        <v>8.3333333333333329E-2</v>
      </c>
      <c r="K207" s="18">
        <f t="shared" si="12"/>
        <v>3333.3333333333335</v>
      </c>
      <c r="O207" s="130">
        <f t="shared" ref="O206:O210" si="18">G207*1.1</f>
        <v>11</v>
      </c>
    </row>
    <row r="208" spans="1:15" x14ac:dyDescent="0.35">
      <c r="A208" s="24" t="s">
        <v>233</v>
      </c>
      <c r="B208" s="24" t="str">
        <f t="shared" si="10"/>
        <v>Bò lúc lắcThơm</v>
      </c>
      <c r="C208" s="24" t="s">
        <v>8</v>
      </c>
      <c r="D208" t="s">
        <v>18</v>
      </c>
      <c r="E208" t="s">
        <v>195</v>
      </c>
      <c r="F208" t="s">
        <v>4</v>
      </c>
      <c r="G208" s="17">
        <v>5</v>
      </c>
      <c r="H208" s="18">
        <v>17000</v>
      </c>
      <c r="I208" s="18">
        <v>120</v>
      </c>
      <c r="J208" s="17">
        <f t="shared" si="11"/>
        <v>4.1666666666666664E-2</v>
      </c>
      <c r="K208" s="18">
        <f t="shared" si="12"/>
        <v>708.33333333333337</v>
      </c>
      <c r="O208" s="130">
        <f t="shared" si="18"/>
        <v>5.5</v>
      </c>
    </row>
    <row r="209" spans="1:15" x14ac:dyDescent="0.35">
      <c r="A209" s="24" t="s">
        <v>233</v>
      </c>
      <c r="B209" s="24" t="str">
        <f t="shared" ref="B209:B293" si="19">E209&amp;F209</f>
        <v>Bò lúc lắcXà lách</v>
      </c>
      <c r="C209" s="24" t="s">
        <v>8</v>
      </c>
      <c r="D209" t="s">
        <v>18</v>
      </c>
      <c r="E209" t="s">
        <v>195</v>
      </c>
      <c r="F209" t="s">
        <v>197</v>
      </c>
      <c r="G209" s="17">
        <v>3</v>
      </c>
      <c r="H209" s="18">
        <v>22000</v>
      </c>
      <c r="I209" s="18">
        <v>120</v>
      </c>
      <c r="J209" s="17">
        <f t="shared" ref="J209:J293" si="20">G209/I209</f>
        <v>2.5000000000000001E-2</v>
      </c>
      <c r="K209" s="18">
        <f t="shared" si="12"/>
        <v>550</v>
      </c>
      <c r="O209" s="130">
        <f t="shared" si="18"/>
        <v>3.3000000000000003</v>
      </c>
    </row>
    <row r="210" spans="1:15" x14ac:dyDescent="0.35">
      <c r="A210" s="24" t="s">
        <v>233</v>
      </c>
      <c r="B210" s="24" t="str">
        <f t="shared" si="19"/>
        <v>Bò lúc lắcCà chua</v>
      </c>
      <c r="C210" s="24" t="s">
        <v>8</v>
      </c>
      <c r="D210" t="s">
        <v>18</v>
      </c>
      <c r="E210" t="s">
        <v>195</v>
      </c>
      <c r="F210" t="s">
        <v>14</v>
      </c>
      <c r="G210" s="17">
        <v>3</v>
      </c>
      <c r="H210" s="18">
        <v>20000</v>
      </c>
      <c r="I210" s="18">
        <v>120</v>
      </c>
      <c r="J210" s="17">
        <f t="shared" si="20"/>
        <v>2.5000000000000001E-2</v>
      </c>
      <c r="K210" s="18">
        <f t="shared" ref="K210:K283" si="21">(G210*H210)/I210</f>
        <v>500</v>
      </c>
      <c r="O210" s="130">
        <f t="shared" si="18"/>
        <v>3.3000000000000003</v>
      </c>
    </row>
    <row r="211" spans="1:15" x14ac:dyDescent="0.35">
      <c r="A211" s="24" t="s">
        <v>233</v>
      </c>
      <c r="B211" s="24" t="str">
        <f t="shared" si="19"/>
        <v xml:space="preserve">Khoai tây chiênKhoai tây </v>
      </c>
      <c r="C211" s="24" t="s">
        <v>8</v>
      </c>
      <c r="D211" t="s">
        <v>19</v>
      </c>
      <c r="E211" t="s">
        <v>198</v>
      </c>
      <c r="F211" t="s">
        <v>199</v>
      </c>
      <c r="G211" s="17">
        <v>13</v>
      </c>
      <c r="H211" s="18">
        <v>50000</v>
      </c>
      <c r="I211" s="18">
        <v>120</v>
      </c>
      <c r="J211" s="17">
        <f t="shared" si="20"/>
        <v>0.10833333333333334</v>
      </c>
      <c r="K211" s="18">
        <f t="shared" si="21"/>
        <v>5416.666666666667</v>
      </c>
    </row>
    <row r="212" spans="1:15" x14ac:dyDescent="0.35">
      <c r="A212" s="24" t="s">
        <v>233</v>
      </c>
      <c r="B212" s="24" t="str">
        <f t="shared" si="19"/>
        <v>Canh củ quả đặc biệtBắp</v>
      </c>
      <c r="C212" s="24" t="s">
        <v>8</v>
      </c>
      <c r="D212" t="s">
        <v>12</v>
      </c>
      <c r="E212" t="s">
        <v>287</v>
      </c>
      <c r="F212" t="s">
        <v>200</v>
      </c>
      <c r="G212" s="17">
        <v>11</v>
      </c>
      <c r="H212" s="18">
        <v>7000</v>
      </c>
      <c r="I212" s="18">
        <v>120</v>
      </c>
      <c r="J212" s="17">
        <f t="shared" si="20"/>
        <v>9.166666666666666E-2</v>
      </c>
      <c r="K212" s="18">
        <f t="shared" si="21"/>
        <v>641.66666666666663</v>
      </c>
    </row>
    <row r="213" spans="1:15" x14ac:dyDescent="0.35">
      <c r="A213" s="24" t="s">
        <v>233</v>
      </c>
      <c r="B213" s="24" t="str">
        <f t="shared" si="19"/>
        <v>Canh củ quả đặc biệtKhoai môn</v>
      </c>
      <c r="C213" s="24" t="s">
        <v>8</v>
      </c>
      <c r="D213" t="s">
        <v>12</v>
      </c>
      <c r="E213" t="s">
        <v>287</v>
      </c>
      <c r="F213" t="s">
        <v>201</v>
      </c>
      <c r="G213" s="17">
        <v>3</v>
      </c>
      <c r="H213" s="18">
        <v>35000</v>
      </c>
      <c r="I213" s="18">
        <v>120</v>
      </c>
      <c r="J213" s="17">
        <f t="shared" si="20"/>
        <v>2.5000000000000001E-2</v>
      </c>
      <c r="K213" s="18">
        <f t="shared" si="21"/>
        <v>875</v>
      </c>
    </row>
    <row r="214" spans="1:15" x14ac:dyDescent="0.35">
      <c r="A214" s="24" t="s">
        <v>233</v>
      </c>
      <c r="B214" s="24" t="str">
        <f t="shared" si="19"/>
        <v>Canh củ quả đặc biệtCà rốt</v>
      </c>
      <c r="C214" s="24" t="s">
        <v>8</v>
      </c>
      <c r="D214" t="s">
        <v>12</v>
      </c>
      <c r="E214" t="s">
        <v>287</v>
      </c>
      <c r="F214" t="s">
        <v>78</v>
      </c>
      <c r="G214" s="17">
        <v>1.5</v>
      </c>
      <c r="H214" s="18">
        <v>12000</v>
      </c>
      <c r="I214" s="18">
        <v>120</v>
      </c>
      <c r="J214" s="17">
        <f t="shared" si="20"/>
        <v>1.2500000000000001E-2</v>
      </c>
      <c r="K214" s="18">
        <f t="shared" si="21"/>
        <v>150</v>
      </c>
    </row>
    <row r="215" spans="1:15" x14ac:dyDescent="0.35">
      <c r="A215" s="24" t="s">
        <v>232</v>
      </c>
      <c r="B215" s="24" t="str">
        <f t="shared" si="19"/>
        <v>Canh củ quả đặc biệtThịt bằm</v>
      </c>
      <c r="C215" s="24" t="s">
        <v>8</v>
      </c>
      <c r="D215" t="s">
        <v>12</v>
      </c>
      <c r="E215" t="s">
        <v>287</v>
      </c>
      <c r="F215" t="s">
        <v>50</v>
      </c>
      <c r="G215" s="17">
        <v>0.5</v>
      </c>
      <c r="H215" s="18">
        <v>80000</v>
      </c>
      <c r="I215" s="18">
        <v>120</v>
      </c>
      <c r="J215" s="17">
        <f t="shared" si="20"/>
        <v>4.1666666666666666E-3</v>
      </c>
      <c r="K215" s="18">
        <f t="shared" si="21"/>
        <v>333.33333333333331</v>
      </c>
    </row>
    <row r="216" spans="1:15" x14ac:dyDescent="0.35">
      <c r="A216" s="24" t="s">
        <v>233</v>
      </c>
      <c r="B216" s="24" t="str">
        <f t="shared" si="19"/>
        <v>Kim chiCải thảo</v>
      </c>
      <c r="C216" s="24" t="s">
        <v>8</v>
      </c>
      <c r="D216" t="s">
        <v>47</v>
      </c>
      <c r="E216" t="s">
        <v>125</v>
      </c>
      <c r="F216" t="s">
        <v>126</v>
      </c>
      <c r="G216" s="17">
        <v>4</v>
      </c>
      <c r="H216" s="18">
        <v>15000</v>
      </c>
      <c r="I216" s="18">
        <v>120</v>
      </c>
      <c r="J216" s="17">
        <f t="shared" si="20"/>
        <v>3.3333333333333333E-2</v>
      </c>
      <c r="K216" s="18">
        <f t="shared" si="21"/>
        <v>500</v>
      </c>
    </row>
    <row r="217" spans="1:15" x14ac:dyDescent="0.35">
      <c r="A217" s="24" t="s">
        <v>233</v>
      </c>
      <c r="B217" s="24" t="str">
        <f t="shared" si="19"/>
        <v>Kim chiCà rốt</v>
      </c>
      <c r="C217" s="24" t="s">
        <v>8</v>
      </c>
      <c r="D217" t="s">
        <v>47</v>
      </c>
      <c r="E217" t="s">
        <v>125</v>
      </c>
      <c r="F217" t="s">
        <v>78</v>
      </c>
      <c r="G217" s="17">
        <v>3</v>
      </c>
      <c r="H217" s="18">
        <v>16000</v>
      </c>
      <c r="I217" s="18">
        <v>120</v>
      </c>
      <c r="J217" s="17">
        <f t="shared" si="20"/>
        <v>2.5000000000000001E-2</v>
      </c>
      <c r="K217" s="18">
        <f t="shared" si="21"/>
        <v>400</v>
      </c>
    </row>
    <row r="218" spans="1:15" x14ac:dyDescent="0.35">
      <c r="A218" s="24" t="s">
        <v>233</v>
      </c>
      <c r="B218" s="24" t="str">
        <f t="shared" si="19"/>
        <v>Kim chiCủ cải</v>
      </c>
      <c r="C218" s="24" t="s">
        <v>8</v>
      </c>
      <c r="D218" t="s">
        <v>47</v>
      </c>
      <c r="E218" t="s">
        <v>125</v>
      </c>
      <c r="F218" t="s">
        <v>202</v>
      </c>
      <c r="G218" s="17">
        <v>2</v>
      </c>
      <c r="H218" s="18">
        <v>10000</v>
      </c>
      <c r="I218" s="18">
        <v>120</v>
      </c>
      <c r="J218" s="17">
        <f t="shared" si="20"/>
        <v>1.6666666666666666E-2</v>
      </c>
      <c r="K218" s="18">
        <f t="shared" si="21"/>
        <v>166.66666666666666</v>
      </c>
    </row>
    <row r="219" spans="1:15" x14ac:dyDescent="0.35">
      <c r="A219" s="24" t="s">
        <v>233</v>
      </c>
      <c r="B219" s="24" t="str">
        <f t="shared" si="19"/>
        <v>Kim chiỚt sừng</v>
      </c>
      <c r="C219" s="24" t="s">
        <v>8</v>
      </c>
      <c r="D219" t="s">
        <v>47</v>
      </c>
      <c r="E219" t="s">
        <v>125</v>
      </c>
      <c r="F219" t="s">
        <v>203</v>
      </c>
      <c r="G219" s="17">
        <v>0.5</v>
      </c>
      <c r="H219" s="18">
        <v>40000</v>
      </c>
      <c r="I219" s="18">
        <v>120</v>
      </c>
      <c r="J219" s="17">
        <f t="shared" si="20"/>
        <v>4.1666666666666666E-3</v>
      </c>
      <c r="K219" s="18">
        <f t="shared" si="21"/>
        <v>166.66666666666666</v>
      </c>
    </row>
    <row r="220" spans="1:15" x14ac:dyDescent="0.35">
      <c r="A220" s="24" t="s">
        <v>232</v>
      </c>
      <c r="B220" s="24" t="str">
        <f t="shared" si="19"/>
        <v>Cá mối kho nghệCá mối</v>
      </c>
      <c r="C220" s="24" t="s">
        <v>8</v>
      </c>
      <c r="D220" t="s">
        <v>18</v>
      </c>
      <c r="E220" t="s">
        <v>204</v>
      </c>
      <c r="F220" t="s">
        <v>205</v>
      </c>
      <c r="G220" s="17">
        <v>11</v>
      </c>
      <c r="H220" s="18">
        <v>45000</v>
      </c>
      <c r="I220" s="18">
        <v>100</v>
      </c>
      <c r="J220" s="17">
        <f t="shared" si="20"/>
        <v>0.11</v>
      </c>
      <c r="K220" s="18">
        <f t="shared" si="21"/>
        <v>4950</v>
      </c>
      <c r="O220" s="130"/>
    </row>
    <row r="221" spans="1:15" x14ac:dyDescent="0.35">
      <c r="A221" s="24" t="s">
        <v>233</v>
      </c>
      <c r="B221" s="24" t="str">
        <f t="shared" si="19"/>
        <v>Sườn hon sảSườn</v>
      </c>
      <c r="C221" s="24" t="s">
        <v>8</v>
      </c>
      <c r="D221" t="s">
        <v>18</v>
      </c>
      <c r="E221" t="s">
        <v>206</v>
      </c>
      <c r="F221" t="s">
        <v>123</v>
      </c>
      <c r="G221" s="17">
        <v>7.5</v>
      </c>
      <c r="H221" s="18">
        <v>95000</v>
      </c>
      <c r="I221" s="18">
        <v>100</v>
      </c>
      <c r="J221" s="17">
        <f t="shared" si="20"/>
        <v>7.4999999999999997E-2</v>
      </c>
      <c r="K221" s="18">
        <f t="shared" si="21"/>
        <v>7125</v>
      </c>
      <c r="O221" s="130">
        <f t="shared" ref="O220:O222" si="22">G221*1.1</f>
        <v>8.25</v>
      </c>
    </row>
    <row r="222" spans="1:15" x14ac:dyDescent="0.35">
      <c r="A222" s="24" t="s">
        <v>233</v>
      </c>
      <c r="B222" s="24" t="str">
        <f t="shared" si="19"/>
        <v>Sườn hon sảSả</v>
      </c>
      <c r="C222" s="24" t="s">
        <v>8</v>
      </c>
      <c r="D222" t="s">
        <v>18</v>
      </c>
      <c r="E222" t="s">
        <v>206</v>
      </c>
      <c r="F222" t="s">
        <v>207</v>
      </c>
      <c r="G222" s="17">
        <v>4</v>
      </c>
      <c r="H222" s="18">
        <v>8000</v>
      </c>
      <c r="I222" s="18">
        <v>466</v>
      </c>
      <c r="J222" s="17">
        <f t="shared" si="20"/>
        <v>8.5836909871244635E-3</v>
      </c>
      <c r="K222" s="18">
        <f t="shared" si="21"/>
        <v>68.669527896995703</v>
      </c>
      <c r="O222" s="130">
        <f t="shared" si="22"/>
        <v>4.4000000000000004</v>
      </c>
    </row>
    <row r="223" spans="1:15" x14ac:dyDescent="0.35">
      <c r="A223" s="24" t="s">
        <v>232</v>
      </c>
      <c r="B223" s="24" t="str">
        <f t="shared" si="19"/>
        <v>Trứng kho nước dừaTrứng gà</v>
      </c>
      <c r="C223" s="24" t="s">
        <v>8</v>
      </c>
      <c r="D223" t="s">
        <v>19</v>
      </c>
      <c r="E223" t="s">
        <v>208</v>
      </c>
      <c r="F223" t="s">
        <v>13</v>
      </c>
      <c r="G223" s="17">
        <v>1</v>
      </c>
      <c r="H223" s="18">
        <v>2300</v>
      </c>
      <c r="I223" s="18">
        <v>1</v>
      </c>
      <c r="J223" s="17">
        <f t="shared" si="20"/>
        <v>1</v>
      </c>
      <c r="K223" s="18">
        <f t="shared" si="21"/>
        <v>2300</v>
      </c>
    </row>
    <row r="224" spans="1:15" x14ac:dyDescent="0.35">
      <c r="A224" s="24" t="s">
        <v>233</v>
      </c>
      <c r="B224" s="24" t="str">
        <f t="shared" si="19"/>
        <v>Trứng kho nước dừaBột cốt dừa</v>
      </c>
      <c r="C224" s="24" t="s">
        <v>8</v>
      </c>
      <c r="D224" t="s">
        <v>19</v>
      </c>
      <c r="E224" t="s">
        <v>208</v>
      </c>
      <c r="F224" t="s">
        <v>209</v>
      </c>
      <c r="G224" s="17">
        <v>10</v>
      </c>
      <c r="H224" s="18">
        <v>4000</v>
      </c>
      <c r="I224" s="18">
        <v>466</v>
      </c>
      <c r="J224" s="17">
        <f t="shared" si="20"/>
        <v>2.1459227467811159E-2</v>
      </c>
      <c r="K224" s="18">
        <f t="shared" si="21"/>
        <v>85.836909871244629</v>
      </c>
    </row>
    <row r="225" spans="1:15" x14ac:dyDescent="0.35">
      <c r="A225" s="24" t="s">
        <v>233</v>
      </c>
      <c r="B225" s="24" t="str">
        <f t="shared" si="19"/>
        <v>Mồng tơi thịt bằmMồng tơi</v>
      </c>
      <c r="C225" s="24" t="s">
        <v>8</v>
      </c>
      <c r="D225" t="s">
        <v>12</v>
      </c>
      <c r="E225" t="s">
        <v>210</v>
      </c>
      <c r="F225" t="s">
        <v>211</v>
      </c>
      <c r="G225" s="17">
        <v>12</v>
      </c>
      <c r="H225" s="18">
        <v>10000</v>
      </c>
      <c r="I225" s="18">
        <v>250</v>
      </c>
      <c r="J225" s="17">
        <f t="shared" si="20"/>
        <v>4.8000000000000001E-2</v>
      </c>
      <c r="K225" s="18">
        <f t="shared" si="21"/>
        <v>480</v>
      </c>
    </row>
    <row r="226" spans="1:15" x14ac:dyDescent="0.35">
      <c r="A226" s="24" t="s">
        <v>232</v>
      </c>
      <c r="B226" s="24" t="str">
        <f t="shared" si="19"/>
        <v>Mồng tơi thịt bằmThịt bằm</v>
      </c>
      <c r="C226" s="24" t="s">
        <v>8</v>
      </c>
      <c r="D226" t="s">
        <v>12</v>
      </c>
      <c r="E226" t="s">
        <v>210</v>
      </c>
      <c r="F226" t="s">
        <v>50</v>
      </c>
      <c r="G226" s="17">
        <v>0.5</v>
      </c>
      <c r="H226" s="18">
        <v>80000</v>
      </c>
      <c r="I226" s="18">
        <v>150</v>
      </c>
      <c r="J226" s="17">
        <f t="shared" si="20"/>
        <v>3.3333333333333335E-3</v>
      </c>
      <c r="K226" s="18">
        <f t="shared" si="21"/>
        <v>266.66666666666669</v>
      </c>
    </row>
    <row r="227" spans="1:15" x14ac:dyDescent="0.35">
      <c r="A227" s="24" t="s">
        <v>232</v>
      </c>
      <c r="B227" s="24" t="str">
        <f t="shared" si="19"/>
        <v>Cá bạc má kho thơmCá bạc má</v>
      </c>
      <c r="C227" s="24" t="s">
        <v>8</v>
      </c>
      <c r="D227" t="s">
        <v>18</v>
      </c>
      <c r="E227" t="s">
        <v>212</v>
      </c>
      <c r="F227" t="s">
        <v>173</v>
      </c>
      <c r="G227" s="17">
        <v>4.4000000000000004</v>
      </c>
      <c r="H227" s="18">
        <v>42000</v>
      </c>
      <c r="I227" s="18">
        <v>45</v>
      </c>
      <c r="J227" s="17">
        <f t="shared" si="20"/>
        <v>9.7777777777777783E-2</v>
      </c>
      <c r="K227" s="18">
        <f t="shared" si="21"/>
        <v>4106.666666666667</v>
      </c>
      <c r="O227" s="130"/>
    </row>
    <row r="228" spans="1:15" x14ac:dyDescent="0.35">
      <c r="A228" s="24" t="s">
        <v>233</v>
      </c>
      <c r="B228" s="24" t="str">
        <f t="shared" si="19"/>
        <v>Cá bạc má kho thơmThơm</v>
      </c>
      <c r="C228" s="24" t="s">
        <v>8</v>
      </c>
      <c r="D228" t="s">
        <v>18</v>
      </c>
      <c r="E228" t="s">
        <v>212</v>
      </c>
      <c r="F228" t="s">
        <v>4</v>
      </c>
      <c r="G228" s="17">
        <v>1</v>
      </c>
      <c r="H228" s="18">
        <v>17000</v>
      </c>
      <c r="I228" s="18">
        <v>45</v>
      </c>
      <c r="J228" s="17">
        <f t="shared" si="20"/>
        <v>2.2222222222222223E-2</v>
      </c>
      <c r="K228" s="18">
        <f t="shared" si="21"/>
        <v>377.77777777777777</v>
      </c>
      <c r="O228" s="130">
        <f t="shared" ref="O227:O228" si="23">G228*1.1</f>
        <v>1.1000000000000001</v>
      </c>
    </row>
    <row r="229" spans="1:15" x14ac:dyDescent="0.35">
      <c r="A229" s="24" t="s">
        <v>232</v>
      </c>
      <c r="B229" s="24" t="str">
        <f t="shared" si="19"/>
        <v>Trứng hấp thập cẩmTrứng gà</v>
      </c>
      <c r="C229" s="24" t="s">
        <v>8</v>
      </c>
      <c r="D229" t="s">
        <v>19</v>
      </c>
      <c r="E229" t="s">
        <v>213</v>
      </c>
      <c r="F229" t="s">
        <v>13</v>
      </c>
      <c r="G229" s="17">
        <v>280</v>
      </c>
      <c r="H229" s="18">
        <v>2300</v>
      </c>
      <c r="I229" s="18">
        <v>300</v>
      </c>
      <c r="J229" s="17">
        <f t="shared" si="20"/>
        <v>0.93333333333333335</v>
      </c>
      <c r="K229" s="18">
        <f t="shared" si="21"/>
        <v>2146.6666666666665</v>
      </c>
    </row>
    <row r="230" spans="1:15" x14ac:dyDescent="0.35">
      <c r="A230" s="24" t="s">
        <v>233</v>
      </c>
      <c r="B230" s="24" t="str">
        <f t="shared" si="19"/>
        <v>Trứng hấp thập cẩmHành lá</v>
      </c>
      <c r="C230" s="24" t="s">
        <v>8</v>
      </c>
      <c r="D230" t="s">
        <v>19</v>
      </c>
      <c r="E230" t="s">
        <v>213</v>
      </c>
      <c r="F230" t="s">
        <v>24</v>
      </c>
      <c r="G230" s="17">
        <v>0.5</v>
      </c>
      <c r="H230" s="18">
        <v>18000</v>
      </c>
      <c r="I230" s="18">
        <v>300</v>
      </c>
      <c r="J230" s="17">
        <f t="shared" si="20"/>
        <v>1.6666666666666668E-3</v>
      </c>
      <c r="K230" s="18">
        <f t="shared" si="21"/>
        <v>30</v>
      </c>
    </row>
    <row r="231" spans="1:15" x14ac:dyDescent="0.35">
      <c r="A231" s="24" t="s">
        <v>233</v>
      </c>
      <c r="B231" s="24" t="str">
        <f t="shared" si="19"/>
        <v>Trứng hấp thập cẩmNấm mèo</v>
      </c>
      <c r="C231" s="24" t="s">
        <v>8</v>
      </c>
      <c r="D231" t="s">
        <v>19</v>
      </c>
      <c r="E231" t="s">
        <v>213</v>
      </c>
      <c r="F231" t="s">
        <v>28</v>
      </c>
      <c r="G231" s="17">
        <v>0.4</v>
      </c>
      <c r="H231" s="18">
        <v>55000</v>
      </c>
      <c r="I231" s="18">
        <v>300</v>
      </c>
      <c r="J231" s="17">
        <f t="shared" si="20"/>
        <v>1.3333333333333335E-3</v>
      </c>
      <c r="K231" s="18">
        <f t="shared" si="21"/>
        <v>73.333333333333329</v>
      </c>
    </row>
    <row r="232" spans="1:15" x14ac:dyDescent="0.35">
      <c r="A232" s="24" t="s">
        <v>233</v>
      </c>
      <c r="B232" s="24" t="str">
        <f t="shared" si="19"/>
        <v>Trứng hấp thập cẩmCà rốt</v>
      </c>
      <c r="C232" s="24" t="s">
        <v>8</v>
      </c>
      <c r="D232" t="s">
        <v>19</v>
      </c>
      <c r="E232" t="s">
        <v>213</v>
      </c>
      <c r="F232" t="s">
        <v>78</v>
      </c>
      <c r="G232" s="17">
        <v>3</v>
      </c>
      <c r="H232" s="18">
        <v>16000</v>
      </c>
      <c r="I232" s="18">
        <v>300</v>
      </c>
      <c r="J232" s="17">
        <f t="shared" si="20"/>
        <v>0.01</v>
      </c>
      <c r="K232" s="18">
        <f t="shared" si="21"/>
        <v>160</v>
      </c>
      <c r="N232" s="30"/>
    </row>
    <row r="233" spans="1:15" x14ac:dyDescent="0.35">
      <c r="A233" s="24" t="s">
        <v>232</v>
      </c>
      <c r="B233" s="24" t="str">
        <f t="shared" si="19"/>
        <v>Vịt kho gừngVịt</v>
      </c>
      <c r="C233" s="24" t="s">
        <v>8</v>
      </c>
      <c r="D233" t="s">
        <v>18</v>
      </c>
      <c r="E233" t="s">
        <v>214</v>
      </c>
      <c r="F233" t="s">
        <v>163</v>
      </c>
      <c r="G233" s="17">
        <v>13.5</v>
      </c>
      <c r="H233" s="18">
        <v>65000</v>
      </c>
      <c r="I233" s="18">
        <v>100</v>
      </c>
      <c r="J233" s="17">
        <f t="shared" si="20"/>
        <v>0.13500000000000001</v>
      </c>
      <c r="K233" s="18">
        <f t="shared" si="21"/>
        <v>8775</v>
      </c>
      <c r="O233" s="130"/>
    </row>
    <row r="234" spans="1:15" x14ac:dyDescent="0.35">
      <c r="A234" s="24" t="s">
        <v>233</v>
      </c>
      <c r="B234" s="24" t="str">
        <f t="shared" si="19"/>
        <v>Vịt kho gừngGừng</v>
      </c>
      <c r="C234" s="24" t="s">
        <v>8</v>
      </c>
      <c r="D234" t="s">
        <v>18</v>
      </c>
      <c r="E234" t="s">
        <v>214</v>
      </c>
      <c r="F234" t="s">
        <v>215</v>
      </c>
      <c r="G234" s="17">
        <v>0.5</v>
      </c>
      <c r="H234" s="18">
        <v>30000</v>
      </c>
      <c r="I234" s="18">
        <v>368</v>
      </c>
      <c r="J234" s="17">
        <f t="shared" si="20"/>
        <v>1.358695652173913E-3</v>
      </c>
      <c r="K234" s="18">
        <f t="shared" si="21"/>
        <v>40.760869565217391</v>
      </c>
      <c r="O234" s="130">
        <f t="shared" ref="O233:O234" si="24">G234*1.1</f>
        <v>0.55000000000000004</v>
      </c>
    </row>
    <row r="235" spans="1:15" x14ac:dyDescent="0.35">
      <c r="A235" s="24" t="s">
        <v>232</v>
      </c>
      <c r="B235" s="24" t="str">
        <f t="shared" si="19"/>
        <v>Bún giò heoChanh</v>
      </c>
      <c r="C235" s="24" t="s">
        <v>8</v>
      </c>
      <c r="D235" t="s">
        <v>20</v>
      </c>
      <c r="E235" t="s">
        <v>216</v>
      </c>
      <c r="F235" t="s">
        <v>25</v>
      </c>
      <c r="G235" s="17">
        <v>0.8</v>
      </c>
      <c r="H235" s="18">
        <v>26000</v>
      </c>
      <c r="I235" s="18">
        <v>100</v>
      </c>
      <c r="J235" s="17">
        <f t="shared" si="20"/>
        <v>8.0000000000000002E-3</v>
      </c>
      <c r="K235" s="18">
        <f t="shared" si="21"/>
        <v>208</v>
      </c>
    </row>
    <row r="236" spans="1:15" x14ac:dyDescent="0.35">
      <c r="A236" s="24" t="s">
        <v>232</v>
      </c>
      <c r="B236" s="24" t="str">
        <f t="shared" si="19"/>
        <v>Bún giò heoGiá</v>
      </c>
      <c r="C236" s="24" t="s">
        <v>8</v>
      </c>
      <c r="D236" t="s">
        <v>20</v>
      </c>
      <c r="E236" t="s">
        <v>216</v>
      </c>
      <c r="F236" t="s">
        <v>26</v>
      </c>
      <c r="G236" s="17">
        <v>2.5</v>
      </c>
      <c r="H236" s="18">
        <v>10000</v>
      </c>
      <c r="I236" s="18">
        <v>100</v>
      </c>
      <c r="J236" s="17">
        <f t="shared" si="20"/>
        <v>2.5000000000000001E-2</v>
      </c>
      <c r="K236" s="18">
        <f t="shared" si="21"/>
        <v>250</v>
      </c>
    </row>
    <row r="237" spans="1:15" x14ac:dyDescent="0.35">
      <c r="A237" s="24" t="s">
        <v>233</v>
      </c>
      <c r="B237" s="24" t="str">
        <f t="shared" si="19"/>
        <v>Bún giò heoHành lá</v>
      </c>
      <c r="C237" s="24" t="s">
        <v>8</v>
      </c>
      <c r="D237" t="s">
        <v>20</v>
      </c>
      <c r="E237" t="s">
        <v>216</v>
      </c>
      <c r="F237" t="s">
        <v>24</v>
      </c>
      <c r="G237" s="17">
        <v>0.4</v>
      </c>
      <c r="H237" s="18">
        <v>20000</v>
      </c>
      <c r="I237" s="18">
        <v>100</v>
      </c>
      <c r="J237" s="17">
        <f t="shared" si="20"/>
        <v>4.0000000000000001E-3</v>
      </c>
      <c r="K237" s="18">
        <f t="shared" si="21"/>
        <v>80</v>
      </c>
    </row>
    <row r="238" spans="1:15" x14ac:dyDescent="0.35">
      <c r="A238" s="24" t="s">
        <v>233</v>
      </c>
      <c r="B238" s="24" t="str">
        <f t="shared" si="19"/>
        <v>Bún giò heoHành tây</v>
      </c>
      <c r="C238" s="24" t="s">
        <v>8</v>
      </c>
      <c r="D238" t="s">
        <v>20</v>
      </c>
      <c r="E238" t="s">
        <v>216</v>
      </c>
      <c r="F238" t="s">
        <v>35</v>
      </c>
      <c r="G238" s="17">
        <v>1.5</v>
      </c>
      <c r="H238" s="18">
        <v>15000</v>
      </c>
      <c r="I238" s="18">
        <v>100</v>
      </c>
      <c r="J238" s="17">
        <f t="shared" si="20"/>
        <v>1.4999999999999999E-2</v>
      </c>
      <c r="K238" s="18">
        <f t="shared" si="21"/>
        <v>225</v>
      </c>
    </row>
    <row r="239" spans="1:15" x14ac:dyDescent="0.35">
      <c r="A239" s="24" t="s">
        <v>233</v>
      </c>
      <c r="B239" s="24" t="str">
        <f t="shared" si="19"/>
        <v>Bún giò heoNgò rí</v>
      </c>
      <c r="C239" s="24" t="s">
        <v>8</v>
      </c>
      <c r="D239" t="s">
        <v>20</v>
      </c>
      <c r="E239" t="s">
        <v>216</v>
      </c>
      <c r="F239" t="s">
        <v>369</v>
      </c>
      <c r="G239" s="17">
        <v>0.2</v>
      </c>
      <c r="H239" s="18">
        <v>35000</v>
      </c>
      <c r="I239" s="18">
        <v>100</v>
      </c>
      <c r="J239" s="17">
        <f t="shared" si="20"/>
        <v>2E-3</v>
      </c>
      <c r="K239" s="18">
        <f t="shared" si="21"/>
        <v>70</v>
      </c>
    </row>
    <row r="240" spans="1:15" x14ac:dyDescent="0.35">
      <c r="A240" s="24" t="s">
        <v>233</v>
      </c>
      <c r="B240" s="24" t="str">
        <f t="shared" si="19"/>
        <v>Bún giò heoRau quế</v>
      </c>
      <c r="C240" s="24" t="s">
        <v>8</v>
      </c>
      <c r="D240" t="s">
        <v>20</v>
      </c>
      <c r="E240" t="s">
        <v>216</v>
      </c>
      <c r="F240" t="s">
        <v>23</v>
      </c>
      <c r="G240" s="17">
        <v>0.3</v>
      </c>
      <c r="H240" s="18">
        <v>30000</v>
      </c>
      <c r="I240" s="18">
        <v>100</v>
      </c>
      <c r="J240" s="17">
        <f t="shared" si="20"/>
        <v>3.0000000000000001E-3</v>
      </c>
      <c r="K240" s="18">
        <f t="shared" si="21"/>
        <v>90</v>
      </c>
    </row>
    <row r="241" spans="1:15" x14ac:dyDescent="0.35">
      <c r="A241" s="24" t="s">
        <v>232</v>
      </c>
      <c r="B241" s="24" t="str">
        <f t="shared" si="19"/>
        <v>Bún giò heogiò heo</v>
      </c>
      <c r="C241" s="24" t="s">
        <v>8</v>
      </c>
      <c r="D241" t="s">
        <v>20</v>
      </c>
      <c r="E241" t="s">
        <v>216</v>
      </c>
      <c r="F241" t="s">
        <v>479</v>
      </c>
      <c r="G241" s="17">
        <v>15.5</v>
      </c>
      <c r="H241" s="18">
        <v>70000</v>
      </c>
      <c r="I241" s="18">
        <v>100</v>
      </c>
      <c r="J241" s="17">
        <f t="shared" si="20"/>
        <v>0.155</v>
      </c>
      <c r="K241" s="18">
        <f t="shared" si="21"/>
        <v>10850</v>
      </c>
    </row>
    <row r="242" spans="1:15" x14ac:dyDescent="0.35">
      <c r="A242" s="24" t="s">
        <v>233</v>
      </c>
      <c r="B242" s="24" t="str">
        <f t="shared" si="19"/>
        <v>Bún giò heoHuyết bò</v>
      </c>
      <c r="C242" s="24" t="s">
        <v>8</v>
      </c>
      <c r="D242" t="s">
        <v>20</v>
      </c>
      <c r="E242" t="s">
        <v>216</v>
      </c>
      <c r="F242" t="s">
        <v>167</v>
      </c>
      <c r="G242" s="17">
        <v>2.5</v>
      </c>
      <c r="H242" s="18">
        <v>25000</v>
      </c>
      <c r="I242" s="18">
        <v>100</v>
      </c>
      <c r="J242" s="17">
        <f t="shared" si="20"/>
        <v>2.5000000000000001E-2</v>
      </c>
      <c r="K242" s="18">
        <f t="shared" si="21"/>
        <v>625</v>
      </c>
    </row>
    <row r="243" spans="1:15" x14ac:dyDescent="0.35">
      <c r="A243" s="24" t="s">
        <v>233</v>
      </c>
      <c r="B243" s="24" t="str">
        <f t="shared" si="19"/>
        <v>Bún giò heoXà lách</v>
      </c>
      <c r="C243" s="24" t="s">
        <v>8</v>
      </c>
      <c r="D243" t="s">
        <v>20</v>
      </c>
      <c r="E243" t="s">
        <v>216</v>
      </c>
      <c r="F243" t="s">
        <v>197</v>
      </c>
      <c r="G243" s="17">
        <v>2</v>
      </c>
      <c r="H243" s="18">
        <v>22000</v>
      </c>
      <c r="I243" s="18">
        <v>100</v>
      </c>
      <c r="J243" s="17">
        <f t="shared" si="20"/>
        <v>0.02</v>
      </c>
      <c r="K243" s="18">
        <f t="shared" si="21"/>
        <v>440</v>
      </c>
    </row>
    <row r="244" spans="1:15" x14ac:dyDescent="0.35">
      <c r="A244" s="24" t="s">
        <v>233</v>
      </c>
      <c r="B244" s="24" t="str">
        <f t="shared" si="19"/>
        <v>Bún giò heoCủ cải</v>
      </c>
      <c r="C244" s="24" t="s">
        <v>8</v>
      </c>
      <c r="D244" t="s">
        <v>20</v>
      </c>
      <c r="E244" t="s">
        <v>216</v>
      </c>
      <c r="F244" t="s">
        <v>202</v>
      </c>
      <c r="G244" s="17">
        <v>1</v>
      </c>
      <c r="H244" s="18">
        <v>12000</v>
      </c>
      <c r="I244" s="18">
        <v>100</v>
      </c>
      <c r="J244" s="17">
        <f t="shared" si="20"/>
        <v>0.01</v>
      </c>
      <c r="K244" s="18">
        <f t="shared" si="21"/>
        <v>120</v>
      </c>
    </row>
    <row r="245" spans="1:15" x14ac:dyDescent="0.35">
      <c r="A245" s="24" t="s">
        <v>233</v>
      </c>
      <c r="B245" s="24" t="str">
        <f t="shared" si="19"/>
        <v>Bún giò heoĐu đủ xanh</v>
      </c>
      <c r="C245" s="24" t="s">
        <v>8</v>
      </c>
      <c r="D245" t="s">
        <v>20</v>
      </c>
      <c r="E245" t="s">
        <v>216</v>
      </c>
      <c r="F245" t="s">
        <v>302</v>
      </c>
      <c r="G245" s="17">
        <v>0.8</v>
      </c>
      <c r="H245" s="18">
        <v>12000</v>
      </c>
      <c r="I245" s="18">
        <v>100</v>
      </c>
      <c r="J245" s="17">
        <f t="shared" si="20"/>
        <v>8.0000000000000002E-3</v>
      </c>
      <c r="K245" s="18">
        <f t="shared" si="21"/>
        <v>96</v>
      </c>
    </row>
    <row r="246" spans="1:15" x14ac:dyDescent="0.35">
      <c r="A246" s="24" t="s">
        <v>233</v>
      </c>
      <c r="B246" s="24" t="str">
        <f t="shared" si="19"/>
        <v>Bún giò heoHành tái</v>
      </c>
      <c r="C246" s="24" t="s">
        <v>8</v>
      </c>
      <c r="D246" t="s">
        <v>20</v>
      </c>
      <c r="E246" t="s">
        <v>216</v>
      </c>
      <c r="F246" t="s">
        <v>371</v>
      </c>
      <c r="G246" s="17">
        <v>0.3</v>
      </c>
      <c r="H246" s="18">
        <v>20000</v>
      </c>
      <c r="I246" s="18">
        <v>100</v>
      </c>
      <c r="J246" s="17">
        <f t="shared" si="20"/>
        <v>3.0000000000000001E-3</v>
      </c>
      <c r="K246" s="18">
        <f t="shared" si="21"/>
        <v>60</v>
      </c>
    </row>
    <row r="247" spans="1:15" x14ac:dyDescent="0.35">
      <c r="A247" s="24" t="s">
        <v>233</v>
      </c>
      <c r="B247" s="24" t="str">
        <f t="shared" si="19"/>
        <v>Bún giò heoCà rốt</v>
      </c>
      <c r="C247" s="24" t="s">
        <v>8</v>
      </c>
      <c r="D247" t="s">
        <v>20</v>
      </c>
      <c r="E247" t="s">
        <v>216</v>
      </c>
      <c r="F247" t="s">
        <v>78</v>
      </c>
      <c r="G247" s="17">
        <v>0.8</v>
      </c>
      <c r="H247" s="18">
        <v>15000</v>
      </c>
      <c r="I247" s="18">
        <v>100</v>
      </c>
      <c r="J247" s="17">
        <f t="shared" si="20"/>
        <v>8.0000000000000002E-3</v>
      </c>
      <c r="K247" s="18">
        <f t="shared" si="21"/>
        <v>120</v>
      </c>
    </row>
    <row r="248" spans="1:15" x14ac:dyDescent="0.35">
      <c r="A248" s="24" t="s">
        <v>232</v>
      </c>
      <c r="B248" s="24" t="str">
        <f t="shared" si="19"/>
        <v>Bún giò heobún tươi</v>
      </c>
      <c r="C248" s="24" t="s">
        <v>8</v>
      </c>
      <c r="D248" t="s">
        <v>20</v>
      </c>
      <c r="E248" t="s">
        <v>216</v>
      </c>
      <c r="F248" t="s">
        <v>467</v>
      </c>
      <c r="G248" s="17">
        <v>33</v>
      </c>
      <c r="H248" s="18">
        <v>10000</v>
      </c>
      <c r="I248" s="18">
        <v>100</v>
      </c>
      <c r="J248" s="17">
        <f t="shared" si="20"/>
        <v>0.33</v>
      </c>
      <c r="K248" s="18">
        <f t="shared" si="21"/>
        <v>3300</v>
      </c>
    </row>
    <row r="249" spans="1:15" x14ac:dyDescent="0.35">
      <c r="A249" s="24" t="s">
        <v>233</v>
      </c>
      <c r="B249" s="24" t="str">
        <f t="shared" si="19"/>
        <v>Rau muống nấu hếnRau muống</v>
      </c>
      <c r="C249" s="24" t="s">
        <v>8</v>
      </c>
      <c r="D249" t="s">
        <v>12</v>
      </c>
      <c r="E249" t="s">
        <v>218</v>
      </c>
      <c r="F249" t="s">
        <v>64</v>
      </c>
      <c r="G249" s="17">
        <v>4</v>
      </c>
      <c r="H249" s="18">
        <v>9000</v>
      </c>
      <c r="I249" s="18">
        <v>125</v>
      </c>
      <c r="J249" s="17">
        <f t="shared" si="20"/>
        <v>3.2000000000000001E-2</v>
      </c>
      <c r="K249" s="18">
        <f t="shared" si="21"/>
        <v>288</v>
      </c>
    </row>
    <row r="250" spans="1:15" x14ac:dyDescent="0.35">
      <c r="A250" s="24" t="s">
        <v>233</v>
      </c>
      <c r="B250" s="24" t="str">
        <f t="shared" si="19"/>
        <v>Rau muống nấu hếnHến</v>
      </c>
      <c r="C250" s="24" t="s">
        <v>8</v>
      </c>
      <c r="D250" t="s">
        <v>12</v>
      </c>
      <c r="E250" t="s">
        <v>218</v>
      </c>
      <c r="F250" t="s">
        <v>219</v>
      </c>
      <c r="G250" s="17">
        <v>0.3</v>
      </c>
      <c r="H250" s="18">
        <v>110000</v>
      </c>
      <c r="I250" s="18">
        <v>125</v>
      </c>
      <c r="J250" s="17">
        <f t="shared" si="20"/>
        <v>2.3999999999999998E-3</v>
      </c>
      <c r="K250" s="18">
        <f t="shared" si="21"/>
        <v>264</v>
      </c>
    </row>
    <row r="251" spans="1:15" x14ac:dyDescent="0.35">
      <c r="A251" s="24" t="s">
        <v>232</v>
      </c>
      <c r="B251" s="24" t="str">
        <f t="shared" si="19"/>
        <v>Đùi gà rô tymá đùi gà</v>
      </c>
      <c r="C251" s="24" t="s">
        <v>8</v>
      </c>
      <c r="D251" t="s">
        <v>18</v>
      </c>
      <c r="E251" t="s">
        <v>220</v>
      </c>
      <c r="F251" t="s">
        <v>464</v>
      </c>
      <c r="G251" s="17">
        <v>14</v>
      </c>
      <c r="H251" s="18">
        <v>55000</v>
      </c>
      <c r="I251" s="18">
        <v>100</v>
      </c>
      <c r="J251" s="17">
        <f t="shared" si="20"/>
        <v>0.14000000000000001</v>
      </c>
      <c r="K251" s="18">
        <f t="shared" si="21"/>
        <v>7700</v>
      </c>
      <c r="O251" s="130"/>
    </row>
    <row r="252" spans="1:15" x14ac:dyDescent="0.35">
      <c r="A252" s="24" t="s">
        <v>232</v>
      </c>
      <c r="B252" s="24" t="str">
        <f t="shared" si="19"/>
        <v>Gà xé hành rau rămmá đùi gà</v>
      </c>
      <c r="C252" s="24" t="s">
        <v>8</v>
      </c>
      <c r="D252" t="s">
        <v>18</v>
      </c>
      <c r="E252" t="s">
        <v>222</v>
      </c>
      <c r="F252" t="s">
        <v>464</v>
      </c>
      <c r="G252" s="17">
        <v>10</v>
      </c>
      <c r="H252" s="18">
        <v>40000</v>
      </c>
      <c r="I252" s="18">
        <v>100</v>
      </c>
      <c r="J252" s="17">
        <f t="shared" si="20"/>
        <v>0.1</v>
      </c>
      <c r="K252" s="18">
        <f t="shared" si="21"/>
        <v>4000</v>
      </c>
      <c r="O252" s="130"/>
    </row>
    <row r="253" spans="1:15" x14ac:dyDescent="0.35">
      <c r="A253" s="24" t="s">
        <v>233</v>
      </c>
      <c r="B253" s="24" t="str">
        <f t="shared" si="19"/>
        <v>Gà xé hành rau rămRau răm</v>
      </c>
      <c r="C253" s="24" t="s">
        <v>8</v>
      </c>
      <c r="D253" t="s">
        <v>18</v>
      </c>
      <c r="E253" t="s">
        <v>222</v>
      </c>
      <c r="F253" t="s">
        <v>69</v>
      </c>
      <c r="G253" s="17">
        <v>0.3</v>
      </c>
      <c r="H253" s="18">
        <v>20000</v>
      </c>
      <c r="I253" s="18">
        <v>40</v>
      </c>
      <c r="J253" s="17">
        <f t="shared" si="20"/>
        <v>7.4999999999999997E-3</v>
      </c>
      <c r="K253" s="18">
        <f t="shared" si="21"/>
        <v>150</v>
      </c>
      <c r="O253" s="130">
        <f t="shared" ref="O251:O254" si="25">G253*1.1</f>
        <v>0.33</v>
      </c>
    </row>
    <row r="254" spans="1:15" x14ac:dyDescent="0.35">
      <c r="A254" s="24" t="s">
        <v>233</v>
      </c>
      <c r="B254" s="24" t="str">
        <f t="shared" si="19"/>
        <v>Gà xé hành rau rămHành tây</v>
      </c>
      <c r="C254" s="24" t="s">
        <v>8</v>
      </c>
      <c r="D254" t="s">
        <v>18</v>
      </c>
      <c r="E254" t="s">
        <v>222</v>
      </c>
      <c r="F254" t="s">
        <v>35</v>
      </c>
      <c r="G254" s="17">
        <v>2</v>
      </c>
      <c r="H254" s="18">
        <v>10000</v>
      </c>
      <c r="I254" s="18">
        <v>40</v>
      </c>
      <c r="J254" s="17">
        <f t="shared" si="20"/>
        <v>0.05</v>
      </c>
      <c r="K254" s="18">
        <f t="shared" si="21"/>
        <v>500</v>
      </c>
      <c r="O254" s="130">
        <f t="shared" si="25"/>
        <v>2.2000000000000002</v>
      </c>
    </row>
    <row r="255" spans="1:15" x14ac:dyDescent="0.35">
      <c r="A255" s="24" t="s">
        <v>233</v>
      </c>
      <c r="B255" s="24" t="str">
        <f t="shared" si="19"/>
        <v>Củ cải xàoCủ cải</v>
      </c>
      <c r="C255" s="24" t="s">
        <v>8</v>
      </c>
      <c r="D255" t="s">
        <v>47</v>
      </c>
      <c r="E255" t="s">
        <v>174</v>
      </c>
      <c r="F255" t="s">
        <v>202</v>
      </c>
      <c r="G255" s="17">
        <v>22</v>
      </c>
      <c r="H255" s="18">
        <v>8000</v>
      </c>
      <c r="I255" s="18">
        <v>231</v>
      </c>
      <c r="J255" s="17">
        <f t="shared" si="20"/>
        <v>9.5238095238095233E-2</v>
      </c>
      <c r="K255" s="18">
        <f t="shared" si="21"/>
        <v>761.90476190476193</v>
      </c>
    </row>
    <row r="256" spans="1:15" x14ac:dyDescent="0.35">
      <c r="A256" s="24" t="s">
        <v>233</v>
      </c>
      <c r="B256" s="24" t="str">
        <f t="shared" si="19"/>
        <v>Đậu đũa xàoĐậu đũa</v>
      </c>
      <c r="C256" s="24" t="s">
        <v>8</v>
      </c>
      <c r="D256" t="s">
        <v>47</v>
      </c>
      <c r="E256" t="s">
        <v>223</v>
      </c>
      <c r="F256" t="s">
        <v>224</v>
      </c>
      <c r="G256" s="17">
        <v>10</v>
      </c>
      <c r="H256" s="18">
        <v>8000</v>
      </c>
      <c r="I256" s="18">
        <v>115</v>
      </c>
      <c r="J256" s="17">
        <f t="shared" si="20"/>
        <v>8.6956521739130432E-2</v>
      </c>
      <c r="K256" s="18">
        <f t="shared" si="21"/>
        <v>695.6521739130435</v>
      </c>
    </row>
    <row r="257" spans="1:14" x14ac:dyDescent="0.35">
      <c r="A257" s="24" t="s">
        <v>233</v>
      </c>
      <c r="B257" s="24" t="str">
        <f t="shared" si="19"/>
        <v>Sắn dây xàoSắn dây</v>
      </c>
      <c r="C257" s="24" t="s">
        <v>8</v>
      </c>
      <c r="D257" t="s">
        <v>47</v>
      </c>
      <c r="E257" t="s">
        <v>225</v>
      </c>
      <c r="F257" t="s">
        <v>226</v>
      </c>
      <c r="G257" s="17">
        <v>3.5</v>
      </c>
      <c r="H257" s="18">
        <v>13000</v>
      </c>
      <c r="I257" s="18">
        <v>43</v>
      </c>
      <c r="J257" s="17">
        <f t="shared" si="20"/>
        <v>8.1395348837209308E-2</v>
      </c>
      <c r="K257" s="18">
        <f t="shared" si="21"/>
        <v>1058.1395348837209</v>
      </c>
    </row>
    <row r="258" spans="1:14" x14ac:dyDescent="0.35">
      <c r="A258" s="24" t="s">
        <v>233</v>
      </c>
      <c r="B258" s="24" t="str">
        <f t="shared" si="19"/>
        <v xml:space="preserve">Tim xào giá hẹTim </v>
      </c>
      <c r="C258" s="24" t="s">
        <v>8</v>
      </c>
      <c r="D258" t="s">
        <v>19</v>
      </c>
      <c r="E258" t="s">
        <v>227</v>
      </c>
      <c r="F258" t="s">
        <v>228</v>
      </c>
      <c r="G258" s="17">
        <v>15.5</v>
      </c>
      <c r="H258" s="18">
        <v>50000</v>
      </c>
      <c r="I258" s="18">
        <v>257</v>
      </c>
      <c r="J258" s="17">
        <f t="shared" si="20"/>
        <v>6.0311284046692608E-2</v>
      </c>
      <c r="K258" s="18">
        <f t="shared" si="21"/>
        <v>3015.5642023346304</v>
      </c>
    </row>
    <row r="259" spans="1:14" x14ac:dyDescent="0.35">
      <c r="A259" s="24" t="s">
        <v>233</v>
      </c>
      <c r="B259" s="24" t="str">
        <f t="shared" si="19"/>
        <v>Tim xào giá hẹlá he</v>
      </c>
      <c r="C259" s="24" t="s">
        <v>8</v>
      </c>
      <c r="D259" t="s">
        <v>19</v>
      </c>
      <c r="E259" t="s">
        <v>227</v>
      </c>
      <c r="F259" t="s">
        <v>229</v>
      </c>
      <c r="G259" s="17">
        <v>1</v>
      </c>
      <c r="H259" s="18">
        <v>50000</v>
      </c>
      <c r="I259" s="18">
        <v>257</v>
      </c>
      <c r="J259" s="17">
        <f t="shared" si="20"/>
        <v>3.8910505836575876E-3</v>
      </c>
      <c r="K259" s="18">
        <f t="shared" si="21"/>
        <v>194.55252918287937</v>
      </c>
      <c r="N259" s="30"/>
    </row>
    <row r="260" spans="1:14" x14ac:dyDescent="0.35">
      <c r="A260" s="24" t="s">
        <v>233</v>
      </c>
      <c r="B260" s="24" t="str">
        <f t="shared" si="19"/>
        <v>Tim xào giá hẹGiá</v>
      </c>
      <c r="C260" s="24" t="s">
        <v>8</v>
      </c>
      <c r="D260" t="s">
        <v>19</v>
      </c>
      <c r="E260" t="s">
        <v>227</v>
      </c>
      <c r="F260" t="s">
        <v>26</v>
      </c>
      <c r="G260" s="17">
        <v>18</v>
      </c>
      <c r="H260" s="18">
        <v>10000</v>
      </c>
      <c r="I260" s="18">
        <v>257</v>
      </c>
      <c r="J260" s="17">
        <f t="shared" si="20"/>
        <v>7.0038910505836577E-2</v>
      </c>
      <c r="K260" s="18">
        <f t="shared" si="21"/>
        <v>700.38910505836577</v>
      </c>
    </row>
    <row r="261" spans="1:14" x14ac:dyDescent="0.35">
      <c r="A261" s="24" t="s">
        <v>232</v>
      </c>
      <c r="B261" s="24" t="str">
        <f t="shared" si="19"/>
        <v>Bún chả cáBí đỏ</v>
      </c>
      <c r="C261" s="24" t="s">
        <v>8</v>
      </c>
      <c r="D261" t="s">
        <v>20</v>
      </c>
      <c r="E261" t="s">
        <v>267</v>
      </c>
      <c r="F261" t="s">
        <v>103</v>
      </c>
      <c r="G261" s="17">
        <v>3.5</v>
      </c>
      <c r="H261" s="18">
        <v>12000</v>
      </c>
      <c r="I261" s="18">
        <v>100</v>
      </c>
      <c r="J261" s="17">
        <f t="shared" si="20"/>
        <v>3.5000000000000003E-2</v>
      </c>
      <c r="K261" s="18">
        <f t="shared" si="21"/>
        <v>420</v>
      </c>
      <c r="N261" s="30"/>
    </row>
    <row r="262" spans="1:14" x14ac:dyDescent="0.35">
      <c r="A262" s="24" t="s">
        <v>232</v>
      </c>
      <c r="B262" s="24" t="str">
        <f t="shared" si="19"/>
        <v>Bún chả cáChanh</v>
      </c>
      <c r="C262" s="24" t="s">
        <v>8</v>
      </c>
      <c r="D262" t="s">
        <v>20</v>
      </c>
      <c r="E262" t="s">
        <v>267</v>
      </c>
      <c r="F262" t="s">
        <v>25</v>
      </c>
      <c r="G262" s="17">
        <v>0.8</v>
      </c>
      <c r="H262" s="18">
        <v>26000</v>
      </c>
      <c r="I262" s="18">
        <v>100</v>
      </c>
      <c r="J262" s="17">
        <f t="shared" si="20"/>
        <v>8.0000000000000002E-3</v>
      </c>
      <c r="K262" s="18">
        <f t="shared" si="21"/>
        <v>208</v>
      </c>
    </row>
    <row r="263" spans="1:14" x14ac:dyDescent="0.35">
      <c r="A263" s="24" t="s">
        <v>232</v>
      </c>
      <c r="B263" s="24" t="str">
        <f t="shared" si="19"/>
        <v>Bún chả cáGiá giò</v>
      </c>
      <c r="C263" s="24" t="s">
        <v>8</v>
      </c>
      <c r="D263" t="s">
        <v>20</v>
      </c>
      <c r="E263" t="s">
        <v>267</v>
      </c>
      <c r="F263" t="s">
        <v>384</v>
      </c>
      <c r="G263" s="17">
        <v>2.5</v>
      </c>
      <c r="H263" s="18">
        <v>10000</v>
      </c>
      <c r="I263" s="18">
        <v>100</v>
      </c>
      <c r="J263" s="17">
        <f t="shared" si="20"/>
        <v>2.5000000000000001E-2</v>
      </c>
      <c r="K263" s="18">
        <f t="shared" si="21"/>
        <v>250</v>
      </c>
    </row>
    <row r="264" spans="1:14" x14ac:dyDescent="0.35">
      <c r="A264" s="24" t="s">
        <v>232</v>
      </c>
      <c r="B264" s="24" t="str">
        <f t="shared" si="19"/>
        <v>Bún chả cáHành lá</v>
      </c>
      <c r="C264" s="24" t="s">
        <v>8</v>
      </c>
      <c r="D264" t="s">
        <v>20</v>
      </c>
      <c r="E264" t="s">
        <v>267</v>
      </c>
      <c r="F264" t="s">
        <v>24</v>
      </c>
      <c r="G264" s="17">
        <v>0.4</v>
      </c>
      <c r="H264" s="18">
        <v>20000</v>
      </c>
      <c r="I264" s="18">
        <v>100</v>
      </c>
      <c r="J264" s="17">
        <f t="shared" si="20"/>
        <v>4.0000000000000001E-3</v>
      </c>
      <c r="K264" s="18">
        <f t="shared" si="21"/>
        <v>80</v>
      </c>
    </row>
    <row r="265" spans="1:14" x14ac:dyDescent="0.35">
      <c r="A265" s="24" t="s">
        <v>232</v>
      </c>
      <c r="B265" s="24" t="str">
        <f t="shared" si="19"/>
        <v>Bún chả cáHành tây</v>
      </c>
      <c r="C265" s="24" t="s">
        <v>8</v>
      </c>
      <c r="D265" t="s">
        <v>20</v>
      </c>
      <c r="E265" t="s">
        <v>267</v>
      </c>
      <c r="F265" t="s">
        <v>35</v>
      </c>
      <c r="G265" s="17">
        <v>0.3</v>
      </c>
      <c r="H265" s="18">
        <v>15000</v>
      </c>
      <c r="I265" s="18">
        <v>100</v>
      </c>
      <c r="J265" s="17">
        <f t="shared" si="20"/>
        <v>3.0000000000000001E-3</v>
      </c>
      <c r="K265" s="18">
        <f t="shared" si="21"/>
        <v>45</v>
      </c>
    </row>
    <row r="266" spans="1:14" x14ac:dyDescent="0.35">
      <c r="A266" s="24" t="s">
        <v>232</v>
      </c>
      <c r="B266" s="24" t="str">
        <f t="shared" si="19"/>
        <v>Bún chả cáRau quế</v>
      </c>
      <c r="C266" s="24" t="s">
        <v>8</v>
      </c>
      <c r="D266" t="s">
        <v>20</v>
      </c>
      <c r="E266" t="s">
        <v>267</v>
      </c>
      <c r="F266" t="s">
        <v>23</v>
      </c>
      <c r="G266" s="17">
        <v>0.2</v>
      </c>
      <c r="H266" s="18">
        <v>30000</v>
      </c>
      <c r="I266" s="18">
        <v>100</v>
      </c>
      <c r="J266" s="17">
        <f t="shared" si="20"/>
        <v>2E-3</v>
      </c>
      <c r="K266" s="18">
        <f t="shared" si="21"/>
        <v>60</v>
      </c>
    </row>
    <row r="267" spans="1:14" x14ac:dyDescent="0.35">
      <c r="A267" s="24" t="s">
        <v>232</v>
      </c>
      <c r="B267" s="24" t="str">
        <f t="shared" si="19"/>
        <v>Bún chả cáSu trắng</v>
      </c>
      <c r="C267" s="24" t="s">
        <v>8</v>
      </c>
      <c r="D267" t="s">
        <v>20</v>
      </c>
      <c r="E267" t="s">
        <v>267</v>
      </c>
      <c r="F267" t="s">
        <v>39</v>
      </c>
      <c r="G267" s="17">
        <v>1.5</v>
      </c>
      <c r="H267" s="18">
        <v>10000</v>
      </c>
      <c r="I267" s="18">
        <v>100</v>
      </c>
      <c r="J267" s="17">
        <f t="shared" si="20"/>
        <v>1.4999999999999999E-2</v>
      </c>
      <c r="K267" s="18">
        <f t="shared" si="21"/>
        <v>150</v>
      </c>
    </row>
    <row r="268" spans="1:14" x14ac:dyDescent="0.35">
      <c r="A268" s="24" t="s">
        <v>232</v>
      </c>
      <c r="B268" s="24" t="str">
        <f t="shared" si="19"/>
        <v>Bún chả cáXà lách</v>
      </c>
      <c r="C268" s="24" t="s">
        <v>8</v>
      </c>
      <c r="D268" t="s">
        <v>20</v>
      </c>
      <c r="E268" t="s">
        <v>267</v>
      </c>
      <c r="F268" t="s">
        <v>197</v>
      </c>
      <c r="G268" s="17">
        <v>1</v>
      </c>
      <c r="H268" s="18">
        <v>22000</v>
      </c>
      <c r="I268" s="18">
        <v>100</v>
      </c>
      <c r="J268" s="17">
        <f t="shared" si="20"/>
        <v>0.01</v>
      </c>
      <c r="K268" s="18">
        <f t="shared" si="21"/>
        <v>220</v>
      </c>
    </row>
    <row r="269" spans="1:14" x14ac:dyDescent="0.35">
      <c r="A269" s="24" t="s">
        <v>232</v>
      </c>
      <c r="B269" s="24" t="str">
        <f t="shared" si="19"/>
        <v>Bún chả cáĐu đủ xanh</v>
      </c>
      <c r="C269" s="24" t="s">
        <v>8</v>
      </c>
      <c r="D269" t="s">
        <v>20</v>
      </c>
      <c r="E269" t="s">
        <v>267</v>
      </c>
      <c r="F269" t="s">
        <v>302</v>
      </c>
      <c r="G269" s="17">
        <v>0.8</v>
      </c>
      <c r="H269" s="18">
        <v>12000</v>
      </c>
      <c r="I269" s="18">
        <v>100</v>
      </c>
      <c r="J269" s="17">
        <f t="shared" si="20"/>
        <v>8.0000000000000002E-3</v>
      </c>
      <c r="K269" s="18">
        <f t="shared" si="21"/>
        <v>96</v>
      </c>
    </row>
    <row r="270" spans="1:14" x14ac:dyDescent="0.35">
      <c r="A270" s="24" t="s">
        <v>232</v>
      </c>
      <c r="B270" s="24" t="str">
        <f t="shared" si="19"/>
        <v>Bún chả cáCà rốt</v>
      </c>
      <c r="C270" s="24" t="s">
        <v>8</v>
      </c>
      <c r="D270" t="s">
        <v>20</v>
      </c>
      <c r="E270" t="s">
        <v>267</v>
      </c>
      <c r="F270" t="s">
        <v>78</v>
      </c>
      <c r="G270" s="17">
        <v>0.8</v>
      </c>
      <c r="H270" s="18">
        <v>15000</v>
      </c>
      <c r="I270" s="18">
        <v>100</v>
      </c>
      <c r="J270" s="17">
        <f t="shared" si="20"/>
        <v>8.0000000000000002E-3</v>
      </c>
      <c r="K270" s="18">
        <f t="shared" si="21"/>
        <v>120</v>
      </c>
    </row>
    <row r="271" spans="1:14" x14ac:dyDescent="0.35">
      <c r="A271" s="24" t="s">
        <v>232</v>
      </c>
      <c r="B271" s="24" t="str">
        <f t="shared" si="19"/>
        <v>Bún chả cáHành tái</v>
      </c>
      <c r="C271" s="24" t="s">
        <v>8</v>
      </c>
      <c r="D271" t="s">
        <v>20</v>
      </c>
      <c r="E271" t="s">
        <v>267</v>
      </c>
      <c r="F271" t="s">
        <v>371</v>
      </c>
      <c r="G271" s="17">
        <v>0.3</v>
      </c>
      <c r="H271" s="18">
        <v>40000</v>
      </c>
      <c r="I271" s="18">
        <v>100</v>
      </c>
      <c r="J271" s="17">
        <f t="shared" si="20"/>
        <v>3.0000000000000001E-3</v>
      </c>
      <c r="K271" s="18">
        <f t="shared" si="21"/>
        <v>120</v>
      </c>
    </row>
    <row r="272" spans="1:14" x14ac:dyDescent="0.35">
      <c r="A272" s="24" t="s">
        <v>232</v>
      </c>
      <c r="B272" s="24" t="str">
        <f t="shared" si="19"/>
        <v>Bún chả cáChả cá đồng tiền</v>
      </c>
      <c r="C272" s="24" t="s">
        <v>8</v>
      </c>
      <c r="D272" t="s">
        <v>20</v>
      </c>
      <c r="E272" t="s">
        <v>267</v>
      </c>
      <c r="F272" t="s">
        <v>386</v>
      </c>
      <c r="G272" s="17">
        <v>2.2999999999999998</v>
      </c>
      <c r="H272" s="18">
        <v>100000</v>
      </c>
      <c r="I272" s="18">
        <v>100</v>
      </c>
      <c r="J272" s="17">
        <f t="shared" si="20"/>
        <v>2.3E-2</v>
      </c>
      <c r="K272" s="18">
        <f t="shared" si="21"/>
        <v>2299.9999999999995</v>
      </c>
    </row>
    <row r="273" spans="1:15" x14ac:dyDescent="0.35">
      <c r="A273" s="24" t="s">
        <v>232</v>
      </c>
      <c r="B273" s="24" t="str">
        <f t="shared" si="19"/>
        <v>Bún chả cáChả cá hấp</v>
      </c>
      <c r="C273" s="24" t="s">
        <v>8</v>
      </c>
      <c r="D273" t="s">
        <v>20</v>
      </c>
      <c r="E273" t="s">
        <v>267</v>
      </c>
      <c r="F273" t="s">
        <v>269</v>
      </c>
      <c r="G273" s="17">
        <v>4</v>
      </c>
      <c r="H273" s="18">
        <v>100000</v>
      </c>
      <c r="I273" s="18">
        <v>100</v>
      </c>
      <c r="J273" s="17">
        <f t="shared" si="20"/>
        <v>0.04</v>
      </c>
      <c r="K273" s="18">
        <f t="shared" si="21"/>
        <v>4000</v>
      </c>
    </row>
    <row r="274" spans="1:15" x14ac:dyDescent="0.35">
      <c r="A274" s="24" t="s">
        <v>232</v>
      </c>
      <c r="B274" s="24" t="str">
        <f t="shared" si="19"/>
        <v>Bún chả cáChả cá tấm chiên</v>
      </c>
      <c r="C274" s="24" t="s">
        <v>8</v>
      </c>
      <c r="D274" t="s">
        <v>20</v>
      </c>
      <c r="E274" t="s">
        <v>267</v>
      </c>
      <c r="F274" t="s">
        <v>268</v>
      </c>
      <c r="G274" s="17">
        <v>3.7</v>
      </c>
      <c r="H274" s="18">
        <v>70000</v>
      </c>
      <c r="I274" s="18">
        <v>100</v>
      </c>
      <c r="J274" s="17">
        <f t="shared" si="20"/>
        <v>3.7000000000000005E-2</v>
      </c>
      <c r="K274" s="18">
        <f t="shared" si="21"/>
        <v>2590</v>
      </c>
    </row>
    <row r="275" spans="1:15" x14ac:dyDescent="0.35">
      <c r="A275" s="24" t="s">
        <v>232</v>
      </c>
      <c r="B275" s="24" t="str">
        <f t="shared" si="19"/>
        <v>Bún chả cáThơm</v>
      </c>
      <c r="C275" s="24" t="s">
        <v>8</v>
      </c>
      <c r="D275" t="s">
        <v>20</v>
      </c>
      <c r="E275" t="s">
        <v>267</v>
      </c>
      <c r="F275" t="s">
        <v>4</v>
      </c>
      <c r="G275" s="17">
        <v>1.5</v>
      </c>
      <c r="H275" s="18">
        <v>17000</v>
      </c>
      <c r="I275" s="18">
        <v>100</v>
      </c>
      <c r="J275" s="17">
        <f t="shared" si="20"/>
        <v>1.4999999999999999E-2</v>
      </c>
      <c r="K275" s="18">
        <f t="shared" si="21"/>
        <v>255</v>
      </c>
    </row>
    <row r="276" spans="1:15" x14ac:dyDescent="0.35">
      <c r="A276" s="24" t="s">
        <v>232</v>
      </c>
      <c r="B276" s="24" t="str">
        <f t="shared" si="19"/>
        <v>Bún chả cáCà chua</v>
      </c>
      <c r="C276" s="24" t="s">
        <v>8</v>
      </c>
      <c r="D276" t="s">
        <v>20</v>
      </c>
      <c r="E276" t="s">
        <v>267</v>
      </c>
      <c r="F276" t="s">
        <v>14</v>
      </c>
      <c r="G276" s="17">
        <v>0.5</v>
      </c>
      <c r="H276" s="18">
        <v>20000</v>
      </c>
      <c r="I276" s="18">
        <v>100</v>
      </c>
      <c r="J276" s="17">
        <f t="shared" si="20"/>
        <v>5.0000000000000001E-3</v>
      </c>
      <c r="K276" s="18">
        <f t="shared" si="21"/>
        <v>100</v>
      </c>
    </row>
    <row r="277" spans="1:15" x14ac:dyDescent="0.35">
      <c r="A277" s="24" t="s">
        <v>233</v>
      </c>
      <c r="B277" s="24" t="str">
        <f t="shared" si="19"/>
        <v>Bún chả cáCua đồng</v>
      </c>
      <c r="C277" s="24" t="s">
        <v>8</v>
      </c>
      <c r="D277" t="s">
        <v>20</v>
      </c>
      <c r="E277" t="s">
        <v>267</v>
      </c>
      <c r="F277" t="s">
        <v>403</v>
      </c>
      <c r="G277" s="17">
        <v>0.5</v>
      </c>
      <c r="H277" s="18">
        <v>50000</v>
      </c>
      <c r="I277" s="18">
        <v>100</v>
      </c>
      <c r="J277" s="17">
        <f t="shared" si="20"/>
        <v>5.0000000000000001E-3</v>
      </c>
      <c r="K277" s="18">
        <f t="shared" si="21"/>
        <v>250</v>
      </c>
    </row>
    <row r="278" spans="1:15" x14ac:dyDescent="0.35">
      <c r="A278" s="24" t="s">
        <v>233</v>
      </c>
      <c r="B278" s="24" t="str">
        <f t="shared" si="19"/>
        <v>Bún chả cáSả</v>
      </c>
      <c r="C278" s="24" t="s">
        <v>8</v>
      </c>
      <c r="D278" t="s">
        <v>20</v>
      </c>
      <c r="E278" t="s">
        <v>267</v>
      </c>
      <c r="F278" t="s">
        <v>207</v>
      </c>
      <c r="G278" s="17">
        <v>0.3</v>
      </c>
      <c r="H278" s="18">
        <v>30000</v>
      </c>
      <c r="I278" s="18">
        <v>100</v>
      </c>
      <c r="J278" s="17">
        <f t="shared" si="20"/>
        <v>3.0000000000000001E-3</v>
      </c>
      <c r="K278" s="18">
        <f t="shared" si="21"/>
        <v>90</v>
      </c>
      <c r="N278" s="30"/>
    </row>
    <row r="279" spans="1:15" x14ac:dyDescent="0.35">
      <c r="A279" s="24" t="s">
        <v>233</v>
      </c>
      <c r="B279" s="24" t="str">
        <f t="shared" si="19"/>
        <v>Bún chả cáMắm ruốc</v>
      </c>
      <c r="C279" s="24" t="s">
        <v>8</v>
      </c>
      <c r="D279" t="s">
        <v>20</v>
      </c>
      <c r="E279" t="s">
        <v>267</v>
      </c>
      <c r="F279" t="s">
        <v>282</v>
      </c>
      <c r="G279" s="17">
        <v>0.5</v>
      </c>
      <c r="H279" s="18">
        <v>30000</v>
      </c>
      <c r="I279" s="18">
        <v>100</v>
      </c>
      <c r="J279" s="17">
        <f t="shared" si="20"/>
        <v>5.0000000000000001E-3</v>
      </c>
      <c r="K279" s="18">
        <f t="shared" si="21"/>
        <v>150</v>
      </c>
    </row>
    <row r="280" spans="1:15" x14ac:dyDescent="0.35">
      <c r="A280" s="24" t="s">
        <v>233</v>
      </c>
      <c r="B280" s="24" t="str">
        <f t="shared" si="19"/>
        <v>Bún chả cáTương rim</v>
      </c>
      <c r="C280" s="24" t="s">
        <v>8</v>
      </c>
      <c r="D280" t="s">
        <v>20</v>
      </c>
      <c r="E280" t="s">
        <v>267</v>
      </c>
      <c r="F280" t="s">
        <v>358</v>
      </c>
      <c r="G280" s="17">
        <v>1.5</v>
      </c>
      <c r="H280" s="18">
        <v>15000</v>
      </c>
      <c r="I280" s="18">
        <v>100</v>
      </c>
      <c r="J280" s="17">
        <f t="shared" si="20"/>
        <v>1.4999999999999999E-2</v>
      </c>
      <c r="K280" s="18">
        <f t="shared" si="21"/>
        <v>225</v>
      </c>
    </row>
    <row r="281" spans="1:15" x14ac:dyDescent="0.35">
      <c r="A281" s="24" t="s">
        <v>233</v>
      </c>
      <c r="B281" s="24" t="str">
        <f t="shared" si="19"/>
        <v>Bún chả cáBún tươi</v>
      </c>
      <c r="C281" s="24" t="s">
        <v>8</v>
      </c>
      <c r="D281" t="s">
        <v>20</v>
      </c>
      <c r="E281" t="s">
        <v>267</v>
      </c>
      <c r="F281" t="s">
        <v>387</v>
      </c>
      <c r="G281" s="17">
        <v>33</v>
      </c>
      <c r="H281" s="18">
        <v>9500</v>
      </c>
      <c r="I281" s="18">
        <v>100</v>
      </c>
      <c r="J281" s="17">
        <f t="shared" si="20"/>
        <v>0.33</v>
      </c>
      <c r="K281" s="18">
        <f t="shared" si="21"/>
        <v>3135</v>
      </c>
    </row>
    <row r="282" spans="1:15" x14ac:dyDescent="0.35">
      <c r="A282" s="24" t="s">
        <v>232</v>
      </c>
      <c r="B282" s="24" t="str">
        <f t="shared" si="19"/>
        <v>Cá phèn mắm tỏiCá phèn</v>
      </c>
      <c r="C282" s="24" t="s">
        <v>8</v>
      </c>
      <c r="D282" t="s">
        <v>18</v>
      </c>
      <c r="E282" t="s">
        <v>271</v>
      </c>
      <c r="F282" t="s">
        <v>84</v>
      </c>
      <c r="G282" s="17">
        <v>0.12</v>
      </c>
      <c r="H282" s="18">
        <v>37000</v>
      </c>
      <c r="I282" s="18">
        <v>1</v>
      </c>
      <c r="J282" s="17">
        <f t="shared" si="20"/>
        <v>0.12</v>
      </c>
      <c r="K282" s="18">
        <f t="shared" si="21"/>
        <v>4440</v>
      </c>
      <c r="O282" s="130"/>
    </row>
    <row r="283" spans="1:15" x14ac:dyDescent="0.35">
      <c r="A283" s="24" t="s">
        <v>232</v>
      </c>
      <c r="B283" s="24" t="str">
        <f t="shared" si="19"/>
        <v>Gà kho măngMá đùi gà</v>
      </c>
      <c r="C283" s="24" t="s">
        <v>8</v>
      </c>
      <c r="D283" t="s">
        <v>18</v>
      </c>
      <c r="E283" t="s">
        <v>272</v>
      </c>
      <c r="F283" t="s">
        <v>456</v>
      </c>
      <c r="G283" s="17">
        <v>11</v>
      </c>
      <c r="H283" s="18">
        <v>40000</v>
      </c>
      <c r="I283" s="18">
        <v>100</v>
      </c>
      <c r="J283" s="17">
        <f t="shared" si="20"/>
        <v>0.11</v>
      </c>
      <c r="K283" s="18">
        <f t="shared" si="21"/>
        <v>4400</v>
      </c>
      <c r="O283" s="130"/>
    </row>
    <row r="284" spans="1:15" x14ac:dyDescent="0.35">
      <c r="A284" s="24" t="s">
        <v>233</v>
      </c>
      <c r="B284" s="24" t="str">
        <f t="shared" si="19"/>
        <v>Gà kho măngSả</v>
      </c>
      <c r="C284" s="24" t="s">
        <v>8</v>
      </c>
      <c r="D284" t="s">
        <v>18</v>
      </c>
      <c r="E284" t="s">
        <v>272</v>
      </c>
      <c r="F284" t="s">
        <v>207</v>
      </c>
      <c r="G284" s="17">
        <v>3</v>
      </c>
      <c r="H284" s="18">
        <v>8000</v>
      </c>
      <c r="I284" s="18">
        <v>100</v>
      </c>
      <c r="J284" s="17">
        <f t="shared" si="20"/>
        <v>0.03</v>
      </c>
      <c r="K284" s="18">
        <f t="shared" ref="K284:K347" si="26">(G284*H284)/I284</f>
        <v>240</v>
      </c>
      <c r="O284" s="130">
        <f t="shared" ref="O282:O285" si="27">G284*1.1</f>
        <v>3.3000000000000003</v>
      </c>
    </row>
    <row r="285" spans="1:15" x14ac:dyDescent="0.35">
      <c r="A285" s="24" t="s">
        <v>233</v>
      </c>
      <c r="B285" s="24" t="str">
        <f t="shared" si="19"/>
        <v>Gà kho măngMăng vàng</v>
      </c>
      <c r="C285" s="24" t="s">
        <v>8</v>
      </c>
      <c r="D285" t="s">
        <v>18</v>
      </c>
      <c r="E285" t="s">
        <v>272</v>
      </c>
      <c r="F285" t="s">
        <v>136</v>
      </c>
      <c r="G285" s="17">
        <v>3</v>
      </c>
      <c r="H285" s="18">
        <v>25000</v>
      </c>
      <c r="I285" s="18">
        <v>100</v>
      </c>
      <c r="J285" s="17">
        <f t="shared" si="20"/>
        <v>0.03</v>
      </c>
      <c r="K285" s="18">
        <f t="shared" si="26"/>
        <v>750</v>
      </c>
      <c r="O285" s="130">
        <f t="shared" si="27"/>
        <v>3.3000000000000003</v>
      </c>
    </row>
    <row r="286" spans="1:15" x14ac:dyDescent="0.35">
      <c r="A286" s="24" t="s">
        <v>232</v>
      </c>
      <c r="B286" s="24" t="str">
        <f t="shared" si="19"/>
        <v>Chả rim trứng cútChả cá tấm</v>
      </c>
      <c r="C286" s="24" t="s">
        <v>8</v>
      </c>
      <c r="D286" t="s">
        <v>19</v>
      </c>
      <c r="E286" t="s">
        <v>273</v>
      </c>
      <c r="F286" t="s">
        <v>339</v>
      </c>
      <c r="G286" s="17">
        <v>0.02</v>
      </c>
      <c r="H286" s="18">
        <v>90000</v>
      </c>
      <c r="I286" s="18">
        <v>1</v>
      </c>
      <c r="J286" s="17">
        <f t="shared" si="20"/>
        <v>0.02</v>
      </c>
      <c r="K286" s="18">
        <f t="shared" si="26"/>
        <v>1800</v>
      </c>
    </row>
    <row r="287" spans="1:15" x14ac:dyDescent="0.35">
      <c r="A287" s="24" t="s">
        <v>232</v>
      </c>
      <c r="B287" s="24" t="str">
        <f t="shared" si="19"/>
        <v>Chả rim trứng cútTrứng cút</v>
      </c>
      <c r="C287" s="24" t="s">
        <v>8</v>
      </c>
      <c r="D287" t="s">
        <v>19</v>
      </c>
      <c r="E287" t="s">
        <v>273</v>
      </c>
      <c r="F287" t="s">
        <v>169</v>
      </c>
      <c r="G287" s="17">
        <v>3</v>
      </c>
      <c r="H287" s="18">
        <v>600</v>
      </c>
      <c r="I287" s="18">
        <v>1</v>
      </c>
      <c r="J287" s="17">
        <f t="shared" si="20"/>
        <v>3</v>
      </c>
      <c r="K287" s="18">
        <f t="shared" si="26"/>
        <v>1800</v>
      </c>
    </row>
    <row r="288" spans="1:15" x14ac:dyDescent="0.35">
      <c r="A288" s="24" t="s">
        <v>232</v>
      </c>
      <c r="B288" s="24" t="str">
        <f t="shared" si="19"/>
        <v>Gà kho sảMá đùi gà</v>
      </c>
      <c r="C288" s="24" t="s">
        <v>8</v>
      </c>
      <c r="D288" t="s">
        <v>18</v>
      </c>
      <c r="E288" t="s">
        <v>274</v>
      </c>
      <c r="F288" t="s">
        <v>456</v>
      </c>
      <c r="G288" s="17">
        <v>13.5</v>
      </c>
      <c r="H288" s="18">
        <v>40000</v>
      </c>
      <c r="I288" s="18">
        <v>100</v>
      </c>
      <c r="J288" s="17">
        <f t="shared" si="20"/>
        <v>0.13500000000000001</v>
      </c>
      <c r="K288" s="18">
        <f t="shared" si="26"/>
        <v>5400</v>
      </c>
      <c r="O288" s="130"/>
    </row>
    <row r="289" spans="1:15" x14ac:dyDescent="0.35">
      <c r="A289" s="24" t="s">
        <v>233</v>
      </c>
      <c r="B289" s="24" t="str">
        <f t="shared" si="19"/>
        <v>Gà kho sảSả</v>
      </c>
      <c r="C289" s="24" t="s">
        <v>8</v>
      </c>
      <c r="D289" t="s">
        <v>18</v>
      </c>
      <c r="E289" t="s">
        <v>274</v>
      </c>
      <c r="F289" t="s">
        <v>207</v>
      </c>
      <c r="G289" s="17">
        <v>1</v>
      </c>
      <c r="H289" s="18">
        <v>8000</v>
      </c>
      <c r="I289" s="18">
        <v>100</v>
      </c>
      <c r="J289" s="17">
        <f t="shared" si="20"/>
        <v>0.01</v>
      </c>
      <c r="K289" s="18">
        <f t="shared" si="26"/>
        <v>80</v>
      </c>
      <c r="O289" s="130">
        <f t="shared" ref="O288:O296" si="28">G289*1.1</f>
        <v>1.1000000000000001</v>
      </c>
    </row>
    <row r="290" spans="1:15" x14ac:dyDescent="0.35">
      <c r="A290" s="24" t="s">
        <v>232</v>
      </c>
      <c r="B290" s="24" t="str">
        <f t="shared" si="19"/>
        <v>Thịt heo kho trứngThịt nạc vai</v>
      </c>
      <c r="C290" s="24" t="s">
        <v>8</v>
      </c>
      <c r="D290" t="s">
        <v>18</v>
      </c>
      <c r="E290" t="s">
        <v>275</v>
      </c>
      <c r="F290" t="s">
        <v>85</v>
      </c>
      <c r="G290" s="17">
        <v>3</v>
      </c>
      <c r="H290" s="18">
        <v>85000</v>
      </c>
      <c r="I290" s="18">
        <v>100</v>
      </c>
      <c r="J290" s="17">
        <f t="shared" si="20"/>
        <v>0.03</v>
      </c>
      <c r="K290" s="18">
        <f t="shared" si="26"/>
        <v>2550</v>
      </c>
      <c r="O290" s="130"/>
    </row>
    <row r="291" spans="1:15" x14ac:dyDescent="0.35">
      <c r="A291" s="24" t="s">
        <v>232</v>
      </c>
      <c r="B291" s="24" t="str">
        <f t="shared" si="19"/>
        <v>Thịt heo kho trứngThịt nọng</v>
      </c>
      <c r="C291" s="24" t="s">
        <v>8</v>
      </c>
      <c r="D291" t="s">
        <v>18</v>
      </c>
      <c r="E291" t="s">
        <v>275</v>
      </c>
      <c r="F291" t="s">
        <v>59</v>
      </c>
      <c r="G291" s="17">
        <v>1.5</v>
      </c>
      <c r="H291" s="18">
        <v>70000</v>
      </c>
      <c r="I291" s="18">
        <v>100</v>
      </c>
      <c r="J291" s="17">
        <f t="shared" si="20"/>
        <v>1.4999999999999999E-2</v>
      </c>
      <c r="K291" s="18">
        <f t="shared" si="26"/>
        <v>1050</v>
      </c>
      <c r="O291" s="130"/>
    </row>
    <row r="292" spans="1:15" x14ac:dyDescent="0.35">
      <c r="A292" s="24" t="s">
        <v>232</v>
      </c>
      <c r="B292" s="24" t="str">
        <f t="shared" si="19"/>
        <v>Thịt heo kho trứngTrứng cút</v>
      </c>
      <c r="C292" s="24" t="s">
        <v>8</v>
      </c>
      <c r="D292" t="s">
        <v>18</v>
      </c>
      <c r="E292" t="s">
        <v>275</v>
      </c>
      <c r="F292" t="s">
        <v>169</v>
      </c>
      <c r="G292" s="17">
        <v>2</v>
      </c>
      <c r="H292" s="18">
        <v>600</v>
      </c>
      <c r="I292" s="18">
        <v>2</v>
      </c>
      <c r="J292" s="17">
        <f t="shared" si="20"/>
        <v>1</v>
      </c>
      <c r="K292" s="18">
        <f t="shared" si="26"/>
        <v>600</v>
      </c>
      <c r="O292" s="130"/>
    </row>
    <row r="293" spans="1:15" x14ac:dyDescent="0.35">
      <c r="A293" s="24" t="s">
        <v>232</v>
      </c>
      <c r="B293" s="24" t="str">
        <f t="shared" si="19"/>
        <v>Thịt kho đậu khuônThịt nạc vai</v>
      </c>
      <c r="C293" s="24" t="s">
        <v>8</v>
      </c>
      <c r="D293" t="s">
        <v>18</v>
      </c>
      <c r="E293" t="s">
        <v>276</v>
      </c>
      <c r="F293" t="s">
        <v>85</v>
      </c>
      <c r="G293" s="17">
        <v>2</v>
      </c>
      <c r="H293" s="18">
        <v>85000</v>
      </c>
      <c r="I293" s="18">
        <v>100</v>
      </c>
      <c r="J293" s="17">
        <f t="shared" si="20"/>
        <v>0.02</v>
      </c>
      <c r="K293" s="18">
        <f t="shared" si="26"/>
        <v>1700</v>
      </c>
      <c r="O293" s="130"/>
    </row>
    <row r="294" spans="1:15" x14ac:dyDescent="0.35">
      <c r="A294" s="24" t="s">
        <v>232</v>
      </c>
      <c r="B294" s="24" t="str">
        <f t="shared" ref="B294:B365" si="29">E294&amp;F294</f>
        <v>Thịt kho đậu khuônThịt nọng</v>
      </c>
      <c r="C294" s="24" t="s">
        <v>8</v>
      </c>
      <c r="D294" t="s">
        <v>18</v>
      </c>
      <c r="E294" t="s">
        <v>276</v>
      </c>
      <c r="F294" t="s">
        <v>59</v>
      </c>
      <c r="G294" s="17">
        <v>1.5</v>
      </c>
      <c r="H294" s="18">
        <v>65000</v>
      </c>
      <c r="I294" s="18">
        <v>100</v>
      </c>
      <c r="J294" s="17">
        <f t="shared" ref="J294:J357" si="30">G294/I294</f>
        <v>1.4999999999999999E-2</v>
      </c>
      <c r="K294" s="18">
        <f t="shared" si="26"/>
        <v>975</v>
      </c>
      <c r="O294" s="130"/>
    </row>
    <row r="295" spans="1:15" x14ac:dyDescent="0.35">
      <c r="A295" s="24" t="s">
        <v>232</v>
      </c>
      <c r="B295" s="24" t="str">
        <f t="shared" si="29"/>
        <v>Thịt kho đậu khuônĐậu khuôn</v>
      </c>
      <c r="C295" s="24" t="s">
        <v>8</v>
      </c>
      <c r="D295" t="s">
        <v>18</v>
      </c>
      <c r="E295" t="s">
        <v>276</v>
      </c>
      <c r="F295" t="s">
        <v>114</v>
      </c>
      <c r="G295" s="17">
        <v>2</v>
      </c>
      <c r="H295" s="18">
        <v>1600</v>
      </c>
      <c r="I295" s="18">
        <v>3</v>
      </c>
      <c r="J295" s="17">
        <f t="shared" si="30"/>
        <v>0.66666666666666663</v>
      </c>
      <c r="K295" s="18">
        <f t="shared" si="26"/>
        <v>1066.6666666666667</v>
      </c>
      <c r="O295" s="130"/>
    </row>
    <row r="296" spans="1:15" x14ac:dyDescent="0.35">
      <c r="A296" s="24" t="s">
        <v>232</v>
      </c>
      <c r="B296" s="24" t="str">
        <f t="shared" si="29"/>
        <v>Cá chim mắm tỏiCá chim</v>
      </c>
      <c r="C296" s="24" t="s">
        <v>8</v>
      </c>
      <c r="D296" t="s">
        <v>18</v>
      </c>
      <c r="E296" t="s">
        <v>277</v>
      </c>
      <c r="F296" t="s">
        <v>57</v>
      </c>
      <c r="G296" s="17">
        <v>0.15</v>
      </c>
      <c r="H296" s="18">
        <v>37000</v>
      </c>
      <c r="I296" s="18">
        <v>1</v>
      </c>
      <c r="J296" s="17">
        <f t="shared" si="30"/>
        <v>0.15</v>
      </c>
      <c r="K296" s="18">
        <f t="shared" si="26"/>
        <v>5550</v>
      </c>
      <c r="O296" s="130"/>
    </row>
    <row r="297" spans="1:15" x14ac:dyDescent="0.35">
      <c r="A297" s="24" t="s">
        <v>232</v>
      </c>
      <c r="B297" s="24" t="str">
        <f t="shared" si="29"/>
        <v>Chả viên sốt càChả quết</v>
      </c>
      <c r="C297" s="24" t="s">
        <v>8</v>
      </c>
      <c r="D297" t="s">
        <v>19</v>
      </c>
      <c r="E297" t="s">
        <v>279</v>
      </c>
      <c r="F297" t="s">
        <v>166</v>
      </c>
      <c r="G297" s="17">
        <v>1.5</v>
      </c>
      <c r="H297" s="18">
        <v>120000</v>
      </c>
      <c r="I297" s="18">
        <v>100</v>
      </c>
      <c r="J297" s="17">
        <f t="shared" si="30"/>
        <v>1.4999999999999999E-2</v>
      </c>
      <c r="K297" s="18">
        <f t="shared" si="26"/>
        <v>1800</v>
      </c>
    </row>
    <row r="298" spans="1:15" x14ac:dyDescent="0.35">
      <c r="A298" s="24" t="s">
        <v>232</v>
      </c>
      <c r="B298" s="24" t="str">
        <f t="shared" si="29"/>
        <v>Chả viên sốt càThịt xay</v>
      </c>
      <c r="C298" s="24" t="s">
        <v>8</v>
      </c>
      <c r="D298" t="s">
        <v>19</v>
      </c>
      <c r="E298" t="s">
        <v>279</v>
      </c>
      <c r="F298" t="s">
        <v>31</v>
      </c>
      <c r="G298" s="17">
        <v>2</v>
      </c>
      <c r="H298" s="18">
        <v>80000</v>
      </c>
      <c r="I298" s="18">
        <v>100</v>
      </c>
      <c r="J298" s="17">
        <f t="shared" si="30"/>
        <v>0.02</v>
      </c>
      <c r="K298" s="18">
        <f t="shared" si="26"/>
        <v>1600</v>
      </c>
    </row>
    <row r="299" spans="1:15" x14ac:dyDescent="0.35">
      <c r="A299" s="24" t="s">
        <v>233</v>
      </c>
      <c r="B299" s="24" t="str">
        <f t="shared" si="29"/>
        <v>Chả viên sốt càCà chua</v>
      </c>
      <c r="C299" s="24" t="s">
        <v>8</v>
      </c>
      <c r="D299" t="s">
        <v>19</v>
      </c>
      <c r="E299" t="s">
        <v>279</v>
      </c>
      <c r="F299" t="s">
        <v>14</v>
      </c>
      <c r="G299" s="17">
        <v>1</v>
      </c>
      <c r="H299" s="18">
        <v>20000</v>
      </c>
      <c r="I299" s="18">
        <v>100</v>
      </c>
      <c r="J299" s="17">
        <f t="shared" si="30"/>
        <v>0.01</v>
      </c>
      <c r="K299" s="18">
        <f t="shared" si="26"/>
        <v>200</v>
      </c>
    </row>
    <row r="300" spans="1:15" x14ac:dyDescent="0.35">
      <c r="A300" s="24" t="s">
        <v>233</v>
      </c>
      <c r="B300" s="24" t="str">
        <f t="shared" si="29"/>
        <v>Rau lang xàoRau lang xào</v>
      </c>
      <c r="C300" s="24" t="s">
        <v>8</v>
      </c>
      <c r="D300" t="s">
        <v>47</v>
      </c>
      <c r="E300" t="s">
        <v>280</v>
      </c>
      <c r="F300" t="s">
        <v>280</v>
      </c>
      <c r="G300" s="17">
        <v>8.5</v>
      </c>
      <c r="H300" s="18">
        <v>18000</v>
      </c>
      <c r="I300" s="18">
        <v>100</v>
      </c>
      <c r="J300" s="17">
        <f t="shared" si="30"/>
        <v>8.5000000000000006E-2</v>
      </c>
      <c r="K300" s="18">
        <f t="shared" si="26"/>
        <v>1530</v>
      </c>
      <c r="N300" s="30"/>
    </row>
    <row r="301" spans="1:15" x14ac:dyDescent="0.35">
      <c r="A301" s="24" t="s">
        <v>232</v>
      </c>
      <c r="B301" s="24" t="str">
        <f t="shared" si="29"/>
        <v>Bồ ngốt thịt bằmBồ ngót</v>
      </c>
      <c r="C301" s="24" t="s">
        <v>8</v>
      </c>
      <c r="D301" t="s">
        <v>12</v>
      </c>
      <c r="E301" t="s">
        <v>284</v>
      </c>
      <c r="F301" t="s">
        <v>98</v>
      </c>
      <c r="G301" s="17">
        <v>3</v>
      </c>
      <c r="H301" s="18">
        <v>12000</v>
      </c>
      <c r="I301" s="18">
        <v>125</v>
      </c>
      <c r="J301" s="17">
        <f t="shared" si="30"/>
        <v>2.4E-2</v>
      </c>
      <c r="K301" s="18">
        <f t="shared" si="26"/>
        <v>288</v>
      </c>
      <c r="N301" s="30"/>
    </row>
    <row r="302" spans="1:15" x14ac:dyDescent="0.35">
      <c r="A302" s="24" t="s">
        <v>233</v>
      </c>
      <c r="B302" s="24" t="str">
        <f t="shared" si="29"/>
        <v>Bồ ngốt thịt bằmThịt bằm</v>
      </c>
      <c r="C302" s="24" t="s">
        <v>8</v>
      </c>
      <c r="D302" t="s">
        <v>12</v>
      </c>
      <c r="E302" t="s">
        <v>284</v>
      </c>
      <c r="F302" t="s">
        <v>50</v>
      </c>
      <c r="G302" s="17">
        <v>0.4</v>
      </c>
      <c r="H302" s="18">
        <v>80000</v>
      </c>
      <c r="I302" s="18">
        <v>125</v>
      </c>
      <c r="J302" s="17">
        <f t="shared" si="30"/>
        <v>3.2000000000000002E-3</v>
      </c>
      <c r="K302" s="18">
        <f t="shared" si="26"/>
        <v>256</v>
      </c>
    </row>
    <row r="303" spans="1:15" x14ac:dyDescent="0.35">
      <c r="A303" s="24" t="s">
        <v>232</v>
      </c>
      <c r="B303" s="24" t="str">
        <f t="shared" si="29"/>
        <v>Cơm gà xé trộnGà tươi</v>
      </c>
      <c r="C303" s="24" t="s">
        <v>8</v>
      </c>
      <c r="D303" t="s">
        <v>18</v>
      </c>
      <c r="E303" t="s">
        <v>288</v>
      </c>
      <c r="F303" t="s">
        <v>289</v>
      </c>
      <c r="G303" s="17">
        <v>9.5</v>
      </c>
      <c r="H303" s="18">
        <v>75000</v>
      </c>
      <c r="I303" s="18">
        <v>95</v>
      </c>
      <c r="J303" s="17">
        <f t="shared" si="30"/>
        <v>0.1</v>
      </c>
      <c r="K303" s="18">
        <f t="shared" si="26"/>
        <v>7500</v>
      </c>
      <c r="O303" s="130"/>
    </row>
    <row r="304" spans="1:15" x14ac:dyDescent="0.35">
      <c r="A304" s="24" t="s">
        <v>233</v>
      </c>
      <c r="B304" s="24" t="str">
        <f t="shared" si="29"/>
        <v>Cơm gà xé trộnHành tây</v>
      </c>
      <c r="C304" s="24" t="s">
        <v>8</v>
      </c>
      <c r="D304" t="s">
        <v>18</v>
      </c>
      <c r="E304" t="s">
        <v>288</v>
      </c>
      <c r="F304" t="s">
        <v>35</v>
      </c>
      <c r="G304" s="17">
        <v>3.5</v>
      </c>
      <c r="H304" s="18">
        <v>11000</v>
      </c>
      <c r="I304" s="18">
        <v>85</v>
      </c>
      <c r="J304" s="17">
        <f t="shared" si="30"/>
        <v>4.1176470588235294E-2</v>
      </c>
      <c r="K304" s="18">
        <f t="shared" si="26"/>
        <v>452.94117647058823</v>
      </c>
      <c r="O304" s="130">
        <f t="shared" ref="O303:O313" si="31">G304*1.1</f>
        <v>3.8500000000000005</v>
      </c>
    </row>
    <row r="305" spans="1:15" x14ac:dyDescent="0.35">
      <c r="A305" s="24" t="s">
        <v>233</v>
      </c>
      <c r="B305" s="24" t="str">
        <f t="shared" si="29"/>
        <v>Cơm gà xé trộnRau răm</v>
      </c>
      <c r="C305" s="24" t="s">
        <v>8</v>
      </c>
      <c r="D305" t="s">
        <v>18</v>
      </c>
      <c r="E305" t="s">
        <v>288</v>
      </c>
      <c r="F305" t="s">
        <v>69</v>
      </c>
      <c r="G305" s="17">
        <v>1</v>
      </c>
      <c r="H305" s="18">
        <v>20000</v>
      </c>
      <c r="I305" s="18">
        <v>85</v>
      </c>
      <c r="J305" s="17">
        <f t="shared" si="30"/>
        <v>1.1764705882352941E-2</v>
      </c>
      <c r="K305" s="18">
        <f t="shared" si="26"/>
        <v>235.29411764705881</v>
      </c>
      <c r="O305" s="130">
        <f t="shared" si="31"/>
        <v>1.1000000000000001</v>
      </c>
    </row>
    <row r="306" spans="1:15" x14ac:dyDescent="0.35">
      <c r="A306" s="24" t="s">
        <v>233</v>
      </c>
      <c r="B306" s="24" t="str">
        <f t="shared" si="29"/>
        <v>Cơm gà xé trộnCà rốt</v>
      </c>
      <c r="C306" s="24" t="s">
        <v>8</v>
      </c>
      <c r="D306" t="s">
        <v>18</v>
      </c>
      <c r="E306" t="s">
        <v>288</v>
      </c>
      <c r="F306" t="s">
        <v>78</v>
      </c>
      <c r="G306" s="17">
        <v>4</v>
      </c>
      <c r="H306" s="18">
        <v>15000</v>
      </c>
      <c r="I306" s="18">
        <v>85</v>
      </c>
      <c r="J306" s="17">
        <f t="shared" si="30"/>
        <v>4.7058823529411764E-2</v>
      </c>
      <c r="K306" s="18">
        <f t="shared" si="26"/>
        <v>705.88235294117646</v>
      </c>
      <c r="O306" s="130">
        <f t="shared" si="31"/>
        <v>4.4000000000000004</v>
      </c>
    </row>
    <row r="307" spans="1:15" x14ac:dyDescent="0.35">
      <c r="A307" s="24" t="s">
        <v>233</v>
      </c>
      <c r="B307" s="24" t="str">
        <f t="shared" si="29"/>
        <v>Cơm gà xé trộnKhoai tây</v>
      </c>
      <c r="C307" s="24" t="s">
        <v>8</v>
      </c>
      <c r="D307" t="s">
        <v>18</v>
      </c>
      <c r="E307" t="s">
        <v>288</v>
      </c>
      <c r="F307" t="s">
        <v>77</v>
      </c>
      <c r="G307" s="17">
        <v>3</v>
      </c>
      <c r="H307" s="18">
        <v>17000</v>
      </c>
      <c r="I307" s="18">
        <v>85</v>
      </c>
      <c r="J307" s="17">
        <f t="shared" si="30"/>
        <v>3.5294117647058823E-2</v>
      </c>
      <c r="K307" s="18">
        <f t="shared" si="26"/>
        <v>600</v>
      </c>
      <c r="O307" s="130">
        <f t="shared" si="31"/>
        <v>3.3000000000000003</v>
      </c>
    </row>
    <row r="308" spans="1:15" x14ac:dyDescent="0.35">
      <c r="A308" t="s">
        <v>232</v>
      </c>
      <c r="B308" s="24" t="str">
        <f t="shared" si="29"/>
        <v>Cơm gà xé trộnLòng gà</v>
      </c>
      <c r="C308" s="24" t="s">
        <v>8</v>
      </c>
      <c r="D308" t="s">
        <v>18</v>
      </c>
      <c r="E308" t="s">
        <v>288</v>
      </c>
      <c r="F308" t="s">
        <v>290</v>
      </c>
      <c r="G308" s="17">
        <v>5</v>
      </c>
      <c r="H308" s="18">
        <v>8000</v>
      </c>
      <c r="I308" s="18">
        <v>95</v>
      </c>
      <c r="J308" s="17">
        <f t="shared" si="30"/>
        <v>5.2631578947368418E-2</v>
      </c>
      <c r="K308" s="18">
        <f t="shared" si="26"/>
        <v>421.05263157894734</v>
      </c>
      <c r="O308" s="130"/>
    </row>
    <row r="309" spans="1:15" x14ac:dyDescent="0.35">
      <c r="A309" t="s">
        <v>232</v>
      </c>
      <c r="B309" s="24" t="str">
        <f t="shared" si="29"/>
        <v>Tôm rimTôm</v>
      </c>
      <c r="C309" s="24" t="s">
        <v>8</v>
      </c>
      <c r="D309" t="s">
        <v>18</v>
      </c>
      <c r="E309" t="s">
        <v>291</v>
      </c>
      <c r="F309" t="s">
        <v>37</v>
      </c>
      <c r="G309" s="17">
        <v>1</v>
      </c>
      <c r="H309" s="18">
        <v>100000</v>
      </c>
      <c r="I309" s="18">
        <v>24</v>
      </c>
      <c r="J309" s="17">
        <f t="shared" si="30"/>
        <v>4.1666666666666664E-2</v>
      </c>
      <c r="K309" s="18">
        <f t="shared" si="26"/>
        <v>4166.666666666667</v>
      </c>
      <c r="O309" s="130"/>
    </row>
    <row r="310" spans="1:15" x14ac:dyDescent="0.35">
      <c r="A310" t="s">
        <v>232</v>
      </c>
      <c r="B310" s="24" t="str">
        <f t="shared" si="29"/>
        <v>Cá cơm khoCá cơm</v>
      </c>
      <c r="C310" s="24" t="s">
        <v>8</v>
      </c>
      <c r="D310" t="s">
        <v>18</v>
      </c>
      <c r="E310" t="s">
        <v>293</v>
      </c>
      <c r="F310" t="s">
        <v>292</v>
      </c>
      <c r="G310" s="17">
        <v>9</v>
      </c>
      <c r="H310" s="18">
        <v>40000</v>
      </c>
      <c r="I310" s="18">
        <v>100</v>
      </c>
      <c r="J310" s="17">
        <f t="shared" si="30"/>
        <v>0.09</v>
      </c>
      <c r="K310" s="18">
        <f t="shared" si="26"/>
        <v>3600</v>
      </c>
      <c r="O310" s="130"/>
    </row>
    <row r="311" spans="1:15" x14ac:dyDescent="0.35">
      <c r="A311" t="s">
        <v>233</v>
      </c>
      <c r="B311" s="24" t="str">
        <f t="shared" si="29"/>
        <v>Heo xào cải chuaCải chua</v>
      </c>
      <c r="C311" s="24" t="s">
        <v>8</v>
      </c>
      <c r="D311" t="s">
        <v>491</v>
      </c>
      <c r="E311" t="s">
        <v>294</v>
      </c>
      <c r="F311" t="s">
        <v>295</v>
      </c>
      <c r="G311" s="17">
        <v>5</v>
      </c>
      <c r="H311" s="18">
        <v>24000</v>
      </c>
      <c r="I311" s="18">
        <v>100</v>
      </c>
      <c r="J311" s="17">
        <f t="shared" si="30"/>
        <v>0.05</v>
      </c>
      <c r="K311" s="18">
        <f t="shared" si="26"/>
        <v>1200</v>
      </c>
      <c r="O311" s="130">
        <f t="shared" si="31"/>
        <v>5.5</v>
      </c>
    </row>
    <row r="312" spans="1:15" x14ac:dyDescent="0.35">
      <c r="A312" t="s">
        <v>232</v>
      </c>
      <c r="B312" s="24" t="str">
        <f t="shared" si="29"/>
        <v>Heo xào cải chuaba chi lóc sườn</v>
      </c>
      <c r="C312" s="24" t="s">
        <v>8</v>
      </c>
      <c r="D312" t="s">
        <v>491</v>
      </c>
      <c r="E312" t="s">
        <v>294</v>
      </c>
      <c r="F312" t="s">
        <v>493</v>
      </c>
      <c r="G312" s="17">
        <v>2</v>
      </c>
      <c r="H312" s="18">
        <v>65000</v>
      </c>
      <c r="I312" s="18">
        <v>100</v>
      </c>
      <c r="J312" s="17">
        <f t="shared" si="30"/>
        <v>0.02</v>
      </c>
      <c r="K312" s="18">
        <f t="shared" si="26"/>
        <v>1300</v>
      </c>
      <c r="O312" s="130"/>
    </row>
    <row r="313" spans="1:15" x14ac:dyDescent="0.35">
      <c r="A313" t="s">
        <v>232</v>
      </c>
      <c r="B313" s="24" t="str">
        <f t="shared" si="29"/>
        <v>Heo xào cải chuaNạc vai</v>
      </c>
      <c r="C313" s="24" t="s">
        <v>8</v>
      </c>
      <c r="D313" t="s">
        <v>491</v>
      </c>
      <c r="E313" t="s">
        <v>294</v>
      </c>
      <c r="F313" t="s">
        <v>60</v>
      </c>
      <c r="G313" s="17">
        <v>2.2000000000000002</v>
      </c>
      <c r="H313" s="18">
        <v>100000</v>
      </c>
      <c r="I313" s="18">
        <v>100</v>
      </c>
      <c r="J313" s="17">
        <f t="shared" si="30"/>
        <v>2.2000000000000002E-2</v>
      </c>
      <c r="K313" s="18">
        <f t="shared" si="26"/>
        <v>2200.0000000000005</v>
      </c>
      <c r="O313" s="130"/>
    </row>
    <row r="314" spans="1:15" x14ac:dyDescent="0.35">
      <c r="A314" t="s">
        <v>232</v>
      </c>
      <c r="B314" s="24" t="str">
        <f t="shared" si="29"/>
        <v>Mỳ Quảng GàPhồng tôm</v>
      </c>
      <c r="C314" s="24" t="s">
        <v>8</v>
      </c>
      <c r="D314" t="s">
        <v>20</v>
      </c>
      <c r="E314" t="s">
        <v>297</v>
      </c>
      <c r="F314" t="s">
        <v>428</v>
      </c>
      <c r="G314" s="17">
        <v>3</v>
      </c>
      <c r="H314" s="18">
        <v>12000</v>
      </c>
      <c r="I314" s="18">
        <v>100</v>
      </c>
      <c r="J314" s="17">
        <f t="shared" si="30"/>
        <v>0.03</v>
      </c>
      <c r="K314" s="18">
        <f t="shared" si="26"/>
        <v>360</v>
      </c>
      <c r="N314" s="30"/>
    </row>
    <row r="315" spans="1:15" x14ac:dyDescent="0.35">
      <c r="A315" s="24" t="s">
        <v>233</v>
      </c>
      <c r="B315" s="24" t="str">
        <f t="shared" si="29"/>
        <v>Mỳ Quảng GàChanh</v>
      </c>
      <c r="C315" s="24" t="s">
        <v>8</v>
      </c>
      <c r="D315" t="s">
        <v>20</v>
      </c>
      <c r="E315" t="s">
        <v>297</v>
      </c>
      <c r="F315" t="s">
        <v>25</v>
      </c>
      <c r="G315" s="17">
        <v>0.8</v>
      </c>
      <c r="H315" s="18">
        <v>26000</v>
      </c>
      <c r="I315" s="18">
        <v>100</v>
      </c>
      <c r="J315" s="17">
        <f t="shared" si="30"/>
        <v>8.0000000000000002E-3</v>
      </c>
      <c r="K315" s="18">
        <f t="shared" si="26"/>
        <v>208</v>
      </c>
      <c r="N315" s="30"/>
    </row>
    <row r="316" spans="1:15" x14ac:dyDescent="0.35">
      <c r="A316" s="24" t="s">
        <v>233</v>
      </c>
      <c r="B316" s="24" t="str">
        <f t="shared" si="29"/>
        <v>Mỳ Quảng GàGiá</v>
      </c>
      <c r="C316" s="24" t="s">
        <v>8</v>
      </c>
      <c r="D316" t="s">
        <v>20</v>
      </c>
      <c r="E316" t="s">
        <v>297</v>
      </c>
      <c r="F316" t="s">
        <v>26</v>
      </c>
      <c r="G316" s="17">
        <v>2.5</v>
      </c>
      <c r="H316" s="18">
        <v>10000</v>
      </c>
      <c r="I316" s="18">
        <v>100</v>
      </c>
      <c r="J316" s="17">
        <f t="shared" si="30"/>
        <v>2.5000000000000001E-2</v>
      </c>
      <c r="K316" s="18">
        <f t="shared" si="26"/>
        <v>250</v>
      </c>
      <c r="N316" s="30"/>
    </row>
    <row r="317" spans="1:15" x14ac:dyDescent="0.35">
      <c r="A317" s="24" t="s">
        <v>233</v>
      </c>
      <c r="B317" s="24" t="str">
        <f t="shared" si="29"/>
        <v>Mỳ Quảng GàHành lá</v>
      </c>
      <c r="C317" s="24" t="s">
        <v>8</v>
      </c>
      <c r="D317" t="s">
        <v>20</v>
      </c>
      <c r="E317" t="s">
        <v>297</v>
      </c>
      <c r="F317" t="s">
        <v>24</v>
      </c>
      <c r="G317" s="17">
        <v>0.4</v>
      </c>
      <c r="H317" s="18">
        <v>20000</v>
      </c>
      <c r="I317" s="18">
        <v>100</v>
      </c>
      <c r="J317" s="17">
        <f t="shared" si="30"/>
        <v>4.0000000000000001E-3</v>
      </c>
      <c r="K317" s="18">
        <f t="shared" si="26"/>
        <v>80</v>
      </c>
      <c r="N317" s="30"/>
    </row>
    <row r="318" spans="1:15" x14ac:dyDescent="0.35">
      <c r="A318" s="24" t="s">
        <v>233</v>
      </c>
      <c r="B318" s="24" t="str">
        <f t="shared" si="29"/>
        <v>Mỳ Quảng GàXà lách</v>
      </c>
      <c r="C318" s="24" t="s">
        <v>8</v>
      </c>
      <c r="D318" t="s">
        <v>20</v>
      </c>
      <c r="E318" t="s">
        <v>297</v>
      </c>
      <c r="F318" t="s">
        <v>197</v>
      </c>
      <c r="G318" s="17">
        <v>2</v>
      </c>
      <c r="H318" s="18">
        <v>22000</v>
      </c>
      <c r="I318" s="18">
        <v>100</v>
      </c>
      <c r="J318" s="17">
        <f t="shared" si="30"/>
        <v>0.02</v>
      </c>
      <c r="K318" s="18">
        <f t="shared" si="26"/>
        <v>440</v>
      </c>
      <c r="N318" s="30"/>
    </row>
    <row r="319" spans="1:15" x14ac:dyDescent="0.35">
      <c r="A319" s="24" t="s">
        <v>233</v>
      </c>
      <c r="B319" s="24" t="str">
        <f t="shared" si="29"/>
        <v>Mỳ Quảng GàĐậu phộng rang</v>
      </c>
      <c r="C319" s="24" t="s">
        <v>8</v>
      </c>
      <c r="D319" t="s">
        <v>20</v>
      </c>
      <c r="E319" t="s">
        <v>297</v>
      </c>
      <c r="F319" t="s">
        <v>303</v>
      </c>
      <c r="G319" s="17">
        <v>0.7</v>
      </c>
      <c r="H319" s="18">
        <v>50000</v>
      </c>
      <c r="I319" s="18">
        <v>100</v>
      </c>
      <c r="J319" s="17">
        <f t="shared" si="30"/>
        <v>6.9999999999999993E-3</v>
      </c>
      <c r="K319" s="18">
        <f t="shared" si="26"/>
        <v>350</v>
      </c>
      <c r="N319" s="30"/>
    </row>
    <row r="320" spans="1:15" x14ac:dyDescent="0.35">
      <c r="A320" s="24" t="s">
        <v>233</v>
      </c>
      <c r="B320" s="24" t="str">
        <f t="shared" si="29"/>
        <v>Mỳ Quảng GàNgò gai</v>
      </c>
      <c r="C320" s="24" t="s">
        <v>8</v>
      </c>
      <c r="D320" t="s">
        <v>20</v>
      </c>
      <c r="E320" t="s">
        <v>297</v>
      </c>
      <c r="F320" t="s">
        <v>101</v>
      </c>
      <c r="G320" s="17">
        <v>0.2</v>
      </c>
      <c r="H320" s="18">
        <v>35000</v>
      </c>
      <c r="I320" s="18">
        <v>100</v>
      </c>
      <c r="J320" s="17">
        <f t="shared" si="30"/>
        <v>2E-3</v>
      </c>
      <c r="K320" s="18">
        <f t="shared" si="26"/>
        <v>70</v>
      </c>
      <c r="N320" s="30"/>
    </row>
    <row r="321" spans="1:14" x14ac:dyDescent="0.35">
      <c r="A321" s="24" t="s">
        <v>233</v>
      </c>
      <c r="B321" s="24" t="str">
        <f t="shared" si="29"/>
        <v>Mỳ Quảng GàRau quế</v>
      </c>
      <c r="C321" s="24" t="s">
        <v>8</v>
      </c>
      <c r="D321" t="s">
        <v>20</v>
      </c>
      <c r="E321" t="s">
        <v>297</v>
      </c>
      <c r="F321" t="s">
        <v>23</v>
      </c>
      <c r="G321" s="17">
        <v>0.3</v>
      </c>
      <c r="H321" s="18">
        <v>30000</v>
      </c>
      <c r="I321" s="18">
        <v>100</v>
      </c>
      <c r="J321" s="17">
        <f t="shared" si="30"/>
        <v>3.0000000000000001E-3</v>
      </c>
      <c r="K321" s="18">
        <f t="shared" si="26"/>
        <v>90</v>
      </c>
      <c r="N321" s="30"/>
    </row>
    <row r="322" spans="1:14" x14ac:dyDescent="0.35">
      <c r="A322" s="24" t="s">
        <v>233</v>
      </c>
      <c r="B322" s="24" t="str">
        <f t="shared" si="29"/>
        <v>Mỳ Quảng GàSu trắng</v>
      </c>
      <c r="C322" s="24" t="s">
        <v>8</v>
      </c>
      <c r="D322" t="s">
        <v>20</v>
      </c>
      <c r="E322" t="s">
        <v>297</v>
      </c>
      <c r="F322" t="s">
        <v>39</v>
      </c>
      <c r="G322" s="17">
        <v>1</v>
      </c>
      <c r="H322" s="18">
        <v>10000</v>
      </c>
      <c r="I322" s="18">
        <v>100</v>
      </c>
      <c r="J322" s="17">
        <f t="shared" si="30"/>
        <v>0.01</v>
      </c>
      <c r="K322" s="18">
        <f t="shared" si="26"/>
        <v>100</v>
      </c>
      <c r="N322" s="30"/>
    </row>
    <row r="323" spans="1:14" x14ac:dyDescent="0.35">
      <c r="A323" s="24" t="s">
        <v>233</v>
      </c>
      <c r="B323" s="24" t="str">
        <f t="shared" si="29"/>
        <v>Mỳ Quảng GàChuối cây cắt sẵn</v>
      </c>
      <c r="C323" s="24" t="s">
        <v>8</v>
      </c>
      <c r="D323" t="s">
        <v>20</v>
      </c>
      <c r="E323" t="s">
        <v>297</v>
      </c>
      <c r="F323" t="s">
        <v>433</v>
      </c>
      <c r="G323" s="17">
        <v>1</v>
      </c>
      <c r="H323" s="18">
        <v>15000</v>
      </c>
      <c r="I323" s="18">
        <v>100</v>
      </c>
      <c r="J323" s="17">
        <f t="shared" si="30"/>
        <v>0.01</v>
      </c>
      <c r="K323" s="18">
        <f t="shared" si="26"/>
        <v>150</v>
      </c>
      <c r="N323" s="30"/>
    </row>
    <row r="324" spans="1:14" x14ac:dyDescent="0.35">
      <c r="A324" t="s">
        <v>232</v>
      </c>
      <c r="B324" s="24" t="str">
        <f t="shared" si="29"/>
        <v>Mỳ Quảng GàMá đùi gà</v>
      </c>
      <c r="C324" s="24" t="s">
        <v>8</v>
      </c>
      <c r="D324" t="s">
        <v>20</v>
      </c>
      <c r="E324" t="s">
        <v>297</v>
      </c>
      <c r="F324" t="s">
        <v>456</v>
      </c>
      <c r="G324" s="17">
        <v>15.5</v>
      </c>
      <c r="H324" s="18">
        <v>40000</v>
      </c>
      <c r="I324" s="18">
        <v>100</v>
      </c>
      <c r="J324" s="17">
        <f t="shared" si="30"/>
        <v>0.155</v>
      </c>
      <c r="K324" s="18">
        <f t="shared" si="26"/>
        <v>6200</v>
      </c>
    </row>
    <row r="325" spans="1:14" x14ac:dyDescent="0.35">
      <c r="A325" t="s">
        <v>298</v>
      </c>
      <c r="B325" s="24" t="str">
        <f t="shared" si="29"/>
        <v>Mỳ Quảng GàTrứng gà trung</v>
      </c>
      <c r="C325" s="24" t="s">
        <v>8</v>
      </c>
      <c r="D325" t="s">
        <v>20</v>
      </c>
      <c r="E325" t="s">
        <v>297</v>
      </c>
      <c r="F325" t="s">
        <v>416</v>
      </c>
      <c r="G325" s="17">
        <v>52</v>
      </c>
      <c r="H325" s="18">
        <v>2000</v>
      </c>
      <c r="I325" s="18">
        <v>100</v>
      </c>
      <c r="J325" s="17">
        <f t="shared" si="30"/>
        <v>0.52</v>
      </c>
      <c r="K325" s="18">
        <f t="shared" si="26"/>
        <v>1040</v>
      </c>
    </row>
    <row r="326" spans="1:14" x14ac:dyDescent="0.35">
      <c r="A326" t="s">
        <v>298</v>
      </c>
      <c r="B326" s="24" t="str">
        <f t="shared" si="29"/>
        <v>Mỳ Quảng GàMỳ tươi</v>
      </c>
      <c r="C326" s="24" t="s">
        <v>8</v>
      </c>
      <c r="D326" t="s">
        <v>20</v>
      </c>
      <c r="E326" t="s">
        <v>297</v>
      </c>
      <c r="F326" t="s">
        <v>389</v>
      </c>
      <c r="G326" s="17">
        <v>33</v>
      </c>
      <c r="H326" s="18">
        <v>10000</v>
      </c>
      <c r="I326" s="18">
        <v>100</v>
      </c>
      <c r="J326" s="17">
        <f t="shared" si="30"/>
        <v>0.33</v>
      </c>
      <c r="K326" s="18">
        <f t="shared" si="26"/>
        <v>3300</v>
      </c>
    </row>
    <row r="327" spans="1:14" x14ac:dyDescent="0.35">
      <c r="A327" t="s">
        <v>232</v>
      </c>
      <c r="B327" s="24" t="str">
        <f t="shared" si="29"/>
        <v>Bún thịt nướngRau quế</v>
      </c>
      <c r="C327" s="24" t="s">
        <v>8</v>
      </c>
      <c r="D327" t="s">
        <v>20</v>
      </c>
      <c r="E327" t="s">
        <v>300</v>
      </c>
      <c r="F327" t="s">
        <v>23</v>
      </c>
      <c r="G327" s="17">
        <v>0.2</v>
      </c>
      <c r="H327" s="18">
        <v>100000</v>
      </c>
      <c r="I327" s="18">
        <v>100</v>
      </c>
      <c r="J327" s="17">
        <f t="shared" si="30"/>
        <v>2E-3</v>
      </c>
      <c r="K327" s="18">
        <f t="shared" si="26"/>
        <v>200</v>
      </c>
    </row>
    <row r="328" spans="1:14" x14ac:dyDescent="0.35">
      <c r="A328" t="s">
        <v>233</v>
      </c>
      <c r="B328" s="24" t="str">
        <f t="shared" si="29"/>
        <v>Bún thịt nướngXà lách</v>
      </c>
      <c r="C328" s="24" t="s">
        <v>8</v>
      </c>
      <c r="D328" t="s">
        <v>20</v>
      </c>
      <c r="E328" t="s">
        <v>300</v>
      </c>
      <c r="F328" t="s">
        <v>197</v>
      </c>
      <c r="G328" s="17">
        <v>2</v>
      </c>
      <c r="H328" s="18">
        <v>25000</v>
      </c>
      <c r="I328" s="18">
        <v>100</v>
      </c>
      <c r="J328" s="17">
        <f t="shared" si="30"/>
        <v>0.02</v>
      </c>
      <c r="K328" s="18">
        <f t="shared" si="26"/>
        <v>500</v>
      </c>
    </row>
    <row r="329" spans="1:14" x14ac:dyDescent="0.35">
      <c r="A329" t="s">
        <v>233</v>
      </c>
      <c r="B329" s="24" t="str">
        <f t="shared" si="29"/>
        <v>Bún thịt nướngGiá</v>
      </c>
      <c r="C329" s="24" t="s">
        <v>8</v>
      </c>
      <c r="D329" t="s">
        <v>20</v>
      </c>
      <c r="E329" t="s">
        <v>300</v>
      </c>
      <c r="F329" t="s">
        <v>26</v>
      </c>
      <c r="G329" s="17">
        <v>2</v>
      </c>
      <c r="H329" s="18">
        <v>10000</v>
      </c>
      <c r="I329" s="18">
        <v>100</v>
      </c>
      <c r="J329" s="17">
        <f t="shared" si="30"/>
        <v>0.02</v>
      </c>
      <c r="K329" s="18">
        <f t="shared" si="26"/>
        <v>200</v>
      </c>
    </row>
    <row r="330" spans="1:14" x14ac:dyDescent="0.35">
      <c r="A330" t="s">
        <v>233</v>
      </c>
      <c r="B330" s="24" t="str">
        <f t="shared" si="29"/>
        <v>Bún thịt nướngSả</v>
      </c>
      <c r="C330" s="24" t="s">
        <v>8</v>
      </c>
      <c r="D330" t="s">
        <v>20</v>
      </c>
      <c r="E330" t="s">
        <v>300</v>
      </c>
      <c r="F330" t="s">
        <v>207</v>
      </c>
      <c r="G330" s="17">
        <v>0.4</v>
      </c>
      <c r="H330" s="18">
        <v>30000</v>
      </c>
      <c r="I330" s="18">
        <v>100</v>
      </c>
      <c r="J330" s="17">
        <f t="shared" si="30"/>
        <v>4.0000000000000001E-3</v>
      </c>
      <c r="K330" s="18">
        <f t="shared" si="26"/>
        <v>120</v>
      </c>
    </row>
    <row r="331" spans="1:14" x14ac:dyDescent="0.35">
      <c r="A331" t="s">
        <v>233</v>
      </c>
      <c r="B331" s="24" t="str">
        <f t="shared" si="29"/>
        <v>Bún thịt nướngĐậu phộng rang</v>
      </c>
      <c r="C331" s="24" t="s">
        <v>8</v>
      </c>
      <c r="D331" t="s">
        <v>20</v>
      </c>
      <c r="E331" t="s">
        <v>300</v>
      </c>
      <c r="F331" t="s">
        <v>303</v>
      </c>
      <c r="G331" s="17">
        <v>0.6</v>
      </c>
      <c r="H331" s="18">
        <v>50000</v>
      </c>
      <c r="I331" s="18">
        <v>100</v>
      </c>
      <c r="J331" s="17">
        <f t="shared" si="30"/>
        <v>6.0000000000000001E-3</v>
      </c>
      <c r="K331" s="18">
        <f t="shared" si="26"/>
        <v>300</v>
      </c>
    </row>
    <row r="332" spans="1:14" x14ac:dyDescent="0.35">
      <c r="A332" t="s">
        <v>233</v>
      </c>
      <c r="B332" s="24" t="str">
        <f t="shared" si="29"/>
        <v>Bún thịt nướngDưa leo</v>
      </c>
      <c r="C332" s="24" t="s">
        <v>8</v>
      </c>
      <c r="D332" t="s">
        <v>20</v>
      </c>
      <c r="E332" t="s">
        <v>300</v>
      </c>
      <c r="F332" t="s">
        <v>301</v>
      </c>
      <c r="G332" s="17">
        <v>2</v>
      </c>
      <c r="H332" s="18">
        <v>15000</v>
      </c>
      <c r="I332" s="18">
        <v>100</v>
      </c>
      <c r="J332" s="17">
        <f t="shared" si="30"/>
        <v>0.02</v>
      </c>
      <c r="K332" s="18">
        <f t="shared" si="26"/>
        <v>300</v>
      </c>
    </row>
    <row r="333" spans="1:14" x14ac:dyDescent="0.35">
      <c r="A333" t="s">
        <v>233</v>
      </c>
      <c r="B333" s="24" t="str">
        <f t="shared" si="29"/>
        <v>Bún thịt nướngĐu đủ xanh</v>
      </c>
      <c r="C333" s="24" t="s">
        <v>8</v>
      </c>
      <c r="D333" t="s">
        <v>20</v>
      </c>
      <c r="E333" t="s">
        <v>300</v>
      </c>
      <c r="F333" t="s">
        <v>302</v>
      </c>
      <c r="G333" s="17">
        <v>2</v>
      </c>
      <c r="H333" s="18">
        <v>12000</v>
      </c>
      <c r="I333" s="18">
        <v>100</v>
      </c>
      <c r="J333" s="17">
        <f t="shared" si="30"/>
        <v>0.02</v>
      </c>
      <c r="K333" s="18">
        <f t="shared" si="26"/>
        <v>240</v>
      </c>
    </row>
    <row r="334" spans="1:14" x14ac:dyDescent="0.35">
      <c r="A334" t="s">
        <v>233</v>
      </c>
      <c r="B334" s="24" t="str">
        <f t="shared" si="29"/>
        <v>Bún thịt nướngCà rốt</v>
      </c>
      <c r="C334" s="24" t="s">
        <v>8</v>
      </c>
      <c r="D334" t="s">
        <v>20</v>
      </c>
      <c r="E334" t="s">
        <v>300</v>
      </c>
      <c r="F334" t="s">
        <v>78</v>
      </c>
      <c r="G334" s="17">
        <v>0.5</v>
      </c>
      <c r="H334" s="18">
        <v>15000</v>
      </c>
      <c r="I334" s="18">
        <v>100</v>
      </c>
      <c r="J334" s="17">
        <f t="shared" si="30"/>
        <v>5.0000000000000001E-3</v>
      </c>
      <c r="K334" s="18">
        <f t="shared" si="26"/>
        <v>75</v>
      </c>
    </row>
    <row r="335" spans="1:14" x14ac:dyDescent="0.35">
      <c r="A335" t="s">
        <v>233</v>
      </c>
      <c r="B335" s="24" t="str">
        <f t="shared" si="29"/>
        <v>Bún thịt nướngNạc vai</v>
      </c>
      <c r="C335" s="24" t="s">
        <v>8</v>
      </c>
      <c r="D335" t="s">
        <v>20</v>
      </c>
      <c r="E335" t="s">
        <v>300</v>
      </c>
      <c r="F335" t="s">
        <v>60</v>
      </c>
      <c r="G335" s="17">
        <v>9</v>
      </c>
      <c r="H335" s="18">
        <v>90000</v>
      </c>
      <c r="I335" s="18">
        <v>100</v>
      </c>
      <c r="J335" s="17">
        <f t="shared" si="30"/>
        <v>0.09</v>
      </c>
      <c r="K335" s="18">
        <f t="shared" si="26"/>
        <v>8100</v>
      </c>
    </row>
    <row r="336" spans="1:14" x14ac:dyDescent="0.35">
      <c r="A336" t="s">
        <v>233</v>
      </c>
      <c r="B336" s="24" t="str">
        <f t="shared" si="29"/>
        <v>Bún thịt nướngMè trắng</v>
      </c>
      <c r="C336" s="24" t="s">
        <v>8</v>
      </c>
      <c r="D336" t="s">
        <v>20</v>
      </c>
      <c r="E336" t="s">
        <v>300</v>
      </c>
      <c r="F336" t="s">
        <v>377</v>
      </c>
      <c r="G336" s="17">
        <v>0.3</v>
      </c>
      <c r="H336" s="18">
        <v>50000</v>
      </c>
      <c r="I336" s="18">
        <v>100</v>
      </c>
      <c r="J336" s="17">
        <f t="shared" si="30"/>
        <v>3.0000000000000001E-3</v>
      </c>
      <c r="K336" s="18">
        <f t="shared" si="26"/>
        <v>150</v>
      </c>
    </row>
    <row r="337" spans="1:15" x14ac:dyDescent="0.35">
      <c r="A337" t="s">
        <v>233</v>
      </c>
      <c r="B337" s="24" t="str">
        <f t="shared" si="29"/>
        <v>Bún thịt nướngMắm cái</v>
      </c>
      <c r="C337" s="24" t="s">
        <v>8</v>
      </c>
      <c r="D337" t="s">
        <v>20</v>
      </c>
      <c r="E337" t="s">
        <v>300</v>
      </c>
      <c r="F337" t="s">
        <v>364</v>
      </c>
      <c r="G337" s="17">
        <v>2</v>
      </c>
      <c r="H337" s="18">
        <v>30000</v>
      </c>
      <c r="I337" s="18">
        <v>100</v>
      </c>
      <c r="J337" s="17">
        <f t="shared" si="30"/>
        <v>0.02</v>
      </c>
      <c r="K337" s="18">
        <f t="shared" si="26"/>
        <v>600</v>
      </c>
    </row>
    <row r="338" spans="1:15" x14ac:dyDescent="0.35">
      <c r="A338" t="s">
        <v>233</v>
      </c>
      <c r="B338" s="24" t="str">
        <f t="shared" si="29"/>
        <v>Bún thịt nướngThơm</v>
      </c>
      <c r="C338" s="24" t="s">
        <v>8</v>
      </c>
      <c r="D338" t="s">
        <v>20</v>
      </c>
      <c r="E338" t="s">
        <v>300</v>
      </c>
      <c r="F338" t="s">
        <v>4</v>
      </c>
      <c r="G338" s="17">
        <v>2</v>
      </c>
      <c r="H338" s="18">
        <v>17000</v>
      </c>
      <c r="I338" s="18">
        <v>100</v>
      </c>
      <c r="J338" s="17">
        <f t="shared" si="30"/>
        <v>0.02</v>
      </c>
      <c r="K338" s="18">
        <f t="shared" si="26"/>
        <v>340</v>
      </c>
    </row>
    <row r="339" spans="1:15" x14ac:dyDescent="0.35">
      <c r="A339" t="s">
        <v>233</v>
      </c>
      <c r="B339" s="24" t="str">
        <f t="shared" si="29"/>
        <v>Bún thịt nướngBún tươi</v>
      </c>
      <c r="C339" s="24" t="s">
        <v>8</v>
      </c>
      <c r="D339" t="s">
        <v>20</v>
      </c>
      <c r="E339" t="s">
        <v>300</v>
      </c>
      <c r="F339" t="s">
        <v>387</v>
      </c>
      <c r="G339" s="17">
        <v>33</v>
      </c>
      <c r="H339" s="18">
        <v>10000</v>
      </c>
      <c r="I339" s="18">
        <v>100</v>
      </c>
      <c r="J339" s="17">
        <f t="shared" si="30"/>
        <v>0.33</v>
      </c>
      <c r="K339" s="18">
        <f t="shared" si="26"/>
        <v>3300</v>
      </c>
    </row>
    <row r="340" spans="1:15" x14ac:dyDescent="0.35">
      <c r="A340" t="s">
        <v>232</v>
      </c>
      <c r="B340" s="24" t="str">
        <f t="shared" si="29"/>
        <v>Cá ngừ sốt càCá ngừ</v>
      </c>
      <c r="C340" s="24" t="s">
        <v>8</v>
      </c>
      <c r="D340" t="s">
        <v>18</v>
      </c>
      <c r="E340" t="s">
        <v>305</v>
      </c>
      <c r="F340" t="s">
        <v>304</v>
      </c>
      <c r="G340" s="17">
        <v>13</v>
      </c>
      <c r="H340" s="18">
        <v>32000</v>
      </c>
      <c r="I340" s="18">
        <v>100</v>
      </c>
      <c r="J340" s="17">
        <f t="shared" si="30"/>
        <v>0.13</v>
      </c>
      <c r="K340" s="18">
        <f t="shared" si="26"/>
        <v>4160</v>
      </c>
      <c r="O340" s="130"/>
    </row>
    <row r="341" spans="1:15" x14ac:dyDescent="0.35">
      <c r="A341" t="s">
        <v>298</v>
      </c>
      <c r="B341" s="24" t="str">
        <f t="shared" si="29"/>
        <v>Cá ngừ sốt càCà chua</v>
      </c>
      <c r="C341" s="24" t="s">
        <v>8</v>
      </c>
      <c r="D341" t="s">
        <v>18</v>
      </c>
      <c r="E341" t="s">
        <v>305</v>
      </c>
      <c r="F341" t="s">
        <v>14</v>
      </c>
      <c r="G341" s="17">
        <v>2</v>
      </c>
      <c r="H341" s="18">
        <v>20000</v>
      </c>
      <c r="I341" s="18">
        <v>100</v>
      </c>
      <c r="J341" s="17">
        <f t="shared" si="30"/>
        <v>0.02</v>
      </c>
      <c r="K341" s="18">
        <f t="shared" si="26"/>
        <v>400</v>
      </c>
      <c r="O341" s="130">
        <f t="shared" ref="O340:O343" si="32">G341*1.1</f>
        <v>2.2000000000000002</v>
      </c>
    </row>
    <row r="342" spans="1:15" x14ac:dyDescent="0.35">
      <c r="A342" t="s">
        <v>232</v>
      </c>
      <c r="B342" s="24" t="str">
        <f t="shared" si="29"/>
        <v>Cá ngừ kho dưaCá ngừ</v>
      </c>
      <c r="C342" s="24" t="s">
        <v>8</v>
      </c>
      <c r="D342" t="s">
        <v>18</v>
      </c>
      <c r="E342" t="s">
        <v>306</v>
      </c>
      <c r="F342" t="s">
        <v>304</v>
      </c>
      <c r="G342" s="17">
        <v>14</v>
      </c>
      <c r="H342" s="18">
        <v>32000</v>
      </c>
      <c r="I342" s="18">
        <v>100</v>
      </c>
      <c r="J342" s="17">
        <f t="shared" si="30"/>
        <v>0.14000000000000001</v>
      </c>
      <c r="K342" s="18">
        <f t="shared" si="26"/>
        <v>4480</v>
      </c>
      <c r="O342" s="130"/>
    </row>
    <row r="343" spans="1:15" x14ac:dyDescent="0.35">
      <c r="A343" t="s">
        <v>298</v>
      </c>
      <c r="B343" s="24" t="str">
        <f t="shared" si="29"/>
        <v>Cá ngừ kho dưaDưa trái muối</v>
      </c>
      <c r="C343" s="24" t="s">
        <v>8</v>
      </c>
      <c r="D343" t="s">
        <v>18</v>
      </c>
      <c r="E343" t="s">
        <v>306</v>
      </c>
      <c r="F343" t="s">
        <v>307</v>
      </c>
      <c r="G343" s="17">
        <v>3.5</v>
      </c>
      <c r="H343" s="18">
        <v>15000</v>
      </c>
      <c r="I343" s="18">
        <v>100</v>
      </c>
      <c r="J343" s="17">
        <f t="shared" si="30"/>
        <v>3.5000000000000003E-2</v>
      </c>
      <c r="K343" s="18">
        <f t="shared" si="26"/>
        <v>525</v>
      </c>
      <c r="O343" s="130">
        <f t="shared" si="32"/>
        <v>3.8500000000000005</v>
      </c>
    </row>
    <row r="344" spans="1:15" x14ac:dyDescent="0.35">
      <c r="A344" t="s">
        <v>232</v>
      </c>
      <c r="B344" s="24" t="str">
        <f t="shared" si="29"/>
        <v>Heo rang cháy cạnhHeo nọng</v>
      </c>
      <c r="C344" s="24" t="s">
        <v>8</v>
      </c>
      <c r="D344" t="s">
        <v>19</v>
      </c>
      <c r="E344" t="s">
        <v>308</v>
      </c>
      <c r="F344" t="s">
        <v>135</v>
      </c>
      <c r="G344" s="17">
        <v>6</v>
      </c>
      <c r="H344" s="18">
        <v>60000</v>
      </c>
      <c r="I344" s="18">
        <v>100</v>
      </c>
      <c r="J344" s="17">
        <f t="shared" si="30"/>
        <v>0.06</v>
      </c>
      <c r="K344" s="18">
        <f t="shared" si="26"/>
        <v>3600</v>
      </c>
    </row>
    <row r="345" spans="1:15" x14ac:dyDescent="0.35">
      <c r="A345" t="s">
        <v>232</v>
      </c>
      <c r="B345" s="24" t="str">
        <f t="shared" si="29"/>
        <v>Giò heo um đậuGiò heo</v>
      </c>
      <c r="C345" s="24" t="s">
        <v>8</v>
      </c>
      <c r="D345" t="s">
        <v>18</v>
      </c>
      <c r="E345" t="s">
        <v>492</v>
      </c>
      <c r="F345" t="s">
        <v>217</v>
      </c>
      <c r="G345" s="17">
        <v>11</v>
      </c>
      <c r="H345" s="18">
        <v>59000</v>
      </c>
      <c r="I345" s="18">
        <v>100</v>
      </c>
      <c r="J345" s="17">
        <f t="shared" si="30"/>
        <v>0.11</v>
      </c>
      <c r="K345" s="18">
        <f t="shared" si="26"/>
        <v>6490</v>
      </c>
      <c r="O345" s="130"/>
    </row>
    <row r="346" spans="1:15" x14ac:dyDescent="0.35">
      <c r="A346" t="s">
        <v>232</v>
      </c>
      <c r="B346" s="24" t="str">
        <f t="shared" si="29"/>
        <v>Giò heo um đậuđậu phộng sống</v>
      </c>
      <c r="C346" s="24" t="s">
        <v>8</v>
      </c>
      <c r="D346" t="s">
        <v>18</v>
      </c>
      <c r="E346" t="s">
        <v>492</v>
      </c>
      <c r="F346" t="s">
        <v>468</v>
      </c>
      <c r="G346" s="17">
        <v>0.5</v>
      </c>
      <c r="H346" s="18">
        <v>50000</v>
      </c>
      <c r="I346" s="18">
        <v>100</v>
      </c>
      <c r="J346" s="17">
        <f t="shared" si="30"/>
        <v>5.0000000000000001E-3</v>
      </c>
      <c r="K346" s="18">
        <f t="shared" si="26"/>
        <v>250</v>
      </c>
      <c r="O346" s="130"/>
    </row>
    <row r="347" spans="1:15" x14ac:dyDescent="0.35">
      <c r="A347" t="s">
        <v>298</v>
      </c>
      <c r="B347" s="24" t="str">
        <f t="shared" si="29"/>
        <v>Giò heo kho sảSả</v>
      </c>
      <c r="C347" s="24" t="s">
        <v>8</v>
      </c>
      <c r="D347" t="s">
        <v>18</v>
      </c>
      <c r="E347" t="s">
        <v>309</v>
      </c>
      <c r="F347" t="s">
        <v>207</v>
      </c>
      <c r="G347" s="17">
        <v>2</v>
      </c>
      <c r="H347" s="18">
        <v>25000</v>
      </c>
      <c r="I347" s="18">
        <v>100</v>
      </c>
      <c r="J347" s="17">
        <f t="shared" si="30"/>
        <v>0.02</v>
      </c>
      <c r="K347" s="18">
        <f t="shared" si="26"/>
        <v>500</v>
      </c>
      <c r="O347" s="130">
        <f t="shared" ref="O345:O347" si="33">G347*1.1</f>
        <v>2.2000000000000002</v>
      </c>
    </row>
    <row r="348" spans="1:15" x14ac:dyDescent="0.35">
      <c r="A348" t="s">
        <v>298</v>
      </c>
      <c r="B348" s="24" t="str">
        <f t="shared" si="29"/>
        <v>Cải ngọt xàoCải ngọt</v>
      </c>
      <c r="C348" s="24" t="s">
        <v>8</v>
      </c>
      <c r="D348" t="s">
        <v>47</v>
      </c>
      <c r="E348" t="s">
        <v>310</v>
      </c>
      <c r="F348" t="s">
        <v>49</v>
      </c>
      <c r="G348" s="17">
        <v>9</v>
      </c>
      <c r="H348" s="18">
        <v>12000</v>
      </c>
      <c r="I348" s="18">
        <v>100</v>
      </c>
      <c r="J348" s="17">
        <f t="shared" si="30"/>
        <v>0.09</v>
      </c>
      <c r="K348" s="18">
        <f t="shared" ref="K348:K411" si="34">(G348*H348)/I348</f>
        <v>1080</v>
      </c>
    </row>
    <row r="349" spans="1:15" x14ac:dyDescent="0.35">
      <c r="A349" t="s">
        <v>298</v>
      </c>
      <c r="B349" s="24" t="str">
        <f t="shared" si="29"/>
        <v>Su su xàoSu su</v>
      </c>
      <c r="C349" s="24" t="s">
        <v>8</v>
      </c>
      <c r="D349" t="s">
        <v>47</v>
      </c>
      <c r="E349" t="s">
        <v>311</v>
      </c>
      <c r="F349" t="s">
        <v>313</v>
      </c>
      <c r="G349" s="17">
        <v>9.5</v>
      </c>
      <c r="H349" s="18">
        <v>12000</v>
      </c>
      <c r="I349" s="18">
        <v>100</v>
      </c>
      <c r="J349" s="17">
        <f t="shared" si="30"/>
        <v>9.5000000000000001E-2</v>
      </c>
      <c r="K349" s="18">
        <f t="shared" si="34"/>
        <v>1140</v>
      </c>
    </row>
    <row r="350" spans="1:15" x14ac:dyDescent="0.35">
      <c r="A350" t="s">
        <v>298</v>
      </c>
      <c r="B350" s="24" t="str">
        <f t="shared" si="29"/>
        <v>Mồng tơi nấu tômMồng tơi</v>
      </c>
      <c r="C350" s="24" t="s">
        <v>8</v>
      </c>
      <c r="D350" t="s">
        <v>12</v>
      </c>
      <c r="E350" t="s">
        <v>312</v>
      </c>
      <c r="F350" t="s">
        <v>211</v>
      </c>
      <c r="G350" s="17">
        <v>5</v>
      </c>
      <c r="H350" s="18">
        <v>10000</v>
      </c>
      <c r="I350" s="18">
        <v>100</v>
      </c>
      <c r="J350" s="17">
        <f t="shared" si="30"/>
        <v>0.05</v>
      </c>
      <c r="K350" s="18">
        <f t="shared" si="34"/>
        <v>500</v>
      </c>
      <c r="N350" s="30"/>
    </row>
    <row r="351" spans="1:15" x14ac:dyDescent="0.35">
      <c r="A351" t="s">
        <v>232</v>
      </c>
      <c r="B351" s="24" t="str">
        <f t="shared" si="29"/>
        <v>Mồng tơi nấu tômTôm</v>
      </c>
      <c r="C351" s="24" t="s">
        <v>8</v>
      </c>
      <c r="D351" t="s">
        <v>12</v>
      </c>
      <c r="E351" t="s">
        <v>312</v>
      </c>
      <c r="F351" t="s">
        <v>37</v>
      </c>
      <c r="G351" s="17">
        <v>0.4</v>
      </c>
      <c r="H351" s="18">
        <v>120000</v>
      </c>
      <c r="I351" s="18">
        <v>100</v>
      </c>
      <c r="J351" s="17">
        <f t="shared" si="30"/>
        <v>4.0000000000000001E-3</v>
      </c>
      <c r="K351" s="18">
        <f t="shared" si="34"/>
        <v>480</v>
      </c>
    </row>
    <row r="352" spans="1:15" x14ac:dyDescent="0.35">
      <c r="A352" t="s">
        <v>232</v>
      </c>
      <c r="B352" s="24" t="str">
        <f t="shared" si="29"/>
        <v>Cơm đùi gà rôtyĐùi gà tỏi</v>
      </c>
      <c r="C352" s="24" t="s">
        <v>8</v>
      </c>
      <c r="D352" t="s">
        <v>18</v>
      </c>
      <c r="E352" t="s">
        <v>314</v>
      </c>
      <c r="F352" t="s">
        <v>315</v>
      </c>
      <c r="G352" s="17">
        <v>1</v>
      </c>
      <c r="H352" s="18">
        <v>55000</v>
      </c>
      <c r="I352" s="18">
        <v>6</v>
      </c>
      <c r="J352" s="17">
        <f t="shared" si="30"/>
        <v>0.16666666666666666</v>
      </c>
      <c r="K352" s="18">
        <f t="shared" si="34"/>
        <v>9166.6666666666661</v>
      </c>
      <c r="O352" s="130"/>
    </row>
    <row r="353" spans="1:15" x14ac:dyDescent="0.35">
      <c r="A353" t="s">
        <v>232</v>
      </c>
      <c r="B353" s="24" t="str">
        <f t="shared" si="29"/>
        <v>Cơm đùi gà rôtyTrứng gà</v>
      </c>
      <c r="C353" s="24" t="s">
        <v>8</v>
      </c>
      <c r="D353" t="s">
        <v>18</v>
      </c>
      <c r="E353" t="s">
        <v>314</v>
      </c>
      <c r="F353" t="s">
        <v>13</v>
      </c>
      <c r="G353" s="17">
        <v>80</v>
      </c>
      <c r="H353" s="18">
        <v>230</v>
      </c>
      <c r="I353" s="18">
        <v>100</v>
      </c>
      <c r="J353" s="17">
        <f t="shared" si="30"/>
        <v>0.8</v>
      </c>
      <c r="K353" s="18">
        <f t="shared" si="34"/>
        <v>184</v>
      </c>
      <c r="O353" s="130"/>
    </row>
    <row r="354" spans="1:15" x14ac:dyDescent="0.35">
      <c r="A354" t="s">
        <v>298</v>
      </c>
      <c r="B354" s="24" t="str">
        <f t="shared" si="29"/>
        <v>Cơm đùi gà rôtyCà chua</v>
      </c>
      <c r="C354" s="24" t="s">
        <v>8</v>
      </c>
      <c r="D354" t="s">
        <v>18</v>
      </c>
      <c r="E354" t="s">
        <v>314</v>
      </c>
      <c r="F354" t="s">
        <v>14</v>
      </c>
      <c r="G354" s="17">
        <v>2</v>
      </c>
      <c r="H354" s="18">
        <v>20000</v>
      </c>
      <c r="I354" s="18">
        <v>100</v>
      </c>
      <c r="J354" s="17">
        <f t="shared" si="30"/>
        <v>0.02</v>
      </c>
      <c r="K354" s="18">
        <f t="shared" si="34"/>
        <v>400</v>
      </c>
      <c r="O354" s="130">
        <f t="shared" ref="O352:O356" si="35">G354*1.1</f>
        <v>2.2000000000000002</v>
      </c>
    </row>
    <row r="355" spans="1:15" x14ac:dyDescent="0.35">
      <c r="A355" t="s">
        <v>298</v>
      </c>
      <c r="B355" s="24" t="str">
        <f t="shared" si="29"/>
        <v xml:space="preserve">Cơm đùi gà rôtyBí đỏ </v>
      </c>
      <c r="C355" s="24" t="s">
        <v>8</v>
      </c>
      <c r="D355" t="s">
        <v>18</v>
      </c>
      <c r="E355" t="s">
        <v>314</v>
      </c>
      <c r="F355" t="s">
        <v>316</v>
      </c>
      <c r="G355" s="17">
        <v>4</v>
      </c>
      <c r="H355" s="18">
        <v>12000</v>
      </c>
      <c r="I355" s="18">
        <v>100</v>
      </c>
      <c r="J355" s="17">
        <f t="shared" si="30"/>
        <v>0.04</v>
      </c>
      <c r="K355" s="18">
        <f t="shared" si="34"/>
        <v>480</v>
      </c>
      <c r="O355" s="130">
        <f t="shared" si="35"/>
        <v>4.4000000000000004</v>
      </c>
    </row>
    <row r="356" spans="1:15" x14ac:dyDescent="0.35">
      <c r="A356" t="s">
        <v>232</v>
      </c>
      <c r="B356" s="24" t="str">
        <f t="shared" si="29"/>
        <v>Cơm đùi gà rôtyThịt xay</v>
      </c>
      <c r="C356" s="24" t="s">
        <v>8</v>
      </c>
      <c r="D356" t="s">
        <v>18</v>
      </c>
      <c r="E356" t="s">
        <v>314</v>
      </c>
      <c r="F356" t="s">
        <v>31</v>
      </c>
      <c r="G356" s="17">
        <v>0.4</v>
      </c>
      <c r="H356" s="18">
        <v>80000</v>
      </c>
      <c r="I356" s="18">
        <v>100</v>
      </c>
      <c r="J356" s="17">
        <f t="shared" si="30"/>
        <v>4.0000000000000001E-3</v>
      </c>
      <c r="K356" s="18">
        <f t="shared" si="34"/>
        <v>320</v>
      </c>
      <c r="O356" s="130"/>
    </row>
    <row r="357" spans="1:15" x14ac:dyDescent="0.35">
      <c r="A357" t="s">
        <v>232</v>
      </c>
      <c r="B357" s="24" t="str">
        <f t="shared" si="29"/>
        <v>Thịt xay xào củ quảThịt xay</v>
      </c>
      <c r="C357" s="24" t="s">
        <v>8</v>
      </c>
      <c r="D357" t="s">
        <v>19</v>
      </c>
      <c r="E357" t="s">
        <v>318</v>
      </c>
      <c r="F357" t="s">
        <v>31</v>
      </c>
      <c r="G357" s="17">
        <v>1</v>
      </c>
      <c r="H357" s="18">
        <v>80000</v>
      </c>
      <c r="I357" s="18">
        <v>40</v>
      </c>
      <c r="J357" s="17">
        <f t="shared" si="30"/>
        <v>2.5000000000000001E-2</v>
      </c>
      <c r="K357" s="18">
        <f t="shared" si="34"/>
        <v>2000</v>
      </c>
    </row>
    <row r="358" spans="1:15" x14ac:dyDescent="0.35">
      <c r="A358" t="s">
        <v>298</v>
      </c>
      <c r="B358" s="24" t="str">
        <f t="shared" si="29"/>
        <v>Thịt xay xào củ quảCà rốt</v>
      </c>
      <c r="C358" s="24" t="s">
        <v>8</v>
      </c>
      <c r="D358" t="s">
        <v>19</v>
      </c>
      <c r="E358" t="s">
        <v>318</v>
      </c>
      <c r="F358" t="s">
        <v>78</v>
      </c>
      <c r="G358" s="17">
        <v>1</v>
      </c>
      <c r="H358" s="18">
        <v>16000</v>
      </c>
      <c r="I358" s="18">
        <v>30</v>
      </c>
      <c r="J358" s="17">
        <f t="shared" ref="J358:J408" si="36">G358/I358</f>
        <v>3.3333333333333333E-2</v>
      </c>
      <c r="K358" s="18">
        <f t="shared" si="34"/>
        <v>533.33333333333337</v>
      </c>
    </row>
    <row r="359" spans="1:15" x14ac:dyDescent="0.35">
      <c r="A359" t="s">
        <v>298</v>
      </c>
      <c r="B359" s="24" t="str">
        <f t="shared" si="29"/>
        <v>Thịt xay xào củ quảKhoai tây</v>
      </c>
      <c r="C359" s="24" t="s">
        <v>8</v>
      </c>
      <c r="D359" t="s">
        <v>19</v>
      </c>
      <c r="E359" t="s">
        <v>318</v>
      </c>
      <c r="F359" t="s">
        <v>77</v>
      </c>
      <c r="G359" s="17">
        <v>1</v>
      </c>
      <c r="H359" s="18">
        <v>13000</v>
      </c>
      <c r="I359" s="18">
        <v>30</v>
      </c>
      <c r="J359" s="17">
        <f t="shared" si="36"/>
        <v>3.3333333333333333E-2</v>
      </c>
      <c r="K359" s="18">
        <f t="shared" si="34"/>
        <v>433.33333333333331</v>
      </c>
    </row>
    <row r="360" spans="1:15" x14ac:dyDescent="0.35">
      <c r="A360" t="s">
        <v>298</v>
      </c>
      <c r="B360" s="24" t="str">
        <f t="shared" si="29"/>
        <v>Thịt xay xào củ quảNấm mèo</v>
      </c>
      <c r="C360" s="24" t="s">
        <v>8</v>
      </c>
      <c r="D360" t="s">
        <v>19</v>
      </c>
      <c r="E360" t="s">
        <v>318</v>
      </c>
      <c r="F360" t="s">
        <v>28</v>
      </c>
      <c r="G360" s="17">
        <v>0.1</v>
      </c>
      <c r="H360" s="18">
        <v>110000</v>
      </c>
      <c r="I360" s="18">
        <v>40</v>
      </c>
      <c r="J360" s="17">
        <f t="shared" si="36"/>
        <v>2.5000000000000001E-3</v>
      </c>
      <c r="K360" s="18">
        <f t="shared" si="34"/>
        <v>275</v>
      </c>
    </row>
    <row r="361" spans="1:15" x14ac:dyDescent="0.35">
      <c r="A361" t="s">
        <v>232</v>
      </c>
      <c r="B361" s="24" t="str">
        <f t="shared" si="29"/>
        <v>Chả kho đậu khuônChả cá tấm chiên</v>
      </c>
      <c r="C361" s="24" t="s">
        <v>8</v>
      </c>
      <c r="D361" t="s">
        <v>19</v>
      </c>
      <c r="E361" t="s">
        <v>319</v>
      </c>
      <c r="F361" t="s">
        <v>268</v>
      </c>
      <c r="G361" s="17">
        <v>3</v>
      </c>
      <c r="H361" s="18">
        <v>90000</v>
      </c>
      <c r="I361" s="18">
        <v>100</v>
      </c>
      <c r="J361" s="17">
        <f t="shared" si="36"/>
        <v>0.03</v>
      </c>
      <c r="K361" s="18">
        <f t="shared" si="34"/>
        <v>2700</v>
      </c>
    </row>
    <row r="362" spans="1:15" x14ac:dyDescent="0.35">
      <c r="A362" t="s">
        <v>232</v>
      </c>
      <c r="B362" s="24" t="str">
        <f t="shared" si="29"/>
        <v>Chả kho đậu khuônĐậu khuôn chiên</v>
      </c>
      <c r="C362" s="24" t="s">
        <v>8</v>
      </c>
      <c r="D362" t="s">
        <v>19</v>
      </c>
      <c r="E362" t="s">
        <v>319</v>
      </c>
      <c r="F362" t="s">
        <v>299</v>
      </c>
      <c r="G362" s="17">
        <v>2</v>
      </c>
      <c r="H362" s="18">
        <v>1600</v>
      </c>
      <c r="I362" s="18">
        <v>3</v>
      </c>
      <c r="J362" s="17">
        <f t="shared" si="36"/>
        <v>0.66666666666666663</v>
      </c>
      <c r="K362" s="18">
        <f t="shared" si="34"/>
        <v>1066.6666666666667</v>
      </c>
    </row>
    <row r="363" spans="1:15" x14ac:dyDescent="0.35">
      <c r="A363" t="s">
        <v>232</v>
      </c>
      <c r="B363" s="24" t="str">
        <f t="shared" si="29"/>
        <v>Bún gà nấu nấmMá đùi gà</v>
      </c>
      <c r="C363" s="24" t="s">
        <v>8</v>
      </c>
      <c r="D363" t="s">
        <v>18</v>
      </c>
      <c r="E363" t="s">
        <v>320</v>
      </c>
      <c r="F363" t="s">
        <v>456</v>
      </c>
      <c r="G363" s="17">
        <v>11</v>
      </c>
      <c r="H363" s="18">
        <v>40000</v>
      </c>
      <c r="I363" s="18">
        <v>100</v>
      </c>
      <c r="J363" s="17">
        <f t="shared" si="36"/>
        <v>0.11</v>
      </c>
      <c r="K363" s="18">
        <f t="shared" si="34"/>
        <v>4400</v>
      </c>
      <c r="O363" s="130"/>
    </row>
    <row r="364" spans="1:15" x14ac:dyDescent="0.35">
      <c r="A364" t="s">
        <v>298</v>
      </c>
      <c r="B364" s="24" t="str">
        <f>E364&amp;F364</f>
        <v>Bún gà nấu nấmNấm dai</v>
      </c>
      <c r="C364" s="24" t="s">
        <v>8</v>
      </c>
      <c r="D364" t="s">
        <v>18</v>
      </c>
      <c r="E364" t="s">
        <v>320</v>
      </c>
      <c r="F364" t="s">
        <v>325</v>
      </c>
      <c r="G364" s="17">
        <v>0.02</v>
      </c>
      <c r="H364" s="18">
        <v>16000</v>
      </c>
      <c r="I364" s="18">
        <v>1</v>
      </c>
      <c r="J364" s="17">
        <f t="shared" si="36"/>
        <v>0.02</v>
      </c>
      <c r="K364" s="18">
        <f t="shared" si="34"/>
        <v>320</v>
      </c>
      <c r="O364" s="130">
        <f t="shared" ref="O363:O374" si="37">G364*1.1</f>
        <v>2.2000000000000002E-2</v>
      </c>
    </row>
    <row r="365" spans="1:15" x14ac:dyDescent="0.35">
      <c r="A365" t="s">
        <v>298</v>
      </c>
      <c r="B365" s="24" t="str">
        <f>E365&amp;F365</f>
        <v>Bún gà nấu nấmNấm đùi gà</v>
      </c>
      <c r="C365" s="24" t="s">
        <v>8</v>
      </c>
      <c r="D365" t="s">
        <v>18</v>
      </c>
      <c r="E365" t="s">
        <v>320</v>
      </c>
      <c r="F365" t="s">
        <v>324</v>
      </c>
      <c r="G365" s="17">
        <v>1.4999999999999999E-2</v>
      </c>
      <c r="H365" s="18">
        <v>40000</v>
      </c>
      <c r="I365" s="18">
        <v>1</v>
      </c>
      <c r="J365" s="17">
        <f t="shared" si="36"/>
        <v>1.4999999999999999E-2</v>
      </c>
      <c r="K365" s="18">
        <f t="shared" si="34"/>
        <v>600</v>
      </c>
      <c r="N365" s="30"/>
      <c r="O365" s="130">
        <f t="shared" si="37"/>
        <v>1.6500000000000001E-2</v>
      </c>
    </row>
    <row r="366" spans="1:15" x14ac:dyDescent="0.35">
      <c r="A366" t="s">
        <v>298</v>
      </c>
      <c r="B366" s="24" t="str">
        <f t="shared" ref="B366:B429" si="38">E366&amp;F366</f>
        <v>Bún gà nấu nấmỚt xiêm</v>
      </c>
      <c r="C366" s="24" t="s">
        <v>8</v>
      </c>
      <c r="D366" t="s">
        <v>18</v>
      </c>
      <c r="E366" t="s">
        <v>320</v>
      </c>
      <c r="F366" t="s">
        <v>323</v>
      </c>
      <c r="G366" s="17">
        <v>1</v>
      </c>
      <c r="H366" s="18">
        <v>40000</v>
      </c>
      <c r="I366" s="18">
        <v>100</v>
      </c>
      <c r="J366" s="17">
        <f t="shared" si="36"/>
        <v>0.01</v>
      </c>
      <c r="K366" s="18">
        <f t="shared" si="34"/>
        <v>400</v>
      </c>
      <c r="O366" s="130">
        <f t="shared" si="37"/>
        <v>1.1000000000000001</v>
      </c>
    </row>
    <row r="367" spans="1:15" x14ac:dyDescent="0.35">
      <c r="A367" t="s">
        <v>298</v>
      </c>
      <c r="B367" s="24" t="str">
        <f t="shared" si="38"/>
        <v>Bún gà nấu nấmHành lá</v>
      </c>
      <c r="C367" s="24" t="s">
        <v>8</v>
      </c>
      <c r="D367" t="s">
        <v>18</v>
      </c>
      <c r="E367" t="s">
        <v>320</v>
      </c>
      <c r="F367" t="s">
        <v>24</v>
      </c>
      <c r="G367" s="17">
        <v>1</v>
      </c>
      <c r="H367" s="18">
        <v>18000</v>
      </c>
      <c r="I367" s="18">
        <v>100</v>
      </c>
      <c r="J367" s="17">
        <f t="shared" si="36"/>
        <v>0.01</v>
      </c>
      <c r="K367" s="18">
        <f t="shared" si="34"/>
        <v>180</v>
      </c>
      <c r="O367" s="130">
        <f t="shared" si="37"/>
        <v>1.1000000000000001</v>
      </c>
    </row>
    <row r="368" spans="1:15" x14ac:dyDescent="0.35">
      <c r="A368" t="s">
        <v>298</v>
      </c>
      <c r="B368" s="24" t="str">
        <f t="shared" si="38"/>
        <v>Bún gà nấu nấmNgò gai</v>
      </c>
      <c r="C368" s="24" t="s">
        <v>8</v>
      </c>
      <c r="D368" t="s">
        <v>18</v>
      </c>
      <c r="E368" t="s">
        <v>320</v>
      </c>
      <c r="F368" t="s">
        <v>101</v>
      </c>
      <c r="G368" s="17">
        <v>0.5</v>
      </c>
      <c r="H368" s="18">
        <v>35000</v>
      </c>
      <c r="I368" s="18">
        <v>100</v>
      </c>
      <c r="J368" s="17">
        <f t="shared" si="36"/>
        <v>5.0000000000000001E-3</v>
      </c>
      <c r="K368" s="18">
        <f t="shared" si="34"/>
        <v>175</v>
      </c>
      <c r="O368" s="130">
        <f t="shared" si="37"/>
        <v>0.55000000000000004</v>
      </c>
    </row>
    <row r="369" spans="1:15" x14ac:dyDescent="0.35">
      <c r="A369" t="s">
        <v>298</v>
      </c>
      <c r="B369" s="24" t="str">
        <f t="shared" si="38"/>
        <v>Bún gà nấu nấmHành tây</v>
      </c>
      <c r="C369" s="24" t="s">
        <v>8</v>
      </c>
      <c r="D369" t="s">
        <v>18</v>
      </c>
      <c r="E369" t="s">
        <v>320</v>
      </c>
      <c r="F369" t="s">
        <v>35</v>
      </c>
      <c r="G369" s="17">
        <v>1</v>
      </c>
      <c r="H369" s="18">
        <v>11000</v>
      </c>
      <c r="I369" s="18">
        <v>100</v>
      </c>
      <c r="J369" s="17">
        <f t="shared" si="36"/>
        <v>0.01</v>
      </c>
      <c r="K369" s="18">
        <f t="shared" si="34"/>
        <v>110</v>
      </c>
      <c r="O369" s="130">
        <f t="shared" si="37"/>
        <v>1.1000000000000001</v>
      </c>
    </row>
    <row r="370" spans="1:15" x14ac:dyDescent="0.35">
      <c r="A370" t="s">
        <v>298</v>
      </c>
      <c r="B370" s="24" t="str">
        <f t="shared" si="38"/>
        <v>Bún gà nấu nấmCủ cải</v>
      </c>
      <c r="C370" s="24" t="s">
        <v>8</v>
      </c>
      <c r="D370" t="s">
        <v>18</v>
      </c>
      <c r="E370" t="s">
        <v>320</v>
      </c>
      <c r="F370" t="s">
        <v>202</v>
      </c>
      <c r="G370" s="17">
        <v>2</v>
      </c>
      <c r="H370" s="18">
        <v>10000</v>
      </c>
      <c r="I370" s="18">
        <v>100</v>
      </c>
      <c r="J370" s="17">
        <f t="shared" si="36"/>
        <v>0.02</v>
      </c>
      <c r="K370" s="18">
        <f t="shared" si="34"/>
        <v>200</v>
      </c>
      <c r="O370" s="130">
        <f t="shared" si="37"/>
        <v>2.2000000000000002</v>
      </c>
    </row>
    <row r="371" spans="1:15" x14ac:dyDescent="0.35">
      <c r="A371" t="s">
        <v>298</v>
      </c>
      <c r="B371" s="24" t="str">
        <f t="shared" si="38"/>
        <v>Bún gà nấu nấmCà rốt</v>
      </c>
      <c r="C371" s="24" t="s">
        <v>8</v>
      </c>
      <c r="D371" t="s">
        <v>18</v>
      </c>
      <c r="E371" t="s">
        <v>320</v>
      </c>
      <c r="F371" t="s">
        <v>78</v>
      </c>
      <c r="G371" s="17">
        <v>2</v>
      </c>
      <c r="H371" s="18">
        <v>16000</v>
      </c>
      <c r="I371" s="18">
        <v>100</v>
      </c>
      <c r="J371" s="17">
        <f t="shared" si="36"/>
        <v>0.02</v>
      </c>
      <c r="K371" s="18">
        <f t="shared" si="34"/>
        <v>320</v>
      </c>
      <c r="O371" s="130">
        <f t="shared" si="37"/>
        <v>2.2000000000000002</v>
      </c>
    </row>
    <row r="372" spans="1:15" x14ac:dyDescent="0.35">
      <c r="A372" t="s">
        <v>298</v>
      </c>
      <c r="B372" s="24" t="str">
        <f t="shared" si="38"/>
        <v>Bún gà nấu nấmChanh</v>
      </c>
      <c r="C372" s="24" t="s">
        <v>8</v>
      </c>
      <c r="D372" t="s">
        <v>18</v>
      </c>
      <c r="E372" t="s">
        <v>320</v>
      </c>
      <c r="F372" t="s">
        <v>25</v>
      </c>
      <c r="G372" s="17">
        <v>0.8</v>
      </c>
      <c r="H372" s="18">
        <v>26000</v>
      </c>
      <c r="I372" s="18">
        <v>100</v>
      </c>
      <c r="J372" s="17">
        <f t="shared" si="36"/>
        <v>8.0000000000000002E-3</v>
      </c>
      <c r="K372" s="18">
        <f t="shared" si="34"/>
        <v>208</v>
      </c>
      <c r="O372" s="130">
        <f t="shared" si="37"/>
        <v>0.88000000000000012</v>
      </c>
    </row>
    <row r="373" spans="1:15" x14ac:dyDescent="0.35">
      <c r="A373" t="s">
        <v>232</v>
      </c>
      <c r="B373" s="24" t="str">
        <f t="shared" si="38"/>
        <v>Thịt heo kho chảThịt  heo nọng</v>
      </c>
      <c r="C373" s="24" t="s">
        <v>8</v>
      </c>
      <c r="D373" t="s">
        <v>18</v>
      </c>
      <c r="E373" t="s">
        <v>321</v>
      </c>
      <c r="F373" t="s">
        <v>322</v>
      </c>
      <c r="G373" s="17">
        <v>3.5</v>
      </c>
      <c r="H373" s="18">
        <v>65000</v>
      </c>
      <c r="I373" s="18">
        <v>100</v>
      </c>
      <c r="J373" s="17">
        <f t="shared" si="36"/>
        <v>3.5000000000000003E-2</v>
      </c>
      <c r="K373" s="18">
        <f t="shared" si="34"/>
        <v>2275</v>
      </c>
      <c r="O373" s="130"/>
    </row>
    <row r="374" spans="1:15" x14ac:dyDescent="0.35">
      <c r="A374" t="s">
        <v>232</v>
      </c>
      <c r="B374" s="24" t="str">
        <f t="shared" si="38"/>
        <v>Thịt heo kho chảChả cá tấm chiên</v>
      </c>
      <c r="C374" s="24" t="s">
        <v>8</v>
      </c>
      <c r="D374" t="s">
        <v>18</v>
      </c>
      <c r="E374" t="s">
        <v>321</v>
      </c>
      <c r="F374" t="s">
        <v>268</v>
      </c>
      <c r="G374" s="17">
        <v>2.5</v>
      </c>
      <c r="H374" s="18">
        <v>85000</v>
      </c>
      <c r="I374" s="18">
        <v>100</v>
      </c>
      <c r="J374" s="17">
        <f t="shared" si="36"/>
        <v>2.5000000000000001E-2</v>
      </c>
      <c r="K374" s="18">
        <f t="shared" si="34"/>
        <v>2125</v>
      </c>
      <c r="O374" s="130"/>
    </row>
    <row r="375" spans="1:15" x14ac:dyDescent="0.35">
      <c r="A375" s="24" t="s">
        <v>232</v>
      </c>
      <c r="B375" s="24" t="str">
        <f t="shared" si="38"/>
        <v>Mỳ Thịt xíu trứngHeo đùi mông</v>
      </c>
      <c r="C375" s="24" t="s">
        <v>8</v>
      </c>
      <c r="D375" t="s">
        <v>20</v>
      </c>
      <c r="E375" t="s">
        <v>326</v>
      </c>
      <c r="F375" t="s">
        <v>30</v>
      </c>
      <c r="G375" s="17">
        <v>7.5</v>
      </c>
      <c r="H375" s="18">
        <v>100000</v>
      </c>
      <c r="I375" s="18">
        <v>100</v>
      </c>
      <c r="J375" s="17">
        <f>G375/I375</f>
        <v>7.4999999999999997E-2</v>
      </c>
      <c r="K375" s="18">
        <f t="shared" si="34"/>
        <v>7500</v>
      </c>
    </row>
    <row r="376" spans="1:15" x14ac:dyDescent="0.35">
      <c r="A376" s="24" t="s">
        <v>232</v>
      </c>
      <c r="B376" s="24" t="str">
        <f t="shared" si="38"/>
        <v>Mỳ Thịt xíu trứngTrứng cút lột sẵn</v>
      </c>
      <c r="C376" s="24" t="s">
        <v>8</v>
      </c>
      <c r="D376" t="s">
        <v>20</v>
      </c>
      <c r="E376" t="s">
        <v>326</v>
      </c>
      <c r="F376" t="s">
        <v>390</v>
      </c>
      <c r="G376" s="17">
        <v>300</v>
      </c>
      <c r="H376" s="18">
        <v>600</v>
      </c>
      <c r="I376" s="18">
        <v>100</v>
      </c>
      <c r="J376" s="17">
        <f t="shared" ref="J376:J439" si="39">G376/I376</f>
        <v>3</v>
      </c>
      <c r="K376" s="18">
        <f t="shared" si="34"/>
        <v>1800</v>
      </c>
    </row>
    <row r="377" spans="1:15" x14ac:dyDescent="0.35">
      <c r="A377" s="24" t="s">
        <v>233</v>
      </c>
      <c r="B377" s="24" t="str">
        <f t="shared" si="38"/>
        <v>Mỳ Thịt xíu trứngBánh phồng tôm</v>
      </c>
      <c r="C377" s="24" t="s">
        <v>8</v>
      </c>
      <c r="D377" t="s">
        <v>20</v>
      </c>
      <c r="E377" t="s">
        <v>326</v>
      </c>
      <c r="F377" t="s">
        <v>426</v>
      </c>
      <c r="G377" s="17">
        <v>3</v>
      </c>
      <c r="H377" s="18">
        <v>10000</v>
      </c>
      <c r="I377" s="18">
        <v>100</v>
      </c>
      <c r="J377" s="17">
        <f t="shared" si="39"/>
        <v>0.03</v>
      </c>
      <c r="K377" s="18">
        <f t="shared" si="34"/>
        <v>300</v>
      </c>
    </row>
    <row r="378" spans="1:15" x14ac:dyDescent="0.35">
      <c r="A378" s="24" t="s">
        <v>233</v>
      </c>
      <c r="B378" s="24" t="str">
        <f t="shared" si="38"/>
        <v xml:space="preserve">Mỳ Thịt xíu trứngXà lách </v>
      </c>
      <c r="C378" s="24" t="s">
        <v>8</v>
      </c>
      <c r="D378" t="s">
        <v>20</v>
      </c>
      <c r="E378" t="s">
        <v>326</v>
      </c>
      <c r="F378" t="s">
        <v>38</v>
      </c>
      <c r="G378" s="17">
        <v>2</v>
      </c>
      <c r="H378" s="18">
        <v>22000</v>
      </c>
      <c r="I378" s="18">
        <v>100</v>
      </c>
      <c r="J378" s="17">
        <f t="shared" si="39"/>
        <v>0.02</v>
      </c>
      <c r="K378" s="18">
        <f t="shared" si="34"/>
        <v>440</v>
      </c>
    </row>
    <row r="379" spans="1:15" x14ac:dyDescent="0.35">
      <c r="A379" s="24" t="s">
        <v>233</v>
      </c>
      <c r="B379" s="24" t="str">
        <f t="shared" si="38"/>
        <v>Mỳ Thịt xíu trứngSu trắng</v>
      </c>
      <c r="C379" s="24" t="s">
        <v>8</v>
      </c>
      <c r="D379" t="s">
        <v>20</v>
      </c>
      <c r="E379" t="s">
        <v>326</v>
      </c>
      <c r="F379" t="s">
        <v>39</v>
      </c>
      <c r="G379" s="17">
        <v>1</v>
      </c>
      <c r="H379" s="18">
        <v>10000</v>
      </c>
      <c r="I379" s="18">
        <v>100</v>
      </c>
      <c r="J379" s="17">
        <f t="shared" si="39"/>
        <v>0.01</v>
      </c>
      <c r="K379" s="18">
        <f t="shared" si="34"/>
        <v>100</v>
      </c>
    </row>
    <row r="380" spans="1:15" x14ac:dyDescent="0.35">
      <c r="A380" s="24" t="s">
        <v>233</v>
      </c>
      <c r="B380" s="24" t="str">
        <f t="shared" si="38"/>
        <v>Mỳ Thịt xíu trứngGiá</v>
      </c>
      <c r="C380" s="24" t="s">
        <v>8</v>
      </c>
      <c r="D380" t="s">
        <v>20</v>
      </c>
      <c r="E380" t="s">
        <v>326</v>
      </c>
      <c r="F380" s="24" t="s">
        <v>26</v>
      </c>
      <c r="G380" s="17">
        <v>2.5</v>
      </c>
      <c r="H380" s="18">
        <v>10000</v>
      </c>
      <c r="I380" s="18">
        <v>100</v>
      </c>
      <c r="J380" s="17">
        <f t="shared" si="39"/>
        <v>2.5000000000000001E-2</v>
      </c>
      <c r="K380" s="18">
        <f t="shared" si="34"/>
        <v>250</v>
      </c>
    </row>
    <row r="381" spans="1:15" x14ac:dyDescent="0.35">
      <c r="A381" s="24" t="s">
        <v>233</v>
      </c>
      <c r="B381" s="24" t="str">
        <f t="shared" si="38"/>
        <v>Mỳ Thịt xíu trứngHành lá</v>
      </c>
      <c r="C381" s="24" t="s">
        <v>8</v>
      </c>
      <c r="D381" t="s">
        <v>20</v>
      </c>
      <c r="E381" t="s">
        <v>326</v>
      </c>
      <c r="F381" t="s">
        <v>24</v>
      </c>
      <c r="G381" s="17">
        <v>0.4</v>
      </c>
      <c r="H381" s="18">
        <v>20000</v>
      </c>
      <c r="I381" s="18">
        <v>100</v>
      </c>
      <c r="J381" s="17">
        <f t="shared" si="39"/>
        <v>4.0000000000000001E-3</v>
      </c>
      <c r="K381" s="18">
        <f t="shared" si="34"/>
        <v>80</v>
      </c>
    </row>
    <row r="382" spans="1:15" x14ac:dyDescent="0.35">
      <c r="A382" s="24" t="s">
        <v>233</v>
      </c>
      <c r="B382" s="24" t="str">
        <f t="shared" si="38"/>
        <v>Mỳ Thịt xíu trứngNgò gai</v>
      </c>
      <c r="C382" s="24" t="s">
        <v>8</v>
      </c>
      <c r="D382" t="s">
        <v>20</v>
      </c>
      <c r="E382" t="s">
        <v>326</v>
      </c>
      <c r="F382" t="s">
        <v>101</v>
      </c>
      <c r="G382" s="17">
        <v>0.2</v>
      </c>
      <c r="H382" s="18">
        <v>35000</v>
      </c>
      <c r="I382" s="18">
        <v>100</v>
      </c>
      <c r="J382" s="17">
        <f t="shared" si="39"/>
        <v>2E-3</v>
      </c>
      <c r="K382" s="18">
        <f t="shared" si="34"/>
        <v>70</v>
      </c>
    </row>
    <row r="383" spans="1:15" x14ac:dyDescent="0.35">
      <c r="A383" s="24" t="s">
        <v>233</v>
      </c>
      <c r="B383" s="24" t="str">
        <f t="shared" si="38"/>
        <v>Mỳ Thịt xíu trứngQuế</v>
      </c>
      <c r="C383" s="24" t="s">
        <v>8</v>
      </c>
      <c r="D383" t="s">
        <v>20</v>
      </c>
      <c r="E383" t="s">
        <v>326</v>
      </c>
      <c r="F383" t="s">
        <v>40</v>
      </c>
      <c r="G383" s="17">
        <v>0.3</v>
      </c>
      <c r="H383" s="18">
        <v>30000</v>
      </c>
      <c r="I383" s="18">
        <v>100</v>
      </c>
      <c r="J383" s="17">
        <f t="shared" si="39"/>
        <v>3.0000000000000001E-3</v>
      </c>
      <c r="K383" s="18">
        <f t="shared" si="34"/>
        <v>90</v>
      </c>
    </row>
    <row r="384" spans="1:15" x14ac:dyDescent="0.35">
      <c r="A384" s="24" t="s">
        <v>233</v>
      </c>
      <c r="B384" s="24" t="str">
        <f t="shared" si="38"/>
        <v>Mỳ Thịt xíu trứngChanh</v>
      </c>
      <c r="C384" s="24" t="s">
        <v>8</v>
      </c>
      <c r="D384" t="s">
        <v>20</v>
      </c>
      <c r="E384" t="s">
        <v>326</v>
      </c>
      <c r="F384" t="s">
        <v>25</v>
      </c>
      <c r="G384" s="17">
        <v>0.8</v>
      </c>
      <c r="H384" s="18">
        <v>26000</v>
      </c>
      <c r="I384" s="18">
        <v>100</v>
      </c>
      <c r="J384" s="17">
        <f t="shared" si="39"/>
        <v>8.0000000000000002E-3</v>
      </c>
      <c r="K384" s="18">
        <f t="shared" si="34"/>
        <v>208</v>
      </c>
    </row>
    <row r="385" spans="1:15" x14ac:dyDescent="0.35">
      <c r="A385" s="24" t="s">
        <v>233</v>
      </c>
      <c r="B385" s="24" t="str">
        <f t="shared" si="38"/>
        <v>Heo xào đậu veđậu ve</v>
      </c>
      <c r="C385" s="24" t="s">
        <v>8</v>
      </c>
      <c r="D385" t="s">
        <v>491</v>
      </c>
      <c r="E385" t="s">
        <v>329</v>
      </c>
      <c r="F385" t="s">
        <v>459</v>
      </c>
      <c r="G385" s="17">
        <v>5</v>
      </c>
      <c r="H385" s="18">
        <v>25000</v>
      </c>
      <c r="I385" s="18">
        <v>100</v>
      </c>
      <c r="J385" s="17">
        <f t="shared" si="39"/>
        <v>0.05</v>
      </c>
      <c r="K385" s="18">
        <f t="shared" si="34"/>
        <v>1250</v>
      </c>
      <c r="O385" s="130">
        <f t="shared" ref="O385:O386" si="40">G385*1.1</f>
        <v>5.5</v>
      </c>
    </row>
    <row r="386" spans="1:15" x14ac:dyDescent="0.35">
      <c r="A386" s="24" t="s">
        <v>233</v>
      </c>
      <c r="B386" s="24" t="str">
        <f t="shared" si="38"/>
        <v>Heo xào đậu venạc vai</v>
      </c>
      <c r="C386" s="24" t="s">
        <v>8</v>
      </c>
      <c r="D386" t="s">
        <v>491</v>
      </c>
      <c r="E386" t="s">
        <v>329</v>
      </c>
      <c r="F386" s="24" t="s">
        <v>443</v>
      </c>
      <c r="G386" s="17">
        <v>2</v>
      </c>
      <c r="H386" s="18">
        <v>85000</v>
      </c>
      <c r="I386" s="18">
        <v>100</v>
      </c>
      <c r="J386" s="17">
        <f t="shared" si="39"/>
        <v>0.02</v>
      </c>
      <c r="K386" s="18">
        <f t="shared" si="34"/>
        <v>1700</v>
      </c>
      <c r="O386" s="130">
        <f t="shared" si="40"/>
        <v>2.2000000000000002</v>
      </c>
    </row>
    <row r="387" spans="1:15" x14ac:dyDescent="0.35">
      <c r="A387" s="24" t="s">
        <v>232</v>
      </c>
      <c r="B387" s="24" t="str">
        <f t="shared" si="38"/>
        <v>Heo xào đậu veba chỉ lóc sườn</v>
      </c>
      <c r="C387" s="24" t="s">
        <v>8</v>
      </c>
      <c r="D387" t="s">
        <v>19</v>
      </c>
      <c r="E387" t="s">
        <v>329</v>
      </c>
      <c r="F387" t="s">
        <v>460</v>
      </c>
      <c r="G387" s="17">
        <v>1.5</v>
      </c>
      <c r="H387" s="18">
        <v>90000</v>
      </c>
      <c r="I387" s="18">
        <v>100</v>
      </c>
      <c r="J387" s="17">
        <f t="shared" si="39"/>
        <v>1.4999999999999999E-2</v>
      </c>
      <c r="K387" s="18">
        <f t="shared" si="34"/>
        <v>1350</v>
      </c>
    </row>
    <row r="388" spans="1:15" x14ac:dyDescent="0.35">
      <c r="A388" s="24" t="s">
        <v>233</v>
      </c>
      <c r="B388" s="24" t="str">
        <f t="shared" si="38"/>
        <v>Rau má nấu tômRau má</v>
      </c>
      <c r="C388" s="24" t="s">
        <v>8</v>
      </c>
      <c r="D388" t="s">
        <v>12</v>
      </c>
      <c r="E388" t="s">
        <v>330</v>
      </c>
      <c r="F388" s="24" t="s">
        <v>119</v>
      </c>
      <c r="G388" s="17">
        <v>18</v>
      </c>
      <c r="H388" s="18">
        <v>18000</v>
      </c>
      <c r="I388" s="18">
        <v>520</v>
      </c>
      <c r="J388" s="17">
        <f t="shared" si="39"/>
        <v>3.4615384615384617E-2</v>
      </c>
      <c r="K388" s="18">
        <f t="shared" si="34"/>
        <v>623.07692307692309</v>
      </c>
    </row>
    <row r="389" spans="1:15" x14ac:dyDescent="0.35">
      <c r="A389" s="24" t="s">
        <v>232</v>
      </c>
      <c r="B389" s="24" t="str">
        <f t="shared" si="38"/>
        <v>Rau má nấu tômTôm</v>
      </c>
      <c r="C389" s="24" t="s">
        <v>8</v>
      </c>
      <c r="D389" t="s">
        <v>12</v>
      </c>
      <c r="E389" t="s">
        <v>330</v>
      </c>
      <c r="F389" t="s">
        <v>37</v>
      </c>
      <c r="G389" s="17">
        <v>1.5</v>
      </c>
      <c r="H389" s="18">
        <v>130000</v>
      </c>
      <c r="I389" s="18">
        <v>500</v>
      </c>
      <c r="J389" s="17">
        <f t="shared" si="39"/>
        <v>3.0000000000000001E-3</v>
      </c>
      <c r="K389" s="18">
        <f t="shared" si="34"/>
        <v>390</v>
      </c>
    </row>
    <row r="390" spans="1:15" x14ac:dyDescent="0.35">
      <c r="A390" s="24" t="s">
        <v>232</v>
      </c>
      <c r="B390" s="24" t="str">
        <f t="shared" si="38"/>
        <v>Cơm thịt xá xíuHeo đùi mông</v>
      </c>
      <c r="C390" s="24" t="s">
        <v>8</v>
      </c>
      <c r="D390" t="s">
        <v>18</v>
      </c>
      <c r="E390" t="s">
        <v>331</v>
      </c>
      <c r="F390" t="s">
        <v>30</v>
      </c>
      <c r="G390" s="17">
        <v>6</v>
      </c>
      <c r="H390" s="18">
        <v>100000</v>
      </c>
      <c r="I390" s="18">
        <v>100</v>
      </c>
      <c r="J390" s="17">
        <f t="shared" si="39"/>
        <v>0.06</v>
      </c>
      <c r="K390" s="18">
        <f t="shared" si="34"/>
        <v>6000</v>
      </c>
      <c r="O390" s="130"/>
    </row>
    <row r="391" spans="1:15" x14ac:dyDescent="0.35">
      <c r="A391" s="24" t="s">
        <v>233</v>
      </c>
      <c r="B391" s="24" t="str">
        <f t="shared" si="38"/>
        <v>Cơm thịt xá xíuCà chua</v>
      </c>
      <c r="C391" s="24" t="s">
        <v>8</v>
      </c>
      <c r="D391" t="s">
        <v>18</v>
      </c>
      <c r="E391" t="s">
        <v>331</v>
      </c>
      <c r="F391" t="s">
        <v>14</v>
      </c>
      <c r="G391" s="17">
        <v>2</v>
      </c>
      <c r="H391" s="18">
        <v>20000</v>
      </c>
      <c r="I391" s="18">
        <v>100</v>
      </c>
      <c r="J391" s="17">
        <f t="shared" si="39"/>
        <v>0.02</v>
      </c>
      <c r="K391" s="18">
        <f t="shared" si="34"/>
        <v>400</v>
      </c>
      <c r="O391" s="130">
        <f t="shared" ref="O390:O395" si="41">G391*1.1</f>
        <v>2.2000000000000002</v>
      </c>
    </row>
    <row r="392" spans="1:15" x14ac:dyDescent="0.35">
      <c r="A392" s="24" t="s">
        <v>233</v>
      </c>
      <c r="B392" s="24" t="str">
        <f t="shared" si="38"/>
        <v>Cơm thịt xá xíuDưa leo</v>
      </c>
      <c r="C392" s="24" t="s">
        <v>8</v>
      </c>
      <c r="D392" t="s">
        <v>18</v>
      </c>
      <c r="E392" t="s">
        <v>331</v>
      </c>
      <c r="F392" t="s">
        <v>301</v>
      </c>
      <c r="G392" s="17">
        <v>3</v>
      </c>
      <c r="H392" s="18">
        <v>10000</v>
      </c>
      <c r="I392" s="18">
        <v>100</v>
      </c>
      <c r="J392" s="17">
        <f t="shared" si="39"/>
        <v>0.03</v>
      </c>
      <c r="K392" s="18">
        <f t="shared" si="34"/>
        <v>300</v>
      </c>
      <c r="O392" s="130">
        <f t="shared" si="41"/>
        <v>3.3000000000000003</v>
      </c>
    </row>
    <row r="393" spans="1:15" x14ac:dyDescent="0.35">
      <c r="A393" s="24" t="s">
        <v>232</v>
      </c>
      <c r="B393" s="24" t="str">
        <f t="shared" si="38"/>
        <v>Cơm thịt xá xíuTrứng gà</v>
      </c>
      <c r="C393" s="24" t="s">
        <v>8</v>
      </c>
      <c r="D393" t="s">
        <v>18</v>
      </c>
      <c r="E393" t="s">
        <v>331</v>
      </c>
      <c r="F393" t="s">
        <v>13</v>
      </c>
      <c r="G393" s="17">
        <v>100</v>
      </c>
      <c r="H393" s="18">
        <v>2200</v>
      </c>
      <c r="I393" s="18">
        <v>100</v>
      </c>
      <c r="J393" s="17">
        <f t="shared" si="39"/>
        <v>1</v>
      </c>
      <c r="K393" s="18">
        <f t="shared" si="34"/>
        <v>2200</v>
      </c>
      <c r="O393" s="130"/>
    </row>
    <row r="394" spans="1:15" x14ac:dyDescent="0.35">
      <c r="A394" s="24" t="s">
        <v>233</v>
      </c>
      <c r="B394" s="24" t="str">
        <f t="shared" si="38"/>
        <v>Cơm thịt xá xíuRong biển khô</v>
      </c>
      <c r="C394" s="24" t="s">
        <v>8</v>
      </c>
      <c r="D394" t="s">
        <v>18</v>
      </c>
      <c r="E394" t="s">
        <v>331</v>
      </c>
      <c r="F394" t="s">
        <v>332</v>
      </c>
      <c r="G394" s="17">
        <v>0.5</v>
      </c>
      <c r="H394" s="18">
        <v>200000</v>
      </c>
      <c r="I394" s="18">
        <v>150</v>
      </c>
      <c r="J394" s="17">
        <f t="shared" si="39"/>
        <v>3.3333333333333335E-3</v>
      </c>
      <c r="K394" s="18">
        <f t="shared" si="34"/>
        <v>666.66666666666663</v>
      </c>
      <c r="O394" s="130">
        <f t="shared" si="41"/>
        <v>0.55000000000000004</v>
      </c>
    </row>
    <row r="395" spans="1:15" x14ac:dyDescent="0.35">
      <c r="A395" s="24" t="s">
        <v>232</v>
      </c>
      <c r="B395" s="24" t="str">
        <f t="shared" si="38"/>
        <v>Cơm thịt xá xíuTôm</v>
      </c>
      <c r="C395" s="24" t="s">
        <v>8</v>
      </c>
      <c r="D395" t="s">
        <v>18</v>
      </c>
      <c r="E395" t="s">
        <v>331</v>
      </c>
      <c r="F395" t="s">
        <v>37</v>
      </c>
      <c r="G395" s="17">
        <v>0.5</v>
      </c>
      <c r="H395" s="18">
        <v>130000</v>
      </c>
      <c r="I395" s="18">
        <v>150</v>
      </c>
      <c r="J395" s="17">
        <f t="shared" si="39"/>
        <v>3.3333333333333335E-3</v>
      </c>
      <c r="K395" s="18">
        <f t="shared" si="34"/>
        <v>433.33333333333331</v>
      </c>
      <c r="O395" s="130"/>
    </row>
    <row r="396" spans="1:15" x14ac:dyDescent="0.35">
      <c r="A396" s="24" t="s">
        <v>232</v>
      </c>
      <c r="B396" s="24" t="str">
        <f t="shared" si="38"/>
        <v>Tim heo xào măngTim heo</v>
      </c>
      <c r="C396" s="24" t="s">
        <v>8</v>
      </c>
      <c r="D396" t="s">
        <v>19</v>
      </c>
      <c r="E396" t="s">
        <v>334</v>
      </c>
      <c r="F396" t="s">
        <v>333</v>
      </c>
      <c r="G396" s="17">
        <v>0.05</v>
      </c>
      <c r="H396" s="18">
        <v>50000</v>
      </c>
      <c r="I396" s="18">
        <v>1</v>
      </c>
      <c r="J396" s="17">
        <f t="shared" si="39"/>
        <v>0.05</v>
      </c>
      <c r="K396" s="18">
        <f t="shared" si="34"/>
        <v>2500</v>
      </c>
    </row>
    <row r="397" spans="1:15" x14ac:dyDescent="0.35">
      <c r="A397" s="24" t="s">
        <v>233</v>
      </c>
      <c r="B397" s="24" t="str">
        <f t="shared" si="38"/>
        <v>Tim heo xào măngMăng vàng</v>
      </c>
      <c r="C397" s="24" t="s">
        <v>8</v>
      </c>
      <c r="D397" t="s">
        <v>19</v>
      </c>
      <c r="E397" t="s">
        <v>334</v>
      </c>
      <c r="F397" t="s">
        <v>136</v>
      </c>
      <c r="G397" s="17">
        <v>0.05</v>
      </c>
      <c r="H397" s="18">
        <v>25000</v>
      </c>
      <c r="I397" s="18">
        <v>1</v>
      </c>
      <c r="J397" s="17">
        <f t="shared" si="39"/>
        <v>0.05</v>
      </c>
      <c r="K397" s="18">
        <f t="shared" si="34"/>
        <v>1250</v>
      </c>
    </row>
    <row r="398" spans="1:15" x14ac:dyDescent="0.35">
      <c r="A398" s="24" t="s">
        <v>232</v>
      </c>
      <c r="B398" s="24" t="str">
        <f t="shared" si="38"/>
        <v>Thịt heo ngâm mắmHeo đùi mông</v>
      </c>
      <c r="C398" s="24" t="s">
        <v>8</v>
      </c>
      <c r="D398" t="s">
        <v>18</v>
      </c>
      <c r="E398" t="s">
        <v>337</v>
      </c>
      <c r="F398" t="s">
        <v>30</v>
      </c>
      <c r="G398" s="17">
        <v>4.5</v>
      </c>
      <c r="H398" s="18">
        <v>100000</v>
      </c>
      <c r="I398" s="18">
        <v>100</v>
      </c>
      <c r="J398" s="17">
        <f t="shared" si="39"/>
        <v>4.4999999999999998E-2</v>
      </c>
      <c r="K398" s="18">
        <f t="shared" si="34"/>
        <v>4500</v>
      </c>
      <c r="O398" s="130"/>
    </row>
    <row r="399" spans="1:15" x14ac:dyDescent="0.35">
      <c r="A399" s="24" t="s">
        <v>232</v>
      </c>
      <c r="B399" s="24" t="str">
        <f t="shared" si="38"/>
        <v>Chả cá chiên sả ớtChả cá tấm</v>
      </c>
      <c r="C399" s="24" t="s">
        <v>8</v>
      </c>
      <c r="D399" t="s">
        <v>19</v>
      </c>
      <c r="E399" t="s">
        <v>338</v>
      </c>
      <c r="F399" t="s">
        <v>339</v>
      </c>
      <c r="G399" s="17">
        <v>3.5</v>
      </c>
      <c r="H399" s="18">
        <v>90000</v>
      </c>
      <c r="I399" s="18">
        <v>100</v>
      </c>
      <c r="J399" s="17">
        <f t="shared" si="39"/>
        <v>3.5000000000000003E-2</v>
      </c>
      <c r="K399" s="18">
        <f t="shared" si="34"/>
        <v>3150</v>
      </c>
    </row>
    <row r="400" spans="1:15" x14ac:dyDescent="0.35">
      <c r="A400" s="24" t="s">
        <v>233</v>
      </c>
      <c r="B400" s="24" t="str">
        <f t="shared" si="38"/>
        <v>Chả cá chiên sả ớtSả</v>
      </c>
      <c r="C400" s="24" t="s">
        <v>8</v>
      </c>
      <c r="D400" t="s">
        <v>19</v>
      </c>
      <c r="E400" t="s">
        <v>338</v>
      </c>
      <c r="F400" t="s">
        <v>207</v>
      </c>
      <c r="G400" s="17">
        <v>0.5</v>
      </c>
      <c r="H400" s="18">
        <v>10000</v>
      </c>
      <c r="I400" s="18">
        <v>100</v>
      </c>
      <c r="J400" s="17">
        <f t="shared" si="39"/>
        <v>5.0000000000000001E-3</v>
      </c>
      <c r="K400" s="18">
        <f t="shared" si="34"/>
        <v>50</v>
      </c>
    </row>
    <row r="401" spans="1:15" x14ac:dyDescent="0.35">
      <c r="A401" s="24" t="s">
        <v>233</v>
      </c>
      <c r="B401" s="24" t="str">
        <f t="shared" si="38"/>
        <v>Canh chuaMăng chua</v>
      </c>
      <c r="C401" s="24" t="s">
        <v>8</v>
      </c>
      <c r="D401" t="s">
        <v>12</v>
      </c>
      <c r="E401" t="s">
        <v>340</v>
      </c>
      <c r="F401" t="s">
        <v>189</v>
      </c>
      <c r="G401" s="17">
        <v>2</v>
      </c>
      <c r="H401" s="18">
        <v>25000</v>
      </c>
      <c r="I401" s="18">
        <v>130</v>
      </c>
      <c r="J401" s="17">
        <f t="shared" si="39"/>
        <v>1.5384615384615385E-2</v>
      </c>
      <c r="K401" s="18">
        <f t="shared" si="34"/>
        <v>384.61538461538464</v>
      </c>
    </row>
    <row r="402" spans="1:15" x14ac:dyDescent="0.35">
      <c r="A402" s="24" t="s">
        <v>233</v>
      </c>
      <c r="B402" s="24" t="str">
        <f t="shared" si="38"/>
        <v>Canh chuaThơm</v>
      </c>
      <c r="C402" s="24" t="s">
        <v>8</v>
      </c>
      <c r="D402" t="s">
        <v>12</v>
      </c>
      <c r="E402" t="s">
        <v>340</v>
      </c>
      <c r="F402" t="s">
        <v>4</v>
      </c>
      <c r="G402" s="17">
        <v>1.5</v>
      </c>
      <c r="H402" s="18">
        <v>18000</v>
      </c>
      <c r="I402" s="18">
        <v>130</v>
      </c>
      <c r="J402" s="17">
        <f t="shared" si="39"/>
        <v>1.1538461538461539E-2</v>
      </c>
      <c r="K402" s="18">
        <f t="shared" si="34"/>
        <v>207.69230769230768</v>
      </c>
    </row>
    <row r="403" spans="1:15" x14ac:dyDescent="0.35">
      <c r="A403" s="24" t="s">
        <v>233</v>
      </c>
      <c r="B403" s="24" t="str">
        <f t="shared" si="38"/>
        <v>Canh chuaCà chua</v>
      </c>
      <c r="C403" s="24" t="s">
        <v>8</v>
      </c>
      <c r="D403" t="s">
        <v>12</v>
      </c>
      <c r="E403" t="s">
        <v>340</v>
      </c>
      <c r="F403" t="s">
        <v>14</v>
      </c>
      <c r="G403" s="17">
        <v>1</v>
      </c>
      <c r="H403" s="18">
        <v>25000</v>
      </c>
      <c r="I403" s="18">
        <v>130</v>
      </c>
      <c r="J403" s="17">
        <f t="shared" si="39"/>
        <v>7.6923076923076927E-3</v>
      </c>
      <c r="K403" s="18">
        <f t="shared" si="34"/>
        <v>192.30769230769232</v>
      </c>
      <c r="N403" s="30"/>
    </row>
    <row r="404" spans="1:15" x14ac:dyDescent="0.35">
      <c r="A404" s="24" t="s">
        <v>233</v>
      </c>
      <c r="B404" s="24" t="str">
        <f t="shared" si="38"/>
        <v>Canh chuaRau ngũ điếc</v>
      </c>
      <c r="C404" s="24" t="s">
        <v>8</v>
      </c>
      <c r="D404" t="s">
        <v>12</v>
      </c>
      <c r="E404" t="s">
        <v>340</v>
      </c>
      <c r="F404" t="s">
        <v>336</v>
      </c>
      <c r="G404" s="17">
        <v>0.5</v>
      </c>
      <c r="H404" s="18">
        <v>30000</v>
      </c>
      <c r="I404" s="18">
        <v>130</v>
      </c>
      <c r="J404" s="17">
        <f t="shared" si="39"/>
        <v>3.8461538461538464E-3</v>
      </c>
      <c r="K404" s="18">
        <f t="shared" si="34"/>
        <v>115.38461538461539</v>
      </c>
    </row>
    <row r="405" spans="1:15" x14ac:dyDescent="0.35">
      <c r="A405" s="24" t="s">
        <v>233</v>
      </c>
      <c r="B405" s="24" t="str">
        <f t="shared" si="38"/>
        <v>Canh chuaHành lá</v>
      </c>
      <c r="C405" s="24" t="s">
        <v>8</v>
      </c>
      <c r="D405" t="s">
        <v>12</v>
      </c>
      <c r="E405" t="s">
        <v>340</v>
      </c>
      <c r="F405" t="s">
        <v>24</v>
      </c>
      <c r="G405" s="17">
        <v>0.5</v>
      </c>
      <c r="H405" s="18">
        <v>25000</v>
      </c>
      <c r="I405" s="18">
        <v>130</v>
      </c>
      <c r="J405" s="17">
        <f t="shared" si="39"/>
        <v>3.8461538461538464E-3</v>
      </c>
      <c r="K405" s="18">
        <f t="shared" si="34"/>
        <v>96.15384615384616</v>
      </c>
    </row>
    <row r="406" spans="1:15" x14ac:dyDescent="0.35">
      <c r="A406" s="24" t="s">
        <v>233</v>
      </c>
      <c r="B406" s="24" t="str">
        <f t="shared" si="38"/>
        <v>Mít non nấu tômMít non</v>
      </c>
      <c r="C406" s="24" t="s">
        <v>8</v>
      </c>
      <c r="D406" t="s">
        <v>12</v>
      </c>
      <c r="E406" t="s">
        <v>342</v>
      </c>
      <c r="F406" t="s">
        <v>343</v>
      </c>
      <c r="G406" s="17">
        <v>22</v>
      </c>
      <c r="H406" s="18">
        <v>15000</v>
      </c>
      <c r="I406" s="18">
        <v>630</v>
      </c>
      <c r="J406" s="17">
        <f t="shared" si="39"/>
        <v>3.4920634920634921E-2</v>
      </c>
      <c r="K406" s="18">
        <f t="shared" si="34"/>
        <v>523.80952380952385</v>
      </c>
    </row>
    <row r="407" spans="1:15" x14ac:dyDescent="0.35">
      <c r="A407" s="24" t="s">
        <v>232</v>
      </c>
      <c r="B407" s="24" t="str">
        <f t="shared" si="38"/>
        <v>Mít non nấu tômTôm</v>
      </c>
      <c r="C407" s="24" t="s">
        <v>8</v>
      </c>
      <c r="D407" t="s">
        <v>12</v>
      </c>
      <c r="E407" t="s">
        <v>342</v>
      </c>
      <c r="F407" t="s">
        <v>37</v>
      </c>
      <c r="G407" s="17">
        <v>1.5</v>
      </c>
      <c r="H407" s="18">
        <v>130000</v>
      </c>
      <c r="I407" s="18">
        <v>630</v>
      </c>
      <c r="J407" s="17">
        <f t="shared" si="39"/>
        <v>2.3809523809523812E-3</v>
      </c>
      <c r="K407" s="18">
        <f t="shared" si="34"/>
        <v>309.52380952380952</v>
      </c>
    </row>
    <row r="408" spans="1:15" x14ac:dyDescent="0.35">
      <c r="A408" s="24" t="s">
        <v>233</v>
      </c>
      <c r="B408" s="24" t="str">
        <f t="shared" si="38"/>
        <v>Mít non nấu tômLá lót</v>
      </c>
      <c r="C408" s="24" t="s">
        <v>8</v>
      </c>
      <c r="D408" t="s">
        <v>12</v>
      </c>
      <c r="E408" t="s">
        <v>342</v>
      </c>
      <c r="F408" t="s">
        <v>341</v>
      </c>
      <c r="G408" s="17">
        <v>1</v>
      </c>
      <c r="H408" s="18">
        <v>25000</v>
      </c>
      <c r="I408" s="18">
        <v>630</v>
      </c>
      <c r="J408" s="17">
        <f t="shared" si="39"/>
        <v>1.5873015873015873E-3</v>
      </c>
      <c r="K408" s="18">
        <f t="shared" si="34"/>
        <v>39.682539682539684</v>
      </c>
    </row>
    <row r="409" spans="1:15" ht="15.5" x14ac:dyDescent="0.35">
      <c r="A409" s="24" t="s">
        <v>232</v>
      </c>
      <c r="B409" s="24" t="str">
        <f t="shared" si="38"/>
        <v>Thịt kho dưa muốiThịt heo nọng</v>
      </c>
      <c r="C409" s="24" t="s">
        <v>8</v>
      </c>
      <c r="D409" t="s">
        <v>18</v>
      </c>
      <c r="E409" t="s">
        <v>347</v>
      </c>
      <c r="F409" t="s">
        <v>346</v>
      </c>
      <c r="G409" s="39">
        <v>0.02</v>
      </c>
      <c r="H409" s="74">
        <v>65000</v>
      </c>
      <c r="I409" s="18">
        <v>1</v>
      </c>
      <c r="J409" s="17">
        <f t="shared" si="39"/>
        <v>0.02</v>
      </c>
      <c r="K409" s="18">
        <f t="shared" si="34"/>
        <v>1300</v>
      </c>
      <c r="O409" s="130"/>
    </row>
    <row r="410" spans="1:15" ht="15.5" x14ac:dyDescent="0.35">
      <c r="A410" s="24" t="s">
        <v>232</v>
      </c>
      <c r="B410" s="24" t="str">
        <f t="shared" si="38"/>
        <v>Thịt kho dưa muốiThịt đùi mông</v>
      </c>
      <c r="C410" s="24" t="s">
        <v>8</v>
      </c>
      <c r="D410" t="s">
        <v>18</v>
      </c>
      <c r="E410" t="s">
        <v>347</v>
      </c>
      <c r="F410" t="s">
        <v>46</v>
      </c>
      <c r="G410" s="39">
        <v>0.02</v>
      </c>
      <c r="H410" s="74">
        <v>100000</v>
      </c>
      <c r="I410" s="18">
        <v>1</v>
      </c>
      <c r="J410" s="17">
        <f t="shared" si="39"/>
        <v>0.02</v>
      </c>
      <c r="K410" s="18">
        <f t="shared" si="34"/>
        <v>2000</v>
      </c>
      <c r="O410" s="130"/>
    </row>
    <row r="411" spans="1:15" ht="15.5" x14ac:dyDescent="0.35">
      <c r="A411" s="24" t="s">
        <v>233</v>
      </c>
      <c r="B411" s="24" t="str">
        <f t="shared" si="38"/>
        <v>Thịt kho dưa muốiDưa trái muối</v>
      </c>
      <c r="C411" s="24" t="s">
        <v>8</v>
      </c>
      <c r="D411" t="s">
        <v>18</v>
      </c>
      <c r="E411" t="s">
        <v>347</v>
      </c>
      <c r="F411" s="39" t="s">
        <v>307</v>
      </c>
      <c r="G411" s="40">
        <v>0.05</v>
      </c>
      <c r="H411" s="18">
        <v>15000</v>
      </c>
      <c r="I411" s="18">
        <v>1</v>
      </c>
      <c r="J411" s="17">
        <f t="shared" si="39"/>
        <v>0.05</v>
      </c>
      <c r="K411" s="18">
        <f t="shared" si="34"/>
        <v>750</v>
      </c>
      <c r="O411" s="130">
        <f t="shared" ref="O409:O414" si="42">G411*1.1</f>
        <v>5.5000000000000007E-2</v>
      </c>
    </row>
    <row r="412" spans="1:15" ht="15.5" x14ac:dyDescent="0.35">
      <c r="A412" s="24" t="s">
        <v>232</v>
      </c>
      <c r="B412" s="24" t="str">
        <f t="shared" si="38"/>
        <v>Tôm thịt rim củ cảiBa chỉ ĐL</v>
      </c>
      <c r="C412" s="24" t="s">
        <v>8</v>
      </c>
      <c r="D412" t="s">
        <v>18</v>
      </c>
      <c r="E412" t="s">
        <v>352</v>
      </c>
      <c r="F412" s="39" t="s">
        <v>351</v>
      </c>
      <c r="G412" s="40">
        <v>0.04</v>
      </c>
      <c r="H412" s="18">
        <v>90000</v>
      </c>
      <c r="I412" s="18">
        <v>1</v>
      </c>
      <c r="J412" s="17">
        <f t="shared" si="39"/>
        <v>0.04</v>
      </c>
      <c r="K412" s="18">
        <f t="shared" ref="K412:K479" si="43">(G412*H412)/I412</f>
        <v>3600</v>
      </c>
      <c r="O412" s="130"/>
    </row>
    <row r="413" spans="1:15" ht="15.5" x14ac:dyDescent="0.35">
      <c r="A413" s="24" t="s">
        <v>233</v>
      </c>
      <c r="B413" s="24" t="str">
        <f t="shared" si="38"/>
        <v>Tôm thịt rim củ cảiTôm</v>
      </c>
      <c r="C413" s="24" t="s">
        <v>8</v>
      </c>
      <c r="D413" t="s">
        <v>18</v>
      </c>
      <c r="E413" t="s">
        <v>352</v>
      </c>
      <c r="F413" s="39" t="s">
        <v>37</v>
      </c>
      <c r="G413" s="74">
        <v>1</v>
      </c>
      <c r="H413" s="18">
        <v>145000</v>
      </c>
      <c r="I413" s="18">
        <v>60</v>
      </c>
      <c r="J413" s="17">
        <f t="shared" si="39"/>
        <v>1.6666666666666666E-2</v>
      </c>
      <c r="K413" s="18">
        <f t="shared" si="43"/>
        <v>2416.6666666666665</v>
      </c>
      <c r="O413" s="130">
        <f t="shared" si="42"/>
        <v>1.1000000000000001</v>
      </c>
    </row>
    <row r="414" spans="1:15" ht="15.5" x14ac:dyDescent="0.35">
      <c r="A414" s="24" t="s">
        <v>233</v>
      </c>
      <c r="B414" s="24" t="str">
        <f t="shared" si="38"/>
        <v>Tôm thịt rim củ cảiCủ cải</v>
      </c>
      <c r="C414" s="24" t="s">
        <v>8</v>
      </c>
      <c r="D414" t="s">
        <v>18</v>
      </c>
      <c r="E414" t="s">
        <v>352</v>
      </c>
      <c r="F414" s="39" t="s">
        <v>202</v>
      </c>
      <c r="G414" s="74">
        <v>0.03</v>
      </c>
      <c r="H414" s="18">
        <v>12000</v>
      </c>
      <c r="I414" s="18">
        <v>1</v>
      </c>
      <c r="J414" s="17">
        <f t="shared" si="39"/>
        <v>0.03</v>
      </c>
      <c r="K414" s="18">
        <f t="shared" si="43"/>
        <v>360</v>
      </c>
      <c r="O414" s="130">
        <f t="shared" si="42"/>
        <v>3.3000000000000002E-2</v>
      </c>
    </row>
    <row r="415" spans="1:15" ht="15.5" x14ac:dyDescent="0.35">
      <c r="A415" s="24" t="s">
        <v>233</v>
      </c>
      <c r="B415" s="24" t="str">
        <f t="shared" si="38"/>
        <v>Cải thìa xàoCải thìa</v>
      </c>
      <c r="C415" s="24" t="s">
        <v>8</v>
      </c>
      <c r="D415" t="s">
        <v>47</v>
      </c>
      <c r="E415" t="s">
        <v>353</v>
      </c>
      <c r="F415" s="39" t="s">
        <v>350</v>
      </c>
      <c r="G415" s="74">
        <v>9.5</v>
      </c>
      <c r="H415" s="18">
        <v>10000</v>
      </c>
      <c r="I415" s="18">
        <v>100</v>
      </c>
      <c r="J415" s="17">
        <f t="shared" si="39"/>
        <v>9.5000000000000001E-2</v>
      </c>
      <c r="K415" s="18">
        <f t="shared" si="43"/>
        <v>950</v>
      </c>
    </row>
    <row r="416" spans="1:15" ht="15.5" x14ac:dyDescent="0.35">
      <c r="A416" s="24" t="s">
        <v>233</v>
      </c>
      <c r="B416" s="24" t="str">
        <f t="shared" si="38"/>
        <v>Đậu ve xàoĐậu ve</v>
      </c>
      <c r="C416" s="24" t="s">
        <v>8</v>
      </c>
      <c r="D416" t="s">
        <v>47</v>
      </c>
      <c r="E416" t="s">
        <v>356</v>
      </c>
      <c r="F416" s="39" t="s">
        <v>327</v>
      </c>
      <c r="G416" s="74">
        <v>8.5</v>
      </c>
      <c r="H416" s="18">
        <v>15000</v>
      </c>
      <c r="I416" s="18">
        <v>100</v>
      </c>
      <c r="J416" s="17">
        <f t="shared" si="39"/>
        <v>8.5000000000000006E-2</v>
      </c>
      <c r="K416" s="18">
        <f t="shared" si="43"/>
        <v>1275</v>
      </c>
    </row>
    <row r="417" spans="1:15" ht="15.5" x14ac:dyDescent="0.35">
      <c r="A417" s="24" t="s">
        <v>232</v>
      </c>
      <c r="B417" s="24" t="str">
        <f t="shared" si="38"/>
        <v>Tôm thịt rim mặnTôm ~150c/kg</v>
      </c>
      <c r="C417" s="24" t="s">
        <v>8</v>
      </c>
      <c r="D417" t="s">
        <v>18</v>
      </c>
      <c r="E417" t="s">
        <v>396</v>
      </c>
      <c r="F417" s="39" t="s">
        <v>365</v>
      </c>
      <c r="G417" s="74">
        <v>1.7</v>
      </c>
      <c r="H417" s="18">
        <v>90000</v>
      </c>
      <c r="I417" s="18">
        <v>100</v>
      </c>
      <c r="J417" s="17">
        <f t="shared" si="39"/>
        <v>1.7000000000000001E-2</v>
      </c>
      <c r="K417" s="18">
        <f t="shared" si="43"/>
        <v>1530</v>
      </c>
      <c r="O417" s="130"/>
    </row>
    <row r="418" spans="1:15" ht="15.5" x14ac:dyDescent="0.35">
      <c r="A418" s="24" t="s">
        <v>232</v>
      </c>
      <c r="B418" s="24" t="str">
        <f t="shared" si="38"/>
        <v>Tôm thịt rim mặnNạc đùi ĐL</v>
      </c>
      <c r="C418" s="24" t="s">
        <v>8</v>
      </c>
      <c r="D418" t="s">
        <v>18</v>
      </c>
      <c r="E418" t="s">
        <v>396</v>
      </c>
      <c r="F418" s="39" t="s">
        <v>385</v>
      </c>
      <c r="G418" s="40">
        <v>4</v>
      </c>
      <c r="H418" s="18">
        <v>98000</v>
      </c>
      <c r="I418" s="18">
        <v>100</v>
      </c>
      <c r="J418" s="17">
        <f t="shared" si="39"/>
        <v>0.04</v>
      </c>
      <c r="K418" s="18">
        <f t="shared" si="43"/>
        <v>3920</v>
      </c>
      <c r="O418" s="130"/>
    </row>
    <row r="419" spans="1:15" ht="15.5" x14ac:dyDescent="0.35">
      <c r="A419" s="24" t="s">
        <v>232</v>
      </c>
      <c r="B419" s="24" t="str">
        <f t="shared" si="38"/>
        <v>Lưỡi heo xào thơm càLưỡi heo</v>
      </c>
      <c r="C419" s="24" t="s">
        <v>8</v>
      </c>
      <c r="D419" t="s">
        <v>18</v>
      </c>
      <c r="E419" t="s">
        <v>397</v>
      </c>
      <c r="F419" s="39" t="s">
        <v>383</v>
      </c>
      <c r="G419" s="92">
        <v>5.5E-2</v>
      </c>
      <c r="H419" s="18">
        <v>65000</v>
      </c>
      <c r="I419" s="18">
        <v>1</v>
      </c>
      <c r="J419" s="17">
        <f t="shared" si="39"/>
        <v>5.5E-2</v>
      </c>
      <c r="K419" s="18">
        <f t="shared" si="43"/>
        <v>3575</v>
      </c>
      <c r="O419" s="130"/>
    </row>
    <row r="420" spans="1:15" ht="15.5" x14ac:dyDescent="0.35">
      <c r="A420" s="24" t="s">
        <v>233</v>
      </c>
      <c r="B420" s="24" t="str">
        <f t="shared" si="38"/>
        <v>Lưỡi heo xào thơm càThơm</v>
      </c>
      <c r="C420" s="24" t="s">
        <v>8</v>
      </c>
      <c r="D420" t="s">
        <v>18</v>
      </c>
      <c r="E420" t="s">
        <v>397</v>
      </c>
      <c r="F420" s="39" t="s">
        <v>4</v>
      </c>
      <c r="G420" s="92">
        <v>2.5000000000000001E-2</v>
      </c>
      <c r="H420" s="18">
        <v>18000</v>
      </c>
      <c r="I420" s="18">
        <v>1</v>
      </c>
      <c r="J420" s="17">
        <f t="shared" si="39"/>
        <v>2.5000000000000001E-2</v>
      </c>
      <c r="K420" s="18">
        <f t="shared" si="43"/>
        <v>450</v>
      </c>
      <c r="O420" s="130">
        <f t="shared" ref="O417:O446" si="44">G420*1.1</f>
        <v>2.7500000000000004E-2</v>
      </c>
    </row>
    <row r="421" spans="1:15" ht="15.5" x14ac:dyDescent="0.35">
      <c r="A421" s="24" t="s">
        <v>233</v>
      </c>
      <c r="B421" s="24" t="str">
        <f t="shared" si="38"/>
        <v>Lưỡi heo xào thơm càCà chua</v>
      </c>
      <c r="C421" s="24" t="s">
        <v>8</v>
      </c>
      <c r="D421" t="s">
        <v>18</v>
      </c>
      <c r="E421" t="s">
        <v>397</v>
      </c>
      <c r="F421" s="39" t="s">
        <v>14</v>
      </c>
      <c r="G421" s="92">
        <v>0.02</v>
      </c>
      <c r="H421" s="18">
        <v>15000</v>
      </c>
      <c r="I421" s="18">
        <v>1</v>
      </c>
      <c r="J421" s="17">
        <f t="shared" si="39"/>
        <v>0.02</v>
      </c>
      <c r="K421" s="18">
        <f t="shared" si="43"/>
        <v>300</v>
      </c>
      <c r="O421" s="130">
        <f t="shared" si="44"/>
        <v>2.2000000000000002E-2</v>
      </c>
    </row>
    <row r="422" spans="1:15" ht="15.5" x14ac:dyDescent="0.35">
      <c r="A422" s="24" t="s">
        <v>233</v>
      </c>
      <c r="B422" s="24" t="str">
        <f t="shared" si="38"/>
        <v>Lưỡi heo xào thơm càNgò rí</v>
      </c>
      <c r="C422" s="24" t="s">
        <v>8</v>
      </c>
      <c r="D422" t="s">
        <v>18</v>
      </c>
      <c r="E422" t="s">
        <v>397</v>
      </c>
      <c r="F422" s="39" t="s">
        <v>369</v>
      </c>
      <c r="G422" s="92">
        <v>0.1</v>
      </c>
      <c r="H422" s="18">
        <v>35000</v>
      </c>
      <c r="I422" s="18">
        <v>20</v>
      </c>
      <c r="J422" s="17">
        <f t="shared" si="39"/>
        <v>5.0000000000000001E-3</v>
      </c>
      <c r="K422" s="18">
        <f t="shared" si="43"/>
        <v>175</v>
      </c>
      <c r="O422" s="130">
        <f t="shared" si="44"/>
        <v>0.11000000000000001</v>
      </c>
    </row>
    <row r="423" spans="1:15" ht="15.5" x14ac:dyDescent="0.35">
      <c r="A423" s="24" t="s">
        <v>233</v>
      </c>
      <c r="B423" s="24" t="str">
        <f t="shared" si="38"/>
        <v>Bún chayCà rốt</v>
      </c>
      <c r="C423" s="24" t="s">
        <v>393</v>
      </c>
      <c r="D423" t="s">
        <v>18</v>
      </c>
      <c r="E423" t="s">
        <v>375</v>
      </c>
      <c r="F423" s="39" t="s">
        <v>78</v>
      </c>
      <c r="G423" s="74">
        <v>0.5</v>
      </c>
      <c r="H423" s="18">
        <v>15000</v>
      </c>
      <c r="I423" s="18">
        <v>14</v>
      </c>
      <c r="J423" s="17">
        <f t="shared" si="39"/>
        <v>3.5714285714285712E-2</v>
      </c>
      <c r="K423" s="18">
        <f t="shared" si="43"/>
        <v>535.71428571428567</v>
      </c>
      <c r="O423" s="130">
        <f t="shared" si="44"/>
        <v>0.55000000000000004</v>
      </c>
    </row>
    <row r="424" spans="1:15" ht="15.5" x14ac:dyDescent="0.35">
      <c r="A424" s="24" t="s">
        <v>233</v>
      </c>
      <c r="B424" s="24" t="str">
        <f t="shared" si="38"/>
        <v>Bún chayCủ cải</v>
      </c>
      <c r="C424" s="24" t="s">
        <v>393</v>
      </c>
      <c r="D424" t="s">
        <v>18</v>
      </c>
      <c r="E424" t="s">
        <v>375</v>
      </c>
      <c r="F424" s="39" t="s">
        <v>202</v>
      </c>
      <c r="G424" s="74">
        <v>0.5</v>
      </c>
      <c r="H424" s="18">
        <v>10000</v>
      </c>
      <c r="I424" s="18">
        <v>14</v>
      </c>
      <c r="J424" s="17">
        <f t="shared" si="39"/>
        <v>3.5714285714285712E-2</v>
      </c>
      <c r="K424" s="18">
        <f t="shared" si="43"/>
        <v>357.14285714285717</v>
      </c>
      <c r="O424" s="130">
        <f t="shared" si="44"/>
        <v>0.55000000000000004</v>
      </c>
    </row>
    <row r="425" spans="1:15" ht="15.5" x14ac:dyDescent="0.35">
      <c r="A425" s="24" t="s">
        <v>233</v>
      </c>
      <c r="B425" s="24" t="str">
        <f t="shared" si="38"/>
        <v>Bún chayBí đỏ</v>
      </c>
      <c r="C425" s="24" t="s">
        <v>393</v>
      </c>
      <c r="D425" t="s">
        <v>18</v>
      </c>
      <c r="E425" t="s">
        <v>375</v>
      </c>
      <c r="F425" s="39" t="s">
        <v>103</v>
      </c>
      <c r="G425" s="74">
        <v>0.5</v>
      </c>
      <c r="H425" s="18">
        <v>12000</v>
      </c>
      <c r="I425" s="18">
        <v>14</v>
      </c>
      <c r="J425" s="17">
        <f t="shared" si="39"/>
        <v>3.5714285714285712E-2</v>
      </c>
      <c r="K425" s="18">
        <f t="shared" si="43"/>
        <v>428.57142857142856</v>
      </c>
      <c r="O425" s="130">
        <f t="shared" si="44"/>
        <v>0.55000000000000004</v>
      </c>
    </row>
    <row r="426" spans="1:15" ht="15.5" x14ac:dyDescent="0.35">
      <c r="A426" s="24" t="s">
        <v>233</v>
      </c>
      <c r="B426" s="24" t="str">
        <f t="shared" si="38"/>
        <v>Bún chayPhù chúc khô</v>
      </c>
      <c r="C426" s="24" t="s">
        <v>393</v>
      </c>
      <c r="D426" t="s">
        <v>18</v>
      </c>
      <c r="E426" t="s">
        <v>375</v>
      </c>
      <c r="F426" s="39" t="s">
        <v>355</v>
      </c>
      <c r="G426" s="40">
        <v>0.15</v>
      </c>
      <c r="H426" s="18">
        <v>80000</v>
      </c>
      <c r="I426" s="18">
        <v>14</v>
      </c>
      <c r="J426" s="17">
        <f t="shared" si="39"/>
        <v>1.0714285714285714E-2</v>
      </c>
      <c r="K426" s="18">
        <f t="shared" si="43"/>
        <v>857.14285714285711</v>
      </c>
      <c r="O426" s="130">
        <f t="shared" si="44"/>
        <v>0.16500000000000001</v>
      </c>
    </row>
    <row r="427" spans="1:15" ht="15.5" x14ac:dyDescent="0.35">
      <c r="A427" s="24" t="s">
        <v>233</v>
      </c>
      <c r="B427" s="24" t="str">
        <f t="shared" si="38"/>
        <v>Bún chayChả chay</v>
      </c>
      <c r="C427" s="24" t="s">
        <v>393</v>
      </c>
      <c r="D427" t="s">
        <v>18</v>
      </c>
      <c r="E427" t="s">
        <v>375</v>
      </c>
      <c r="F427" s="39" t="s">
        <v>344</v>
      </c>
      <c r="G427" s="74">
        <v>0.5</v>
      </c>
      <c r="H427" s="18">
        <v>80000</v>
      </c>
      <c r="I427" s="18">
        <v>14</v>
      </c>
      <c r="J427" s="17">
        <f t="shared" si="39"/>
        <v>3.5714285714285712E-2</v>
      </c>
      <c r="K427" s="18">
        <f t="shared" si="43"/>
        <v>2857.1428571428573</v>
      </c>
      <c r="O427" s="130">
        <f t="shared" si="44"/>
        <v>0.55000000000000004</v>
      </c>
    </row>
    <row r="428" spans="1:15" ht="15.5" x14ac:dyDescent="0.35">
      <c r="A428" s="24" t="s">
        <v>233</v>
      </c>
      <c r="B428" s="24" t="str">
        <f t="shared" si="38"/>
        <v>Bún chayNấm dai</v>
      </c>
      <c r="C428" s="24" t="s">
        <v>393</v>
      </c>
      <c r="D428" t="s">
        <v>18</v>
      </c>
      <c r="E428" t="s">
        <v>375</v>
      </c>
      <c r="F428" s="39" t="s">
        <v>325</v>
      </c>
      <c r="G428" s="74">
        <v>0.5</v>
      </c>
      <c r="H428" s="18">
        <v>45000</v>
      </c>
      <c r="I428" s="18">
        <v>14</v>
      </c>
      <c r="J428" s="17">
        <f t="shared" si="39"/>
        <v>3.5714285714285712E-2</v>
      </c>
      <c r="K428" s="18">
        <f t="shared" si="43"/>
        <v>1607.1428571428571</v>
      </c>
      <c r="O428" s="130">
        <f t="shared" si="44"/>
        <v>0.55000000000000004</v>
      </c>
    </row>
    <row r="429" spans="1:15" ht="15.5" x14ac:dyDescent="0.35">
      <c r="A429" s="24" t="s">
        <v>233</v>
      </c>
      <c r="B429" s="24" t="str">
        <f t="shared" si="38"/>
        <v>Bún xào căn cuộnCăn cuộn</v>
      </c>
      <c r="C429" s="24" t="s">
        <v>393</v>
      </c>
      <c r="D429" t="s">
        <v>18</v>
      </c>
      <c r="E429" t="s">
        <v>398</v>
      </c>
      <c r="F429" s="39" t="s">
        <v>360</v>
      </c>
      <c r="G429" s="17">
        <v>12</v>
      </c>
      <c r="I429" s="18">
        <v>10</v>
      </c>
      <c r="J429" s="17">
        <f t="shared" si="39"/>
        <v>1.2</v>
      </c>
      <c r="K429" s="18">
        <f t="shared" si="43"/>
        <v>0</v>
      </c>
      <c r="O429" s="130">
        <f t="shared" si="44"/>
        <v>13.200000000000001</v>
      </c>
    </row>
    <row r="430" spans="1:15" ht="15.5" x14ac:dyDescent="0.35">
      <c r="A430" s="24" t="s">
        <v>233</v>
      </c>
      <c r="B430" s="24" t="str">
        <f t="shared" ref="B430:B493" si="45">E430&amp;F430</f>
        <v>Bún xào căn cuộnBún khô</v>
      </c>
      <c r="C430" s="24" t="s">
        <v>393</v>
      </c>
      <c r="D430" t="s">
        <v>18</v>
      </c>
      <c r="E430" t="s">
        <v>398</v>
      </c>
      <c r="F430" s="39" t="s">
        <v>368</v>
      </c>
      <c r="G430" s="17">
        <v>0.03</v>
      </c>
      <c r="I430" s="18">
        <v>10</v>
      </c>
      <c r="J430" s="17">
        <f t="shared" si="39"/>
        <v>3.0000000000000001E-3</v>
      </c>
      <c r="K430" s="18">
        <f t="shared" si="43"/>
        <v>0</v>
      </c>
      <c r="O430" s="130">
        <f t="shared" si="44"/>
        <v>3.3000000000000002E-2</v>
      </c>
    </row>
    <row r="431" spans="1:15" ht="15.5" x14ac:dyDescent="0.35">
      <c r="A431" s="24" t="s">
        <v>233</v>
      </c>
      <c r="B431" s="24" t="str">
        <f t="shared" si="45"/>
        <v>Bún xào căn cuộnNgò rí</v>
      </c>
      <c r="C431" s="24" t="s">
        <v>393</v>
      </c>
      <c r="D431" t="s">
        <v>18</v>
      </c>
      <c r="E431" t="s">
        <v>398</v>
      </c>
      <c r="F431" s="39" t="s">
        <v>369</v>
      </c>
      <c r="G431" s="17">
        <v>0.1</v>
      </c>
      <c r="H431" s="18">
        <v>35000</v>
      </c>
      <c r="I431" s="18">
        <v>10</v>
      </c>
      <c r="J431" s="17">
        <f t="shared" si="39"/>
        <v>0.01</v>
      </c>
      <c r="K431" s="18">
        <f t="shared" si="43"/>
        <v>350</v>
      </c>
      <c r="O431" s="130">
        <f t="shared" si="44"/>
        <v>0.11000000000000001</v>
      </c>
    </row>
    <row r="432" spans="1:15" ht="15.5" x14ac:dyDescent="0.35">
      <c r="A432" s="24" t="s">
        <v>232</v>
      </c>
      <c r="B432" s="24" t="str">
        <f t="shared" si="45"/>
        <v>Xíu  mại trứng cútChả quết</v>
      </c>
      <c r="C432" s="24" t="s">
        <v>8</v>
      </c>
      <c r="D432" t="s">
        <v>18</v>
      </c>
      <c r="E432" t="s">
        <v>435</v>
      </c>
      <c r="F432" s="39" t="s">
        <v>166</v>
      </c>
      <c r="G432" s="89">
        <v>1</v>
      </c>
      <c r="H432" s="18">
        <v>120000</v>
      </c>
      <c r="I432" s="18">
        <v>75</v>
      </c>
      <c r="J432" s="17">
        <f t="shared" si="39"/>
        <v>1.3333333333333334E-2</v>
      </c>
      <c r="K432" s="18">
        <f t="shared" si="43"/>
        <v>1600</v>
      </c>
      <c r="O432" s="130"/>
    </row>
    <row r="433" spans="1:15" ht="15.5" x14ac:dyDescent="0.35">
      <c r="A433" s="24" t="s">
        <v>232</v>
      </c>
      <c r="B433" s="24" t="str">
        <f t="shared" si="45"/>
        <v>Xíu  mại trứng cútThịt nọng xay mịn</v>
      </c>
      <c r="C433" s="24" t="s">
        <v>8</v>
      </c>
      <c r="D433" t="s">
        <v>18</v>
      </c>
      <c r="E433" t="s">
        <v>435</v>
      </c>
      <c r="F433" s="39" t="s">
        <v>425</v>
      </c>
      <c r="G433" s="89">
        <v>1.7</v>
      </c>
      <c r="H433" s="18">
        <v>70000</v>
      </c>
      <c r="I433" s="18">
        <v>75</v>
      </c>
      <c r="J433" s="17">
        <f t="shared" si="39"/>
        <v>2.2666666666666665E-2</v>
      </c>
      <c r="K433" s="18">
        <f t="shared" si="43"/>
        <v>1586.6666666666667</v>
      </c>
      <c r="O433" s="130"/>
    </row>
    <row r="434" spans="1:15" ht="15.5" x14ac:dyDescent="0.35">
      <c r="A434" s="24" t="s">
        <v>232</v>
      </c>
      <c r="B434" s="24" t="str">
        <f t="shared" si="45"/>
        <v>Xíu  mại trứng cúttrứng cút lọt sẵn</v>
      </c>
      <c r="C434" s="24" t="s">
        <v>8</v>
      </c>
      <c r="D434" t="s">
        <v>18</v>
      </c>
      <c r="E434" t="s">
        <v>435</v>
      </c>
      <c r="F434" s="39" t="s">
        <v>424</v>
      </c>
      <c r="G434" s="89">
        <v>150</v>
      </c>
      <c r="H434" s="18">
        <v>600</v>
      </c>
      <c r="I434" s="18">
        <v>75</v>
      </c>
      <c r="J434" s="17">
        <f t="shared" si="39"/>
        <v>2</v>
      </c>
      <c r="K434" s="18">
        <f t="shared" si="43"/>
        <v>1200</v>
      </c>
      <c r="O434" s="130"/>
    </row>
    <row r="435" spans="1:15" ht="15.5" x14ac:dyDescent="0.35">
      <c r="A435" s="24" t="s">
        <v>298</v>
      </c>
      <c r="B435" s="24" t="str">
        <f t="shared" si="45"/>
        <v>Xíu  mại trứng cútBún tàu</v>
      </c>
      <c r="C435" s="24" t="s">
        <v>8</v>
      </c>
      <c r="D435" t="s">
        <v>18</v>
      </c>
      <c r="E435" t="s">
        <v>435</v>
      </c>
      <c r="F435" s="39" t="s">
        <v>417</v>
      </c>
      <c r="G435" s="89">
        <v>0.1</v>
      </c>
      <c r="H435" s="18">
        <v>30000</v>
      </c>
      <c r="I435" s="18">
        <v>75</v>
      </c>
      <c r="J435" s="17">
        <f t="shared" si="39"/>
        <v>1.3333333333333335E-3</v>
      </c>
      <c r="K435" s="18">
        <f t="shared" si="43"/>
        <v>40</v>
      </c>
      <c r="O435" s="130">
        <f t="shared" si="44"/>
        <v>0.11000000000000001</v>
      </c>
    </row>
    <row r="436" spans="1:15" ht="15.5" x14ac:dyDescent="0.35">
      <c r="A436" s="24" t="s">
        <v>298</v>
      </c>
      <c r="B436" s="24" t="str">
        <f t="shared" si="45"/>
        <v>Xíu  mại trứng cútNấm mèo khô</v>
      </c>
      <c r="C436" s="24" t="s">
        <v>8</v>
      </c>
      <c r="D436" t="s">
        <v>18</v>
      </c>
      <c r="E436" t="s">
        <v>435</v>
      </c>
      <c r="F436" s="39" t="s">
        <v>357</v>
      </c>
      <c r="G436" s="89">
        <v>0.05</v>
      </c>
      <c r="H436" s="18">
        <v>120000</v>
      </c>
      <c r="I436" s="18">
        <v>75</v>
      </c>
      <c r="J436" s="17">
        <f t="shared" si="39"/>
        <v>6.6666666666666675E-4</v>
      </c>
      <c r="K436" s="18">
        <f t="shared" si="43"/>
        <v>80</v>
      </c>
      <c r="O436" s="130">
        <f t="shared" si="44"/>
        <v>5.5000000000000007E-2</v>
      </c>
    </row>
    <row r="437" spans="1:15" ht="15.5" x14ac:dyDescent="0.35">
      <c r="A437" s="24" t="s">
        <v>298</v>
      </c>
      <c r="B437" s="24" t="str">
        <f t="shared" si="45"/>
        <v>Xíu  mại trứng cútHành lá</v>
      </c>
      <c r="C437" s="24" t="s">
        <v>8</v>
      </c>
      <c r="D437" t="s">
        <v>18</v>
      </c>
      <c r="E437" t="s">
        <v>435</v>
      </c>
      <c r="F437" s="39" t="s">
        <v>24</v>
      </c>
      <c r="G437" s="89">
        <v>0.4</v>
      </c>
      <c r="H437" s="18">
        <v>20000</v>
      </c>
      <c r="I437" s="18">
        <v>75</v>
      </c>
      <c r="J437" s="17">
        <f t="shared" si="39"/>
        <v>5.333333333333334E-3</v>
      </c>
      <c r="K437" s="18">
        <f t="shared" si="43"/>
        <v>106.66666666666667</v>
      </c>
      <c r="O437" s="130">
        <f t="shared" si="44"/>
        <v>0.44000000000000006</v>
      </c>
    </row>
    <row r="438" spans="1:15" ht="15.5" x14ac:dyDescent="0.35">
      <c r="A438" s="24" t="s">
        <v>298</v>
      </c>
      <c r="B438" s="24" t="str">
        <f t="shared" si="45"/>
        <v>Xíu  mại trứng cútCà chua</v>
      </c>
      <c r="C438" s="24" t="s">
        <v>8</v>
      </c>
      <c r="D438" t="s">
        <v>18</v>
      </c>
      <c r="E438" t="s">
        <v>435</v>
      </c>
      <c r="F438" s="39" t="s">
        <v>14</v>
      </c>
      <c r="G438" s="89">
        <v>0.3</v>
      </c>
      <c r="H438" s="18">
        <v>15000</v>
      </c>
      <c r="I438" s="18">
        <v>75</v>
      </c>
      <c r="J438" s="17">
        <f t="shared" si="39"/>
        <v>4.0000000000000001E-3</v>
      </c>
      <c r="K438" s="18">
        <f t="shared" si="43"/>
        <v>60</v>
      </c>
      <c r="O438" s="130">
        <f t="shared" si="44"/>
        <v>0.33</v>
      </c>
    </row>
    <row r="439" spans="1:15" ht="15.5" x14ac:dyDescent="0.35">
      <c r="A439" s="24" t="s">
        <v>232</v>
      </c>
      <c r="B439" s="24" t="str">
        <f t="shared" si="45"/>
        <v>Mực xào thơm càMực tép</v>
      </c>
      <c r="C439" s="24" t="s">
        <v>8</v>
      </c>
      <c r="D439" t="s">
        <v>18</v>
      </c>
      <c r="E439" s="39" t="s">
        <v>436</v>
      </c>
      <c r="F439" s="39" t="s">
        <v>427</v>
      </c>
      <c r="G439" s="89">
        <v>3.5</v>
      </c>
      <c r="H439" s="18">
        <v>120000</v>
      </c>
      <c r="I439" s="18">
        <v>78</v>
      </c>
      <c r="J439" s="17">
        <f t="shared" si="39"/>
        <v>4.4871794871794872E-2</v>
      </c>
      <c r="K439" s="18">
        <f t="shared" si="43"/>
        <v>5384.6153846153848</v>
      </c>
      <c r="O439" s="130"/>
    </row>
    <row r="440" spans="1:15" ht="15.5" x14ac:dyDescent="0.35">
      <c r="A440" s="24" t="s">
        <v>298</v>
      </c>
      <c r="B440" s="24" t="str">
        <f t="shared" si="45"/>
        <v>Mực xào thơm càThơm</v>
      </c>
      <c r="C440" s="24" t="s">
        <v>8</v>
      </c>
      <c r="D440" t="s">
        <v>18</v>
      </c>
      <c r="E440" s="39" t="s">
        <v>436</v>
      </c>
      <c r="F440" s="39" t="s">
        <v>4</v>
      </c>
      <c r="G440" s="89">
        <v>1.5</v>
      </c>
      <c r="H440" s="18">
        <v>22000</v>
      </c>
      <c r="I440" s="18">
        <v>78</v>
      </c>
      <c r="J440" s="17">
        <f t="shared" ref="J440:J503" si="46">G440/I440</f>
        <v>1.9230769230769232E-2</v>
      </c>
      <c r="K440" s="18">
        <f t="shared" si="43"/>
        <v>423.07692307692309</v>
      </c>
      <c r="O440" s="130">
        <f t="shared" si="44"/>
        <v>1.6500000000000001</v>
      </c>
    </row>
    <row r="441" spans="1:15" ht="15.5" x14ac:dyDescent="0.35">
      <c r="A441" s="24" t="s">
        <v>298</v>
      </c>
      <c r="B441" s="24" t="str">
        <f t="shared" si="45"/>
        <v>Mực xào thơm càCà chua</v>
      </c>
      <c r="C441" s="24" t="s">
        <v>8</v>
      </c>
      <c r="D441" t="s">
        <v>18</v>
      </c>
      <c r="E441" s="39" t="s">
        <v>436</v>
      </c>
      <c r="F441" s="39" t="s">
        <v>14</v>
      </c>
      <c r="G441" s="89">
        <v>0.5</v>
      </c>
      <c r="H441" s="18">
        <v>15000</v>
      </c>
      <c r="I441" s="18">
        <v>78</v>
      </c>
      <c r="J441" s="17">
        <f t="shared" si="46"/>
        <v>6.41025641025641E-3</v>
      </c>
      <c r="K441" s="18">
        <f t="shared" si="43"/>
        <v>96.15384615384616</v>
      </c>
      <c r="O441" s="130">
        <f t="shared" si="44"/>
        <v>0.55000000000000004</v>
      </c>
    </row>
    <row r="442" spans="1:15" ht="15.5" x14ac:dyDescent="0.35">
      <c r="A442" s="24" t="s">
        <v>298</v>
      </c>
      <c r="B442" s="24" t="str">
        <f t="shared" si="45"/>
        <v>Mực xào thơm càHành tây</v>
      </c>
      <c r="C442" s="24" t="s">
        <v>8</v>
      </c>
      <c r="D442" t="s">
        <v>18</v>
      </c>
      <c r="E442" s="39" t="s">
        <v>436</v>
      </c>
      <c r="F442" s="39" t="s">
        <v>35</v>
      </c>
      <c r="G442" s="89">
        <v>1.5</v>
      </c>
      <c r="H442" s="18">
        <v>12000</v>
      </c>
      <c r="I442" s="18">
        <v>78</v>
      </c>
      <c r="J442" s="17">
        <f t="shared" si="46"/>
        <v>1.9230769230769232E-2</v>
      </c>
      <c r="K442" s="18">
        <f t="shared" si="43"/>
        <v>230.76923076923077</v>
      </c>
      <c r="O442" s="130">
        <f t="shared" si="44"/>
        <v>1.6500000000000001</v>
      </c>
    </row>
    <row r="443" spans="1:15" ht="15.5" x14ac:dyDescent="0.35">
      <c r="A443" s="24" t="s">
        <v>298</v>
      </c>
      <c r="B443" s="24" t="str">
        <f t="shared" si="45"/>
        <v>Mực xào thơm càNgò gai</v>
      </c>
      <c r="C443" s="24" t="s">
        <v>8</v>
      </c>
      <c r="D443" t="s">
        <v>18</v>
      </c>
      <c r="E443" s="39" t="s">
        <v>436</v>
      </c>
      <c r="F443" s="39" t="s">
        <v>101</v>
      </c>
      <c r="G443" s="89">
        <v>0.1</v>
      </c>
      <c r="H443" s="18">
        <v>35000</v>
      </c>
      <c r="I443" s="18">
        <v>78</v>
      </c>
      <c r="J443" s="17">
        <f t="shared" si="46"/>
        <v>1.2820512820512821E-3</v>
      </c>
      <c r="K443" s="18">
        <f t="shared" si="43"/>
        <v>44.871794871794869</v>
      </c>
      <c r="O443" s="130">
        <f t="shared" si="44"/>
        <v>0.11000000000000001</v>
      </c>
    </row>
    <row r="444" spans="1:15" ht="15.5" x14ac:dyDescent="0.35">
      <c r="A444" s="24" t="s">
        <v>298</v>
      </c>
      <c r="B444" s="24" t="str">
        <f t="shared" si="45"/>
        <v>Giò heo kho măngBắp giò heo</v>
      </c>
      <c r="C444" s="24" t="s">
        <v>8</v>
      </c>
      <c r="D444" t="s">
        <v>18</v>
      </c>
      <c r="E444" s="39" t="s">
        <v>278</v>
      </c>
      <c r="F444" s="39" t="s">
        <v>421</v>
      </c>
      <c r="G444" s="89">
        <v>10.5</v>
      </c>
      <c r="H444" s="18">
        <v>59000</v>
      </c>
      <c r="I444" s="18">
        <v>100</v>
      </c>
      <c r="J444" s="17">
        <f t="shared" si="46"/>
        <v>0.105</v>
      </c>
      <c r="K444" s="18">
        <f t="shared" si="43"/>
        <v>6195</v>
      </c>
      <c r="O444" s="130">
        <f t="shared" si="44"/>
        <v>11.55</v>
      </c>
    </row>
    <row r="445" spans="1:15" ht="15.5" x14ac:dyDescent="0.35">
      <c r="A445" s="24" t="s">
        <v>298</v>
      </c>
      <c r="B445" s="24" t="str">
        <f t="shared" si="45"/>
        <v>Giò heo kho măngSả</v>
      </c>
      <c r="C445" s="24" t="s">
        <v>8</v>
      </c>
      <c r="D445" t="s">
        <v>18</v>
      </c>
      <c r="E445" s="39" t="s">
        <v>278</v>
      </c>
      <c r="F445" s="39" t="s">
        <v>207</v>
      </c>
      <c r="G445" s="89">
        <v>0.3</v>
      </c>
      <c r="H445" s="18">
        <v>22000</v>
      </c>
      <c r="I445" s="18">
        <v>100</v>
      </c>
      <c r="J445" s="17">
        <f t="shared" si="46"/>
        <v>3.0000000000000001E-3</v>
      </c>
      <c r="K445" s="18">
        <f t="shared" si="43"/>
        <v>66</v>
      </c>
      <c r="O445" s="130">
        <f t="shared" si="44"/>
        <v>0.33</v>
      </c>
    </row>
    <row r="446" spans="1:15" ht="15.5" x14ac:dyDescent="0.35">
      <c r="A446" s="24" t="s">
        <v>298</v>
      </c>
      <c r="B446" s="24" t="str">
        <f t="shared" si="45"/>
        <v>Giò heo kho măngMăng vàng cục</v>
      </c>
      <c r="C446" s="24" t="s">
        <v>8</v>
      </c>
      <c r="D446" t="s">
        <v>18</v>
      </c>
      <c r="E446" s="39" t="s">
        <v>278</v>
      </c>
      <c r="F446" s="39" t="s">
        <v>388</v>
      </c>
      <c r="G446" s="89">
        <v>3</v>
      </c>
      <c r="H446" s="18">
        <v>25000</v>
      </c>
      <c r="I446" s="18">
        <v>100</v>
      </c>
      <c r="J446" s="17">
        <f t="shared" si="46"/>
        <v>0.03</v>
      </c>
      <c r="K446" s="18">
        <f t="shared" si="43"/>
        <v>750</v>
      </c>
      <c r="O446" s="130">
        <f t="shared" si="44"/>
        <v>3.3000000000000003</v>
      </c>
    </row>
    <row r="447" spans="1:15" ht="15.5" x14ac:dyDescent="0.35">
      <c r="A447" s="24" t="s">
        <v>298</v>
      </c>
      <c r="B447" s="24" t="str">
        <f t="shared" si="45"/>
        <v>Chả cá viên sốt càChả cá viên</v>
      </c>
      <c r="C447" s="24" t="s">
        <v>8</v>
      </c>
      <c r="D447" t="s">
        <v>19</v>
      </c>
      <c r="E447" s="39" t="s">
        <v>437</v>
      </c>
      <c r="F447" s="39" t="s">
        <v>430</v>
      </c>
      <c r="G447" s="89">
        <v>1</v>
      </c>
      <c r="H447" s="18">
        <v>70000</v>
      </c>
      <c r="I447" s="18">
        <v>25</v>
      </c>
      <c r="J447" s="17">
        <f t="shared" si="46"/>
        <v>0.04</v>
      </c>
      <c r="K447" s="18">
        <f t="shared" si="43"/>
        <v>2800</v>
      </c>
    </row>
    <row r="448" spans="1:15" ht="15.5" x14ac:dyDescent="0.35">
      <c r="A448" s="24" t="s">
        <v>298</v>
      </c>
      <c r="B448" s="24" t="str">
        <f t="shared" si="45"/>
        <v>Chả cá viên sốt càCà chua</v>
      </c>
      <c r="C448" s="24" t="s">
        <v>8</v>
      </c>
      <c r="D448" t="s">
        <v>19</v>
      </c>
      <c r="E448" s="39" t="s">
        <v>437</v>
      </c>
      <c r="F448" s="39" t="s">
        <v>14</v>
      </c>
      <c r="G448" s="89">
        <v>0.2</v>
      </c>
      <c r="H448" s="18">
        <v>22000</v>
      </c>
      <c r="I448" s="18">
        <v>25</v>
      </c>
      <c r="J448" s="17">
        <f t="shared" si="46"/>
        <v>8.0000000000000002E-3</v>
      </c>
      <c r="K448" s="18">
        <f t="shared" si="43"/>
        <v>176</v>
      </c>
    </row>
    <row r="449" spans="1:15" x14ac:dyDescent="0.35">
      <c r="A449" s="24" t="s">
        <v>298</v>
      </c>
      <c r="B449" s="24" t="str">
        <f t="shared" si="45"/>
        <v>Heo kho đậu khuônHeo nọng nạc</v>
      </c>
      <c r="C449" s="24" t="s">
        <v>8</v>
      </c>
      <c r="D449" t="s">
        <v>18</v>
      </c>
      <c r="E449" t="s">
        <v>438</v>
      </c>
      <c r="F449" t="s">
        <v>370</v>
      </c>
      <c r="G449" s="17">
        <v>1</v>
      </c>
      <c r="H449" s="18">
        <v>70000</v>
      </c>
      <c r="I449" s="18">
        <v>78</v>
      </c>
      <c r="J449" s="17">
        <f t="shared" si="46"/>
        <v>1.282051282051282E-2</v>
      </c>
      <c r="K449" s="18">
        <f t="shared" si="43"/>
        <v>897.43589743589746</v>
      </c>
      <c r="O449" s="130">
        <f t="shared" ref="O449:O451" si="47">G449*1.1</f>
        <v>1.1000000000000001</v>
      </c>
    </row>
    <row r="450" spans="1:15" x14ac:dyDescent="0.35">
      <c r="A450" s="24" t="s">
        <v>298</v>
      </c>
      <c r="B450" s="24" t="str">
        <f t="shared" si="45"/>
        <v>Heo kho đậu khuônHeo nạc vai</v>
      </c>
      <c r="C450" s="24" t="s">
        <v>8</v>
      </c>
      <c r="D450" t="s">
        <v>18</v>
      </c>
      <c r="E450" t="s">
        <v>438</v>
      </c>
      <c r="F450" t="s">
        <v>283</v>
      </c>
      <c r="G450" s="17">
        <v>1.8</v>
      </c>
      <c r="H450" s="18">
        <v>110000</v>
      </c>
      <c r="I450" s="18">
        <v>78</v>
      </c>
      <c r="J450" s="17">
        <f t="shared" si="46"/>
        <v>2.3076923076923078E-2</v>
      </c>
      <c r="K450" s="18">
        <f t="shared" si="43"/>
        <v>2538.4615384615386</v>
      </c>
      <c r="O450" s="130">
        <f t="shared" si="47"/>
        <v>1.9800000000000002</v>
      </c>
    </row>
    <row r="451" spans="1:15" x14ac:dyDescent="0.35">
      <c r="A451" s="24" t="s">
        <v>298</v>
      </c>
      <c r="B451" s="24" t="str">
        <f t="shared" si="45"/>
        <v>Heo kho đậu khuônĐậu khuôn chiên lát nhỏ</v>
      </c>
      <c r="C451" s="24" t="s">
        <v>8</v>
      </c>
      <c r="D451" t="s">
        <v>18</v>
      </c>
      <c r="E451" t="s">
        <v>438</v>
      </c>
      <c r="F451" t="s">
        <v>394</v>
      </c>
      <c r="G451" s="17">
        <v>48</v>
      </c>
      <c r="H451" s="18">
        <v>1600</v>
      </c>
      <c r="I451" s="18">
        <v>78</v>
      </c>
      <c r="J451" s="17">
        <f t="shared" si="46"/>
        <v>0.61538461538461542</v>
      </c>
      <c r="K451" s="18">
        <f t="shared" si="43"/>
        <v>984.61538461538464</v>
      </c>
      <c r="O451" s="130">
        <f t="shared" si="47"/>
        <v>52.800000000000004</v>
      </c>
    </row>
    <row r="452" spans="1:15" x14ac:dyDescent="0.35">
      <c r="A452" s="24" t="s">
        <v>232</v>
      </c>
      <c r="B452" s="24" t="str">
        <f t="shared" si="45"/>
        <v>Tôm xào mướpTôm ~150c</v>
      </c>
      <c r="C452" s="24" t="s">
        <v>8</v>
      </c>
      <c r="D452" t="s">
        <v>19</v>
      </c>
      <c r="E452" t="s">
        <v>439</v>
      </c>
      <c r="F452" t="s">
        <v>411</v>
      </c>
      <c r="G452" s="17">
        <v>2</v>
      </c>
      <c r="H452" s="18">
        <v>90000</v>
      </c>
      <c r="I452" s="18">
        <v>78</v>
      </c>
      <c r="J452" s="17">
        <f t="shared" si="46"/>
        <v>2.564102564102564E-2</v>
      </c>
      <c r="K452" s="18">
        <f t="shared" si="43"/>
        <v>2307.6923076923076</v>
      </c>
    </row>
    <row r="453" spans="1:15" x14ac:dyDescent="0.35">
      <c r="A453" s="24" t="s">
        <v>298</v>
      </c>
      <c r="B453" s="24" t="str">
        <f t="shared" si="45"/>
        <v>Tôm xào mướpMướp</v>
      </c>
      <c r="C453" s="24" t="s">
        <v>8</v>
      </c>
      <c r="D453" t="s">
        <v>19</v>
      </c>
      <c r="E453" t="s">
        <v>439</v>
      </c>
      <c r="F453" t="s">
        <v>72</v>
      </c>
      <c r="G453" s="17">
        <v>5.5</v>
      </c>
      <c r="H453" s="18">
        <v>12000</v>
      </c>
      <c r="I453" s="18">
        <v>78</v>
      </c>
      <c r="J453" s="17">
        <f t="shared" si="46"/>
        <v>7.0512820512820512E-2</v>
      </c>
      <c r="K453" s="18">
        <f t="shared" si="43"/>
        <v>846.15384615384619</v>
      </c>
    </row>
    <row r="454" spans="1:15" x14ac:dyDescent="0.35">
      <c r="A454" s="24" t="s">
        <v>298</v>
      </c>
      <c r="B454" s="24" t="str">
        <f t="shared" si="45"/>
        <v>Tôm xào mướpHành lá</v>
      </c>
      <c r="C454" s="24" t="s">
        <v>8</v>
      </c>
      <c r="D454" t="s">
        <v>19</v>
      </c>
      <c r="E454" t="s">
        <v>439</v>
      </c>
      <c r="F454" t="s">
        <v>24</v>
      </c>
      <c r="G454" s="17">
        <v>0.3</v>
      </c>
      <c r="H454" s="18">
        <v>20000</v>
      </c>
      <c r="I454" s="18">
        <v>78</v>
      </c>
      <c r="J454" s="17">
        <f t="shared" si="46"/>
        <v>3.8461538461538459E-3</v>
      </c>
      <c r="K454" s="18">
        <f t="shared" si="43"/>
        <v>76.92307692307692</v>
      </c>
    </row>
    <row r="455" spans="1:15" x14ac:dyDescent="0.35">
      <c r="A455" s="24" t="s">
        <v>232</v>
      </c>
      <c r="B455" s="24" t="str">
        <f t="shared" si="45"/>
        <v>Gà kho sả nghệmá đùi gà</v>
      </c>
      <c r="C455" s="24" t="s">
        <v>8</v>
      </c>
      <c r="D455" t="s">
        <v>18</v>
      </c>
      <c r="E455" t="s">
        <v>440</v>
      </c>
      <c r="F455" t="s">
        <v>464</v>
      </c>
      <c r="G455" s="17">
        <v>13.5</v>
      </c>
      <c r="H455" s="18">
        <v>40000</v>
      </c>
      <c r="I455" s="18">
        <v>100</v>
      </c>
      <c r="J455" s="17">
        <f t="shared" si="46"/>
        <v>0.13500000000000001</v>
      </c>
      <c r="K455" s="18">
        <f t="shared" si="43"/>
        <v>5400</v>
      </c>
      <c r="O455" s="130"/>
    </row>
    <row r="456" spans="1:15" x14ac:dyDescent="0.35">
      <c r="A456" s="24" t="s">
        <v>298</v>
      </c>
      <c r="B456" s="24" t="str">
        <f t="shared" si="45"/>
        <v>Gà kho sả nghệSả</v>
      </c>
      <c r="C456" s="24" t="s">
        <v>8</v>
      </c>
      <c r="D456" t="s">
        <v>18</v>
      </c>
      <c r="E456" t="s">
        <v>440</v>
      </c>
      <c r="F456" t="s">
        <v>207</v>
      </c>
      <c r="G456" s="17">
        <v>0.5</v>
      </c>
      <c r="H456" s="18">
        <v>25000</v>
      </c>
      <c r="I456" s="18">
        <v>100</v>
      </c>
      <c r="J456" s="17">
        <f t="shared" si="46"/>
        <v>5.0000000000000001E-3</v>
      </c>
      <c r="K456" s="18">
        <f t="shared" si="43"/>
        <v>125</v>
      </c>
      <c r="O456" s="130">
        <f t="shared" ref="O455:O469" si="48">G456*1.1</f>
        <v>0.55000000000000004</v>
      </c>
    </row>
    <row r="457" spans="1:15" x14ac:dyDescent="0.35">
      <c r="A457" s="24" t="s">
        <v>298</v>
      </c>
      <c r="B457" s="24" t="str">
        <f t="shared" si="45"/>
        <v>Gà kho sả nghệNghệ</v>
      </c>
      <c r="C457" s="24" t="s">
        <v>8</v>
      </c>
      <c r="D457" t="s">
        <v>18</v>
      </c>
      <c r="E457" t="s">
        <v>440</v>
      </c>
      <c r="F457" t="s">
        <v>154</v>
      </c>
      <c r="G457" s="17">
        <v>0.5</v>
      </c>
      <c r="H457" s="18">
        <v>25000</v>
      </c>
      <c r="I457" s="18">
        <v>100</v>
      </c>
      <c r="J457" s="17">
        <f t="shared" si="46"/>
        <v>5.0000000000000001E-3</v>
      </c>
      <c r="K457" s="18">
        <f t="shared" si="43"/>
        <v>125</v>
      </c>
      <c r="O457" s="130">
        <f t="shared" si="48"/>
        <v>0.55000000000000004</v>
      </c>
    </row>
    <row r="458" spans="1:15" x14ac:dyDescent="0.35">
      <c r="A458" s="24" t="s">
        <v>232</v>
      </c>
      <c r="B458" s="24" t="str">
        <f t="shared" si="45"/>
        <v>Gà xé trộn hànhmá đùi gà</v>
      </c>
      <c r="C458" s="24" t="s">
        <v>8</v>
      </c>
      <c r="D458" t="s">
        <v>18</v>
      </c>
      <c r="E458" t="s">
        <v>441</v>
      </c>
      <c r="F458" t="s">
        <v>464</v>
      </c>
      <c r="G458" s="17">
        <v>10</v>
      </c>
      <c r="H458" s="18">
        <v>40000</v>
      </c>
      <c r="I458" s="18">
        <v>100</v>
      </c>
      <c r="J458" s="17">
        <f t="shared" si="46"/>
        <v>0.1</v>
      </c>
      <c r="K458" s="18">
        <f t="shared" si="43"/>
        <v>4000</v>
      </c>
      <c r="O458" s="130"/>
    </row>
    <row r="459" spans="1:15" x14ac:dyDescent="0.35">
      <c r="A459" s="24" t="s">
        <v>298</v>
      </c>
      <c r="B459" s="24" t="str">
        <f t="shared" si="45"/>
        <v>Gà xé trộn hànhHành tây</v>
      </c>
      <c r="C459" s="24" t="s">
        <v>8</v>
      </c>
      <c r="D459" t="s">
        <v>18</v>
      </c>
      <c r="E459" t="s">
        <v>441</v>
      </c>
      <c r="F459" t="s">
        <v>35</v>
      </c>
      <c r="G459" s="17">
        <v>3</v>
      </c>
      <c r="H459" s="18">
        <v>15000</v>
      </c>
      <c r="I459" s="18">
        <v>100</v>
      </c>
      <c r="J459" s="17">
        <f t="shared" si="46"/>
        <v>0.03</v>
      </c>
      <c r="K459" s="18">
        <f t="shared" si="43"/>
        <v>450</v>
      </c>
      <c r="O459" s="130">
        <f t="shared" si="48"/>
        <v>3.3000000000000003</v>
      </c>
    </row>
    <row r="460" spans="1:15" x14ac:dyDescent="0.35">
      <c r="A460" s="24" t="s">
        <v>298</v>
      </c>
      <c r="B460" s="24" t="str">
        <f t="shared" si="45"/>
        <v>Gà xé trộn hànhRau răm</v>
      </c>
      <c r="C460" s="24" t="s">
        <v>8</v>
      </c>
      <c r="D460" t="s">
        <v>18</v>
      </c>
      <c r="E460" t="s">
        <v>441</v>
      </c>
      <c r="F460" t="s">
        <v>69</v>
      </c>
      <c r="G460" s="17">
        <v>0.5</v>
      </c>
      <c r="H460" s="18">
        <v>30000</v>
      </c>
      <c r="I460" s="18">
        <v>100</v>
      </c>
      <c r="J460" s="17">
        <f t="shared" si="46"/>
        <v>5.0000000000000001E-3</v>
      </c>
      <c r="K460" s="18">
        <f t="shared" si="43"/>
        <v>150</v>
      </c>
      <c r="O460" s="130">
        <f t="shared" si="48"/>
        <v>0.55000000000000004</v>
      </c>
    </row>
    <row r="461" spans="1:15" x14ac:dyDescent="0.35">
      <c r="A461" s="24" t="s">
        <v>232</v>
      </c>
      <c r="B461" s="24" t="str">
        <f t="shared" si="45"/>
        <v>Thịt kho sả ruốcHeo nọng nạc</v>
      </c>
      <c r="C461" s="24" t="s">
        <v>8</v>
      </c>
      <c r="D461" t="s">
        <v>18</v>
      </c>
      <c r="E461" t="s">
        <v>442</v>
      </c>
      <c r="F461" t="s">
        <v>370</v>
      </c>
      <c r="G461" s="17">
        <v>1.4</v>
      </c>
      <c r="H461" s="18">
        <v>70000</v>
      </c>
      <c r="I461" s="18">
        <v>78</v>
      </c>
      <c r="J461" s="17">
        <f t="shared" si="46"/>
        <v>1.7948717948717947E-2</v>
      </c>
      <c r="K461" s="18">
        <f t="shared" si="43"/>
        <v>1256.4102564102564</v>
      </c>
      <c r="O461" s="130"/>
    </row>
    <row r="462" spans="1:15" x14ac:dyDescent="0.35">
      <c r="A462" s="24" t="s">
        <v>232</v>
      </c>
      <c r="B462" s="24" t="str">
        <f t="shared" si="45"/>
        <v>Thịt kho sả ruốcThịt nạc vai</v>
      </c>
      <c r="C462" s="24" t="s">
        <v>8</v>
      </c>
      <c r="D462" t="s">
        <v>18</v>
      </c>
      <c r="E462" t="s">
        <v>442</v>
      </c>
      <c r="F462" t="s">
        <v>85</v>
      </c>
      <c r="G462" s="17">
        <v>2.7</v>
      </c>
      <c r="H462" s="18">
        <v>110000</v>
      </c>
      <c r="I462" s="18">
        <v>78</v>
      </c>
      <c r="J462" s="17">
        <f t="shared" si="46"/>
        <v>3.4615384615384617E-2</v>
      </c>
      <c r="K462" s="18">
        <f t="shared" si="43"/>
        <v>3807.6923076923076</v>
      </c>
      <c r="O462" s="130"/>
    </row>
    <row r="463" spans="1:15" x14ac:dyDescent="0.35">
      <c r="A463" s="24" t="s">
        <v>298</v>
      </c>
      <c r="B463" s="24" t="str">
        <f t="shared" si="45"/>
        <v>Thịt kho sả ruốcSả</v>
      </c>
      <c r="C463" s="24" t="s">
        <v>8</v>
      </c>
      <c r="D463" t="s">
        <v>18</v>
      </c>
      <c r="E463" t="s">
        <v>442</v>
      </c>
      <c r="F463" t="s">
        <v>207</v>
      </c>
      <c r="G463" s="17">
        <v>0.5</v>
      </c>
      <c r="H463" s="18">
        <v>25000</v>
      </c>
      <c r="I463" s="18">
        <v>78</v>
      </c>
      <c r="J463" s="17">
        <f t="shared" si="46"/>
        <v>6.41025641025641E-3</v>
      </c>
      <c r="K463" s="18">
        <f t="shared" si="43"/>
        <v>160.25641025641025</v>
      </c>
      <c r="O463" s="130">
        <f t="shared" si="48"/>
        <v>0.55000000000000004</v>
      </c>
    </row>
    <row r="464" spans="1:15" x14ac:dyDescent="0.35">
      <c r="A464" s="24" t="s">
        <v>232</v>
      </c>
      <c r="B464" s="24" t="str">
        <f t="shared" si="45"/>
        <v>Thịt kho sả ruốcMắm ruốc</v>
      </c>
      <c r="C464" s="24" t="s">
        <v>8</v>
      </c>
      <c r="D464" t="s">
        <v>18</v>
      </c>
      <c r="E464" t="s">
        <v>442</v>
      </c>
      <c r="F464" t="s">
        <v>282</v>
      </c>
      <c r="G464" s="17">
        <v>0.5</v>
      </c>
      <c r="H464" s="18">
        <v>35000</v>
      </c>
      <c r="I464" s="18">
        <v>78</v>
      </c>
      <c r="J464" s="17">
        <f t="shared" si="46"/>
        <v>6.41025641025641E-3</v>
      </c>
      <c r="K464" s="18">
        <f t="shared" si="43"/>
        <v>224.35897435897436</v>
      </c>
      <c r="O464" s="130"/>
    </row>
    <row r="465" spans="1:15" x14ac:dyDescent="0.35">
      <c r="A465" s="24" t="s">
        <v>232</v>
      </c>
      <c r="B465" s="24" t="str">
        <f t="shared" si="45"/>
        <v>Thịt rim chả cáHeo nọng nạc</v>
      </c>
      <c r="C465" s="24" t="s">
        <v>8</v>
      </c>
      <c r="D465" t="s">
        <v>18</v>
      </c>
      <c r="E465" t="s">
        <v>446</v>
      </c>
      <c r="F465" t="s">
        <v>370</v>
      </c>
      <c r="G465" s="17">
        <v>1.2</v>
      </c>
      <c r="H465" s="18">
        <v>80000</v>
      </c>
      <c r="I465" s="18">
        <v>100</v>
      </c>
      <c r="J465" s="17">
        <f t="shared" si="46"/>
        <v>1.2E-2</v>
      </c>
      <c r="K465" s="18">
        <f t="shared" si="43"/>
        <v>960</v>
      </c>
      <c r="O465" s="130"/>
    </row>
    <row r="466" spans="1:15" x14ac:dyDescent="0.35">
      <c r="A466" s="24" t="s">
        <v>232</v>
      </c>
      <c r="B466" s="24" t="str">
        <f t="shared" si="45"/>
        <v>Thịt rim chả cáNạc vai</v>
      </c>
      <c r="C466" s="24" t="s">
        <v>8</v>
      </c>
      <c r="D466" t="s">
        <v>18</v>
      </c>
      <c r="E466" t="s">
        <v>446</v>
      </c>
      <c r="F466" t="s">
        <v>60</v>
      </c>
      <c r="G466" s="17">
        <v>2.8</v>
      </c>
      <c r="H466" s="18">
        <v>85000</v>
      </c>
      <c r="I466" s="18">
        <v>100</v>
      </c>
      <c r="J466" s="17">
        <f t="shared" si="46"/>
        <v>2.7999999999999997E-2</v>
      </c>
      <c r="K466" s="18">
        <f t="shared" si="43"/>
        <v>2379.9999999999995</v>
      </c>
      <c r="O466" s="130"/>
    </row>
    <row r="467" spans="1:15" x14ac:dyDescent="0.35">
      <c r="A467" s="24" t="s">
        <v>232</v>
      </c>
      <c r="B467" s="24" t="str">
        <f t="shared" si="45"/>
        <v>Thịt rim chả cáChả cá tâm</v>
      </c>
      <c r="C467" s="24" t="s">
        <v>8</v>
      </c>
      <c r="D467" t="s">
        <v>18</v>
      </c>
      <c r="E467" t="s">
        <v>446</v>
      </c>
      <c r="F467" t="s">
        <v>445</v>
      </c>
      <c r="G467" s="17">
        <v>2.8</v>
      </c>
      <c r="H467" s="18">
        <v>60000</v>
      </c>
      <c r="I467" s="18">
        <v>100</v>
      </c>
      <c r="J467" s="17">
        <f t="shared" si="46"/>
        <v>2.7999999999999997E-2</v>
      </c>
      <c r="K467" s="18">
        <f t="shared" si="43"/>
        <v>1680</v>
      </c>
      <c r="O467" s="130"/>
    </row>
    <row r="468" spans="1:15" x14ac:dyDescent="0.35">
      <c r="A468" s="24" t="s">
        <v>232</v>
      </c>
      <c r="B468" s="24" t="str">
        <f t="shared" si="45"/>
        <v>Gà chiên mắmmá đùi gà</v>
      </c>
      <c r="C468" s="24" t="s">
        <v>8</v>
      </c>
      <c r="D468" t="s">
        <v>18</v>
      </c>
      <c r="E468" t="s">
        <v>455</v>
      </c>
      <c r="F468" t="s">
        <v>464</v>
      </c>
      <c r="G468" s="17">
        <v>15</v>
      </c>
      <c r="H468" s="18">
        <v>40000</v>
      </c>
      <c r="I468" s="18">
        <v>100</v>
      </c>
      <c r="J468" s="17">
        <f t="shared" si="46"/>
        <v>0.15</v>
      </c>
      <c r="K468" s="18">
        <f t="shared" si="43"/>
        <v>6000</v>
      </c>
      <c r="O468" s="130"/>
    </row>
    <row r="469" spans="1:15" x14ac:dyDescent="0.35">
      <c r="A469" s="24" t="s">
        <v>232</v>
      </c>
      <c r="B469" s="24" t="str">
        <f t="shared" si="45"/>
        <v>Gà chiên mắmSả</v>
      </c>
      <c r="C469" s="24" t="s">
        <v>8</v>
      </c>
      <c r="D469" t="s">
        <v>18</v>
      </c>
      <c r="E469" t="s">
        <v>455</v>
      </c>
      <c r="F469" t="s">
        <v>207</v>
      </c>
      <c r="G469" s="17">
        <v>0.5</v>
      </c>
      <c r="H469" s="18">
        <v>25000</v>
      </c>
      <c r="I469" s="18">
        <v>100</v>
      </c>
      <c r="J469" s="17">
        <f t="shared" si="46"/>
        <v>5.0000000000000001E-3</v>
      </c>
      <c r="K469" s="18">
        <f t="shared" si="43"/>
        <v>125</v>
      </c>
      <c r="O469" s="130"/>
    </row>
    <row r="470" spans="1:15" x14ac:dyDescent="0.35">
      <c r="A470" s="24" t="s">
        <v>233</v>
      </c>
      <c r="B470" s="24" t="str">
        <f t="shared" si="45"/>
        <v>Mỳ Thịt xíu trứngMỳ tươi</v>
      </c>
      <c r="C470" s="24" t="s">
        <v>8</v>
      </c>
      <c r="D470" t="s">
        <v>20</v>
      </c>
      <c r="E470" t="s">
        <v>326</v>
      </c>
      <c r="F470" t="s">
        <v>389</v>
      </c>
      <c r="G470" s="17">
        <v>33</v>
      </c>
      <c r="H470" s="18">
        <v>10000</v>
      </c>
      <c r="I470" s="18">
        <v>100</v>
      </c>
      <c r="J470" s="17">
        <f t="shared" si="46"/>
        <v>0.33</v>
      </c>
      <c r="K470" s="18">
        <f t="shared" si="43"/>
        <v>3300</v>
      </c>
    </row>
    <row r="471" spans="1:15" x14ac:dyDescent="0.35">
      <c r="A471" s="24" t="s">
        <v>233</v>
      </c>
      <c r="B471" s="24" t="str">
        <f t="shared" si="45"/>
        <v>Mỳ Thịt xíu trứngcua đồng</v>
      </c>
      <c r="C471" s="24" t="s">
        <v>8</v>
      </c>
      <c r="D471" t="s">
        <v>20</v>
      </c>
      <c r="E471" t="s">
        <v>326</v>
      </c>
      <c r="F471" t="s">
        <v>476</v>
      </c>
      <c r="G471" s="17">
        <v>0.5</v>
      </c>
      <c r="H471" s="18">
        <v>50000</v>
      </c>
      <c r="I471" s="18">
        <v>100</v>
      </c>
      <c r="J471" s="17">
        <f t="shared" si="46"/>
        <v>5.0000000000000001E-3</v>
      </c>
      <c r="K471" s="18">
        <f t="shared" si="43"/>
        <v>250</v>
      </c>
    </row>
    <row r="472" spans="1:15" x14ac:dyDescent="0.35">
      <c r="A472" s="24" t="s">
        <v>233</v>
      </c>
      <c r="B472" s="24" t="str">
        <f t="shared" si="45"/>
        <v>Cà ri gà + bánh mìCà rốt</v>
      </c>
      <c r="C472" s="24" t="s">
        <v>8</v>
      </c>
      <c r="D472" t="s">
        <v>20</v>
      </c>
      <c r="E472" t="s">
        <v>480</v>
      </c>
      <c r="F472" t="s">
        <v>78</v>
      </c>
      <c r="G472" s="17">
        <v>8.5</v>
      </c>
      <c r="H472" s="18">
        <v>15000</v>
      </c>
      <c r="I472" s="18">
        <v>100</v>
      </c>
      <c r="J472" s="17">
        <f t="shared" si="46"/>
        <v>8.5000000000000006E-2</v>
      </c>
      <c r="K472" s="18">
        <f t="shared" si="43"/>
        <v>1275</v>
      </c>
    </row>
    <row r="473" spans="1:15" x14ac:dyDescent="0.35">
      <c r="A473" s="24" t="s">
        <v>233</v>
      </c>
      <c r="B473" s="24" t="str">
        <f t="shared" si="45"/>
        <v>Cà ri gà + bánh mìKhoai tây</v>
      </c>
      <c r="C473" s="24" t="s">
        <v>8</v>
      </c>
      <c r="D473" t="s">
        <v>20</v>
      </c>
      <c r="E473" t="s">
        <v>480</v>
      </c>
      <c r="F473" t="s">
        <v>77</v>
      </c>
      <c r="G473" s="17">
        <v>8.5</v>
      </c>
      <c r="H473" s="18">
        <v>12000</v>
      </c>
      <c r="I473" s="18">
        <v>100</v>
      </c>
      <c r="J473" s="17">
        <f t="shared" si="46"/>
        <v>8.5000000000000006E-2</v>
      </c>
      <c r="K473" s="18">
        <f t="shared" si="43"/>
        <v>1020</v>
      </c>
    </row>
    <row r="474" spans="1:15" x14ac:dyDescent="0.35">
      <c r="A474" s="24" t="s">
        <v>233</v>
      </c>
      <c r="B474" s="24" t="str">
        <f t="shared" si="45"/>
        <v>Cà ri gà + bánh mìKhoai lang</v>
      </c>
      <c r="C474" s="24" t="s">
        <v>8</v>
      </c>
      <c r="D474" t="s">
        <v>20</v>
      </c>
      <c r="E474" t="s">
        <v>480</v>
      </c>
      <c r="F474" t="s">
        <v>404</v>
      </c>
      <c r="G474" s="17">
        <v>5</v>
      </c>
      <c r="H474" s="18">
        <v>20000</v>
      </c>
      <c r="I474" s="18">
        <v>100</v>
      </c>
      <c r="J474" s="17">
        <f t="shared" si="46"/>
        <v>0.05</v>
      </c>
      <c r="K474" s="18">
        <f t="shared" si="43"/>
        <v>1000</v>
      </c>
    </row>
    <row r="475" spans="1:15" x14ac:dyDescent="0.35">
      <c r="A475" s="24" t="s">
        <v>233</v>
      </c>
      <c r="B475" s="24" t="str">
        <f t="shared" si="45"/>
        <v>Cà ri gà + bánh mìHành tây</v>
      </c>
      <c r="C475" s="24" t="s">
        <v>8</v>
      </c>
      <c r="D475" t="s">
        <v>20</v>
      </c>
      <c r="E475" t="s">
        <v>480</v>
      </c>
      <c r="F475" t="s">
        <v>35</v>
      </c>
      <c r="G475" s="17">
        <v>1.2</v>
      </c>
      <c r="H475" s="18">
        <v>15000</v>
      </c>
      <c r="I475" s="18">
        <v>100</v>
      </c>
      <c r="J475" s="17">
        <f t="shared" si="46"/>
        <v>1.2E-2</v>
      </c>
      <c r="K475" s="18">
        <f t="shared" si="43"/>
        <v>180</v>
      </c>
    </row>
    <row r="476" spans="1:15" x14ac:dyDescent="0.35">
      <c r="A476" s="24" t="s">
        <v>233</v>
      </c>
      <c r="B476" s="24" t="str">
        <f t="shared" si="45"/>
        <v>Cà ri gà + bánh mìRau quế</v>
      </c>
      <c r="C476" s="24" t="s">
        <v>8</v>
      </c>
      <c r="D476" t="s">
        <v>20</v>
      </c>
      <c r="E476" t="s">
        <v>480</v>
      </c>
      <c r="F476" t="s">
        <v>23</v>
      </c>
      <c r="G476" s="17">
        <v>0.4</v>
      </c>
      <c r="H476" s="18">
        <v>30000</v>
      </c>
      <c r="I476" s="18">
        <v>100</v>
      </c>
      <c r="J476" s="17">
        <f t="shared" si="46"/>
        <v>4.0000000000000001E-3</v>
      </c>
      <c r="K476" s="18">
        <f t="shared" si="43"/>
        <v>120</v>
      </c>
    </row>
    <row r="477" spans="1:15" x14ac:dyDescent="0.35">
      <c r="A477" s="24" t="s">
        <v>233</v>
      </c>
      <c r="B477" s="24" t="str">
        <f t="shared" si="45"/>
        <v>Cà ri gà + bánh mìHành lá</v>
      </c>
      <c r="C477" s="24" t="s">
        <v>8</v>
      </c>
      <c r="D477" t="s">
        <v>20</v>
      </c>
      <c r="E477" t="s">
        <v>480</v>
      </c>
      <c r="F477" t="s">
        <v>24</v>
      </c>
      <c r="G477" s="17">
        <v>0.5</v>
      </c>
      <c r="H477" s="18">
        <v>20000</v>
      </c>
      <c r="I477" s="18">
        <v>100</v>
      </c>
      <c r="J477" s="17">
        <f t="shared" si="46"/>
        <v>5.0000000000000001E-3</v>
      </c>
      <c r="K477" s="18">
        <f t="shared" si="43"/>
        <v>100</v>
      </c>
    </row>
    <row r="478" spans="1:15" x14ac:dyDescent="0.35">
      <c r="A478" s="24" t="s">
        <v>233</v>
      </c>
      <c r="B478" s="24" t="str">
        <f t="shared" si="45"/>
        <v>Cà ri gà + bánh mìNgò gai</v>
      </c>
      <c r="C478" s="24" t="s">
        <v>8</v>
      </c>
      <c r="D478" t="s">
        <v>20</v>
      </c>
      <c r="E478" t="s">
        <v>480</v>
      </c>
      <c r="F478" t="s">
        <v>101</v>
      </c>
      <c r="G478" s="17">
        <v>0.2</v>
      </c>
      <c r="H478" s="18">
        <v>30000</v>
      </c>
      <c r="I478" s="18">
        <v>100</v>
      </c>
      <c r="J478" s="17">
        <f t="shared" si="46"/>
        <v>2E-3</v>
      </c>
      <c r="K478" s="18">
        <f t="shared" si="43"/>
        <v>60</v>
      </c>
    </row>
    <row r="479" spans="1:15" x14ac:dyDescent="0.35">
      <c r="A479" s="24" t="s">
        <v>233</v>
      </c>
      <c r="B479" s="24" t="str">
        <f t="shared" si="45"/>
        <v>Cà ri gà + bánh mìNước cốt dừa tươi</v>
      </c>
      <c r="C479" s="24" t="s">
        <v>8</v>
      </c>
      <c r="D479" t="s">
        <v>20</v>
      </c>
      <c r="E479" t="s">
        <v>480</v>
      </c>
      <c r="F479" t="s">
        <v>412</v>
      </c>
      <c r="G479" s="17">
        <v>1</v>
      </c>
      <c r="H479" s="18">
        <v>30000</v>
      </c>
      <c r="I479" s="18">
        <v>100</v>
      </c>
      <c r="J479" s="17">
        <f t="shared" si="46"/>
        <v>0.01</v>
      </c>
      <c r="K479" s="18">
        <f t="shared" si="43"/>
        <v>300</v>
      </c>
    </row>
    <row r="480" spans="1:15" x14ac:dyDescent="0.35">
      <c r="A480" s="24" t="s">
        <v>233</v>
      </c>
      <c r="B480" s="24" t="str">
        <f t="shared" si="45"/>
        <v>Cà ri gà + bánh mìSữa tươi ko đường</v>
      </c>
      <c r="C480" s="24" t="s">
        <v>8</v>
      </c>
      <c r="D480" t="s">
        <v>20</v>
      </c>
      <c r="E480" t="s">
        <v>480</v>
      </c>
      <c r="F480" t="s">
        <v>423</v>
      </c>
      <c r="G480" s="17">
        <v>3</v>
      </c>
      <c r="H480" s="18">
        <v>7000</v>
      </c>
      <c r="I480" s="18">
        <v>100</v>
      </c>
      <c r="J480" s="17">
        <f t="shared" si="46"/>
        <v>0.03</v>
      </c>
      <c r="K480" s="18">
        <f t="shared" ref="K480:K543" si="49">(G480*H480)/I480</f>
        <v>210</v>
      </c>
    </row>
    <row r="481" spans="1:11" x14ac:dyDescent="0.35">
      <c r="A481" s="24" t="s">
        <v>233</v>
      </c>
      <c r="B481" s="24" t="str">
        <f t="shared" si="45"/>
        <v>Cà ri gà + bánh mìSốt cà ri</v>
      </c>
      <c r="C481" s="24" t="s">
        <v>8</v>
      </c>
      <c r="D481" t="s">
        <v>20</v>
      </c>
      <c r="E481" t="s">
        <v>480</v>
      </c>
      <c r="F481" t="s">
        <v>422</v>
      </c>
      <c r="G481" s="17">
        <v>2</v>
      </c>
      <c r="H481" s="18">
        <v>10000</v>
      </c>
      <c r="I481" s="18">
        <v>100</v>
      </c>
      <c r="J481" s="17">
        <f t="shared" si="46"/>
        <v>0.02</v>
      </c>
      <c r="K481" s="18">
        <f t="shared" si="49"/>
        <v>200</v>
      </c>
    </row>
    <row r="482" spans="1:11" x14ac:dyDescent="0.35">
      <c r="A482" s="24" t="s">
        <v>233</v>
      </c>
      <c r="B482" s="24" t="str">
        <f t="shared" si="45"/>
        <v>Cà ri gà + bánh mìSả</v>
      </c>
      <c r="C482" s="24" t="s">
        <v>8</v>
      </c>
      <c r="D482" t="s">
        <v>20</v>
      </c>
      <c r="E482" t="s">
        <v>480</v>
      </c>
      <c r="F482" t="s">
        <v>207</v>
      </c>
      <c r="G482" s="17">
        <v>1.2</v>
      </c>
      <c r="H482" s="18">
        <v>30000</v>
      </c>
      <c r="I482" s="18">
        <v>100</v>
      </c>
      <c r="J482" s="17">
        <f t="shared" si="46"/>
        <v>1.2E-2</v>
      </c>
      <c r="K482" s="18">
        <f t="shared" si="49"/>
        <v>360</v>
      </c>
    </row>
    <row r="483" spans="1:11" x14ac:dyDescent="0.35">
      <c r="A483" s="24" t="s">
        <v>233</v>
      </c>
      <c r="B483" s="24" t="str">
        <f t="shared" si="45"/>
        <v>Cà ri gà + bánh mìmá đùi gà</v>
      </c>
      <c r="C483" s="24" t="s">
        <v>8</v>
      </c>
      <c r="D483" t="s">
        <v>20</v>
      </c>
      <c r="E483" t="s">
        <v>480</v>
      </c>
      <c r="F483" t="s">
        <v>464</v>
      </c>
      <c r="G483" s="17">
        <v>15.5</v>
      </c>
      <c r="H483" s="18">
        <v>40000</v>
      </c>
      <c r="I483" s="18">
        <v>100</v>
      </c>
      <c r="J483" s="17">
        <f t="shared" si="46"/>
        <v>0.155</v>
      </c>
      <c r="K483" s="18">
        <f t="shared" si="49"/>
        <v>6200</v>
      </c>
    </row>
    <row r="484" spans="1:11" x14ac:dyDescent="0.35">
      <c r="A484" s="24" t="s">
        <v>233</v>
      </c>
      <c r="B484" s="24" t="str">
        <f t="shared" si="45"/>
        <v>Cà ri gà + bánh mìBánh mì</v>
      </c>
      <c r="C484" s="24" t="s">
        <v>8</v>
      </c>
      <c r="D484" t="s">
        <v>20</v>
      </c>
      <c r="E484" t="s">
        <v>480</v>
      </c>
      <c r="F484" t="s">
        <v>395</v>
      </c>
      <c r="G484" s="17">
        <v>100</v>
      </c>
      <c r="H484" s="18">
        <v>2000</v>
      </c>
      <c r="I484" s="18">
        <v>100</v>
      </c>
      <c r="J484" s="17">
        <f t="shared" si="46"/>
        <v>1</v>
      </c>
      <c r="K484" s="18">
        <f t="shared" si="49"/>
        <v>2000</v>
      </c>
    </row>
    <row r="485" spans="1:11" x14ac:dyDescent="0.35">
      <c r="A485" s="24" t="s">
        <v>233</v>
      </c>
      <c r="B485" s="24" t="str">
        <f t="shared" si="45"/>
        <v>Cà ri gà + bánh mìChanh</v>
      </c>
      <c r="C485" s="24" t="s">
        <v>8</v>
      </c>
      <c r="D485" t="s">
        <v>20</v>
      </c>
      <c r="E485" t="s">
        <v>480</v>
      </c>
      <c r="F485" t="s">
        <v>25</v>
      </c>
      <c r="G485" s="17">
        <v>0.8</v>
      </c>
      <c r="H485" s="18">
        <v>25000</v>
      </c>
      <c r="I485" s="18">
        <v>100</v>
      </c>
      <c r="J485" s="17">
        <f t="shared" si="46"/>
        <v>8.0000000000000002E-3</v>
      </c>
      <c r="K485" s="18">
        <f t="shared" si="49"/>
        <v>200</v>
      </c>
    </row>
    <row r="486" spans="1:11" x14ac:dyDescent="0.35">
      <c r="A486" s="24" t="s">
        <v>233</v>
      </c>
      <c r="B486" s="24" t="str">
        <f t="shared" si="45"/>
        <v>Cà ri bò + bánh mỳCà rốt</v>
      </c>
      <c r="C486" s="24" t="s">
        <v>8</v>
      </c>
      <c r="D486" t="s">
        <v>20</v>
      </c>
      <c r="E486" t="s">
        <v>345</v>
      </c>
      <c r="F486" t="s">
        <v>78</v>
      </c>
      <c r="G486" s="17">
        <v>8.5</v>
      </c>
      <c r="H486" s="18">
        <v>15000</v>
      </c>
      <c r="I486" s="18">
        <v>100</v>
      </c>
      <c r="J486" s="17">
        <f t="shared" si="46"/>
        <v>8.5000000000000006E-2</v>
      </c>
      <c r="K486" s="18">
        <f t="shared" si="49"/>
        <v>1275</v>
      </c>
    </row>
    <row r="487" spans="1:11" x14ac:dyDescent="0.35">
      <c r="A487" s="24" t="s">
        <v>233</v>
      </c>
      <c r="B487" s="24" t="str">
        <f t="shared" si="45"/>
        <v>Cà ri bò + bánh mỳKhoai tây</v>
      </c>
      <c r="C487" s="24" t="s">
        <v>8</v>
      </c>
      <c r="D487" t="s">
        <v>20</v>
      </c>
      <c r="E487" t="s">
        <v>345</v>
      </c>
      <c r="F487" t="s">
        <v>77</v>
      </c>
      <c r="G487" s="17">
        <v>8.5</v>
      </c>
      <c r="H487" s="18">
        <v>12000</v>
      </c>
      <c r="I487" s="18">
        <v>100</v>
      </c>
      <c r="J487" s="17">
        <f t="shared" si="46"/>
        <v>8.5000000000000006E-2</v>
      </c>
      <c r="K487" s="18">
        <f t="shared" si="49"/>
        <v>1020</v>
      </c>
    </row>
    <row r="488" spans="1:11" x14ac:dyDescent="0.35">
      <c r="A488" s="24" t="s">
        <v>233</v>
      </c>
      <c r="B488" s="24" t="str">
        <f t="shared" si="45"/>
        <v>Cà ri bò + bánh mỳKhoai lang</v>
      </c>
      <c r="C488" s="24" t="s">
        <v>8</v>
      </c>
      <c r="D488" t="s">
        <v>20</v>
      </c>
      <c r="E488" t="s">
        <v>345</v>
      </c>
      <c r="F488" t="s">
        <v>404</v>
      </c>
      <c r="G488" s="17">
        <v>5</v>
      </c>
      <c r="H488" s="18">
        <v>20000</v>
      </c>
      <c r="I488" s="18">
        <v>100</v>
      </c>
      <c r="J488" s="17">
        <f t="shared" si="46"/>
        <v>0.05</v>
      </c>
      <c r="K488" s="18">
        <f t="shared" si="49"/>
        <v>1000</v>
      </c>
    </row>
    <row r="489" spans="1:11" x14ac:dyDescent="0.35">
      <c r="A489" s="24" t="s">
        <v>233</v>
      </c>
      <c r="B489" s="24" t="str">
        <f t="shared" si="45"/>
        <v>Cà ri bò + bánh mỳHành tây</v>
      </c>
      <c r="C489" s="24" t="s">
        <v>8</v>
      </c>
      <c r="D489" t="s">
        <v>20</v>
      </c>
      <c r="E489" t="s">
        <v>345</v>
      </c>
      <c r="F489" t="s">
        <v>35</v>
      </c>
      <c r="G489" s="17">
        <v>1.2</v>
      </c>
      <c r="H489" s="18">
        <v>15000</v>
      </c>
      <c r="I489" s="18">
        <v>100</v>
      </c>
      <c r="J489" s="17">
        <f t="shared" si="46"/>
        <v>1.2E-2</v>
      </c>
      <c r="K489" s="18">
        <f t="shared" si="49"/>
        <v>180</v>
      </c>
    </row>
    <row r="490" spans="1:11" x14ac:dyDescent="0.35">
      <c r="A490" s="24" t="s">
        <v>233</v>
      </c>
      <c r="B490" s="24" t="str">
        <f t="shared" si="45"/>
        <v>Cà ri bò + bánh mỳRau quế</v>
      </c>
      <c r="C490" s="24" t="s">
        <v>8</v>
      </c>
      <c r="D490" t="s">
        <v>20</v>
      </c>
      <c r="E490" t="s">
        <v>345</v>
      </c>
      <c r="F490" t="s">
        <v>23</v>
      </c>
      <c r="G490" s="17">
        <v>0.4</v>
      </c>
      <c r="H490" s="18">
        <v>30000</v>
      </c>
      <c r="I490" s="18">
        <v>100</v>
      </c>
      <c r="J490" s="17">
        <f t="shared" si="46"/>
        <v>4.0000000000000001E-3</v>
      </c>
      <c r="K490" s="18">
        <f t="shared" si="49"/>
        <v>120</v>
      </c>
    </row>
    <row r="491" spans="1:11" x14ac:dyDescent="0.35">
      <c r="A491" s="24" t="s">
        <v>233</v>
      </c>
      <c r="B491" s="24" t="str">
        <f t="shared" si="45"/>
        <v>Cà ri bò + bánh mỳHành lá</v>
      </c>
      <c r="C491" s="24" t="s">
        <v>8</v>
      </c>
      <c r="D491" t="s">
        <v>20</v>
      </c>
      <c r="E491" t="s">
        <v>345</v>
      </c>
      <c r="F491" t="s">
        <v>24</v>
      </c>
      <c r="G491" s="17">
        <v>0.5</v>
      </c>
      <c r="H491" s="18">
        <v>20000</v>
      </c>
      <c r="I491" s="18">
        <v>100</v>
      </c>
      <c r="J491" s="17">
        <f t="shared" si="46"/>
        <v>5.0000000000000001E-3</v>
      </c>
      <c r="K491" s="18">
        <f t="shared" si="49"/>
        <v>100</v>
      </c>
    </row>
    <row r="492" spans="1:11" x14ac:dyDescent="0.35">
      <c r="A492" s="24" t="s">
        <v>233</v>
      </c>
      <c r="B492" s="24" t="str">
        <f t="shared" si="45"/>
        <v>Cà ri bò + bánh mỳNgò gai</v>
      </c>
      <c r="C492" s="24" t="s">
        <v>8</v>
      </c>
      <c r="D492" t="s">
        <v>20</v>
      </c>
      <c r="E492" t="s">
        <v>345</v>
      </c>
      <c r="F492" t="s">
        <v>101</v>
      </c>
      <c r="G492" s="17">
        <v>0.2</v>
      </c>
      <c r="H492" s="18">
        <v>30000</v>
      </c>
      <c r="I492" s="18">
        <v>100</v>
      </c>
      <c r="J492" s="17">
        <f t="shared" si="46"/>
        <v>2E-3</v>
      </c>
      <c r="K492" s="18">
        <f t="shared" si="49"/>
        <v>60</v>
      </c>
    </row>
    <row r="493" spans="1:11" x14ac:dyDescent="0.35">
      <c r="A493" s="24" t="s">
        <v>233</v>
      </c>
      <c r="B493" s="24" t="str">
        <f t="shared" si="45"/>
        <v>Cà ri bò + bánh mỳNước cốt dừa tươi</v>
      </c>
      <c r="C493" s="24" t="s">
        <v>8</v>
      </c>
      <c r="D493" t="s">
        <v>20</v>
      </c>
      <c r="E493" t="s">
        <v>345</v>
      </c>
      <c r="F493" t="s">
        <v>412</v>
      </c>
      <c r="G493" s="17">
        <v>1</v>
      </c>
      <c r="H493" s="18">
        <v>30000</v>
      </c>
      <c r="I493" s="18">
        <v>100</v>
      </c>
      <c r="J493" s="17">
        <f t="shared" si="46"/>
        <v>0.01</v>
      </c>
      <c r="K493" s="18">
        <f t="shared" si="49"/>
        <v>300</v>
      </c>
    </row>
    <row r="494" spans="1:11" x14ac:dyDescent="0.35">
      <c r="A494" s="24" t="s">
        <v>233</v>
      </c>
      <c r="B494" s="24" t="str">
        <f t="shared" ref="B494:B558" si="50">E494&amp;F494</f>
        <v>Cà ri bò + bánh mỳSữa tươi ko đường</v>
      </c>
      <c r="C494" s="24" t="s">
        <v>8</v>
      </c>
      <c r="D494" t="s">
        <v>20</v>
      </c>
      <c r="E494" t="s">
        <v>345</v>
      </c>
      <c r="F494" t="s">
        <v>423</v>
      </c>
      <c r="G494" s="17">
        <v>2</v>
      </c>
      <c r="H494" s="18">
        <v>7000</v>
      </c>
      <c r="I494" s="18">
        <v>100</v>
      </c>
      <c r="J494" s="17">
        <f t="shared" si="46"/>
        <v>0.02</v>
      </c>
      <c r="K494" s="18">
        <f t="shared" si="49"/>
        <v>140</v>
      </c>
    </row>
    <row r="495" spans="1:11" x14ac:dyDescent="0.35">
      <c r="A495" s="24" t="s">
        <v>233</v>
      </c>
      <c r="B495" s="24" t="str">
        <f t="shared" si="50"/>
        <v>Cà ri bò + bánh mỳSốt cà ri</v>
      </c>
      <c r="C495" s="24" t="s">
        <v>8</v>
      </c>
      <c r="D495" t="s">
        <v>20</v>
      </c>
      <c r="E495" t="s">
        <v>345</v>
      </c>
      <c r="F495" t="s">
        <v>422</v>
      </c>
      <c r="G495" s="17">
        <v>2</v>
      </c>
      <c r="H495" s="18">
        <v>10000</v>
      </c>
      <c r="I495" s="18">
        <v>100</v>
      </c>
      <c r="J495" s="17">
        <f t="shared" si="46"/>
        <v>0.02</v>
      </c>
      <c r="K495" s="18">
        <f t="shared" si="49"/>
        <v>200</v>
      </c>
    </row>
    <row r="496" spans="1:11" x14ac:dyDescent="0.35">
      <c r="A496" s="24" t="s">
        <v>233</v>
      </c>
      <c r="B496" s="24" t="str">
        <f t="shared" si="50"/>
        <v>Cà ri bò + bánh mỳSả</v>
      </c>
      <c r="C496" s="24" t="s">
        <v>8</v>
      </c>
      <c r="D496" t="s">
        <v>20</v>
      </c>
      <c r="E496" t="s">
        <v>345</v>
      </c>
      <c r="F496" t="s">
        <v>207</v>
      </c>
      <c r="G496" s="17">
        <v>1.2</v>
      </c>
      <c r="H496" s="18">
        <v>30000</v>
      </c>
      <c r="I496" s="18">
        <v>100</v>
      </c>
      <c r="J496" s="17">
        <f t="shared" si="46"/>
        <v>1.2E-2</v>
      </c>
      <c r="K496" s="18">
        <f t="shared" si="49"/>
        <v>360</v>
      </c>
    </row>
    <row r="497" spans="1:11" x14ac:dyDescent="0.35">
      <c r="A497" s="24" t="s">
        <v>233</v>
      </c>
      <c r="B497" s="24" t="str">
        <f t="shared" si="50"/>
        <v>Cà ri bò + bánh mỳbò M19</v>
      </c>
      <c r="C497" s="24" t="s">
        <v>8</v>
      </c>
      <c r="D497" t="s">
        <v>20</v>
      </c>
      <c r="E497" t="s">
        <v>345</v>
      </c>
      <c r="F497" t="s">
        <v>481</v>
      </c>
      <c r="G497" s="17">
        <v>9</v>
      </c>
      <c r="H497" s="18">
        <v>90000</v>
      </c>
      <c r="I497" s="18">
        <v>100</v>
      </c>
      <c r="J497" s="17">
        <f t="shared" si="46"/>
        <v>0.09</v>
      </c>
      <c r="K497" s="18">
        <f t="shared" si="49"/>
        <v>8100</v>
      </c>
    </row>
    <row r="498" spans="1:11" x14ac:dyDescent="0.35">
      <c r="A498" s="24" t="s">
        <v>233</v>
      </c>
      <c r="B498" s="24" t="str">
        <f t="shared" si="50"/>
        <v>Cà ri bò + bánh mỳBánh mì</v>
      </c>
      <c r="C498" s="24" t="s">
        <v>8</v>
      </c>
      <c r="D498" t="s">
        <v>20</v>
      </c>
      <c r="E498" t="s">
        <v>345</v>
      </c>
      <c r="F498" t="s">
        <v>395</v>
      </c>
      <c r="G498" s="17">
        <v>100</v>
      </c>
      <c r="H498" s="18">
        <v>2000</v>
      </c>
      <c r="I498" s="18">
        <v>100</v>
      </c>
      <c r="J498" s="17">
        <f t="shared" si="46"/>
        <v>1</v>
      </c>
      <c r="K498" s="18">
        <f t="shared" si="49"/>
        <v>2000</v>
      </c>
    </row>
    <row r="499" spans="1:11" x14ac:dyDescent="0.35">
      <c r="A499" s="24" t="s">
        <v>233</v>
      </c>
      <c r="B499" s="24" t="str">
        <f t="shared" si="50"/>
        <v>Cà ri bò + bánh mỳChanh</v>
      </c>
      <c r="C499" s="24" t="s">
        <v>8</v>
      </c>
      <c r="D499" t="s">
        <v>20</v>
      </c>
      <c r="E499" t="s">
        <v>345</v>
      </c>
      <c r="F499" t="s">
        <v>25</v>
      </c>
      <c r="G499" s="17">
        <v>0.8</v>
      </c>
      <c r="H499" s="18">
        <v>25000</v>
      </c>
      <c r="I499" s="18">
        <v>100</v>
      </c>
      <c r="J499" s="17">
        <f t="shared" si="46"/>
        <v>8.0000000000000002E-3</v>
      </c>
      <c r="K499" s="18">
        <f t="shared" si="49"/>
        <v>200</v>
      </c>
    </row>
    <row r="500" spans="1:11" x14ac:dyDescent="0.35">
      <c r="A500" s="24" t="s">
        <v>233</v>
      </c>
      <c r="B500" s="24" t="str">
        <f t="shared" si="50"/>
        <v>Phở bòChanh</v>
      </c>
      <c r="C500" s="24" t="s">
        <v>8</v>
      </c>
      <c r="D500" t="s">
        <v>20</v>
      </c>
      <c r="E500" t="s">
        <v>482</v>
      </c>
      <c r="F500" t="s">
        <v>25</v>
      </c>
      <c r="G500" s="17">
        <v>0.8</v>
      </c>
      <c r="H500" s="18">
        <v>25000</v>
      </c>
      <c r="I500" s="18">
        <v>100</v>
      </c>
      <c r="J500" s="17">
        <f t="shared" si="46"/>
        <v>8.0000000000000002E-3</v>
      </c>
      <c r="K500" s="18">
        <f t="shared" si="49"/>
        <v>200</v>
      </c>
    </row>
    <row r="501" spans="1:11" x14ac:dyDescent="0.35">
      <c r="A501" s="24" t="s">
        <v>233</v>
      </c>
      <c r="B501" s="24" t="str">
        <f t="shared" si="50"/>
        <v>Phở bòGiá</v>
      </c>
      <c r="C501" s="24" t="s">
        <v>8</v>
      </c>
      <c r="D501" t="s">
        <v>20</v>
      </c>
      <c r="E501" t="s">
        <v>482</v>
      </c>
      <c r="F501" t="s">
        <v>26</v>
      </c>
      <c r="G501" s="17">
        <v>2.5</v>
      </c>
      <c r="H501" s="18">
        <v>25000</v>
      </c>
      <c r="I501" s="18">
        <v>100</v>
      </c>
      <c r="J501" s="17">
        <f t="shared" si="46"/>
        <v>2.5000000000000001E-2</v>
      </c>
      <c r="K501" s="18">
        <f t="shared" si="49"/>
        <v>625</v>
      </c>
    </row>
    <row r="502" spans="1:11" x14ac:dyDescent="0.35">
      <c r="A502" s="24" t="s">
        <v>233</v>
      </c>
      <c r="B502" s="24" t="str">
        <f t="shared" si="50"/>
        <v>Phở bòHành lá</v>
      </c>
      <c r="C502" s="24" t="s">
        <v>8</v>
      </c>
      <c r="D502" t="s">
        <v>20</v>
      </c>
      <c r="E502" t="s">
        <v>482</v>
      </c>
      <c r="F502" t="s">
        <v>24</v>
      </c>
      <c r="G502" s="17">
        <v>0.5</v>
      </c>
      <c r="H502" s="18">
        <v>25000</v>
      </c>
      <c r="I502" s="18">
        <v>100</v>
      </c>
      <c r="J502" s="17">
        <f t="shared" si="46"/>
        <v>5.0000000000000001E-3</v>
      </c>
      <c r="K502" s="18">
        <f t="shared" si="49"/>
        <v>125</v>
      </c>
    </row>
    <row r="503" spans="1:11" x14ac:dyDescent="0.35">
      <c r="A503" s="24" t="s">
        <v>233</v>
      </c>
      <c r="B503" s="24" t="str">
        <f t="shared" si="50"/>
        <v>Phở bòHành tây</v>
      </c>
      <c r="C503" s="24" t="s">
        <v>8</v>
      </c>
      <c r="D503" t="s">
        <v>20</v>
      </c>
      <c r="E503" t="s">
        <v>482</v>
      </c>
      <c r="F503" t="s">
        <v>35</v>
      </c>
      <c r="G503" s="17">
        <v>1.2</v>
      </c>
      <c r="H503" s="18">
        <v>25000</v>
      </c>
      <c r="I503" s="18">
        <v>100</v>
      </c>
      <c r="J503" s="17">
        <f t="shared" si="46"/>
        <v>1.2E-2</v>
      </c>
      <c r="K503" s="18">
        <f t="shared" si="49"/>
        <v>300</v>
      </c>
    </row>
    <row r="504" spans="1:11" x14ac:dyDescent="0.35">
      <c r="A504" s="24" t="s">
        <v>233</v>
      </c>
      <c r="B504" s="24" t="str">
        <f t="shared" si="50"/>
        <v>Phở bòNgò gai</v>
      </c>
      <c r="C504" s="24" t="s">
        <v>8</v>
      </c>
      <c r="D504" t="s">
        <v>20</v>
      </c>
      <c r="E504" t="s">
        <v>482</v>
      </c>
      <c r="F504" t="s">
        <v>101</v>
      </c>
      <c r="G504" s="17">
        <v>0.2</v>
      </c>
      <c r="H504" s="18">
        <v>25000</v>
      </c>
      <c r="I504" s="18">
        <v>100</v>
      </c>
      <c r="J504" s="17">
        <f t="shared" ref="J504:J567" si="51">G504/I504</f>
        <v>2E-3</v>
      </c>
      <c r="K504" s="18">
        <f t="shared" si="49"/>
        <v>50</v>
      </c>
    </row>
    <row r="505" spans="1:11" x14ac:dyDescent="0.35">
      <c r="A505" s="24" t="s">
        <v>233</v>
      </c>
      <c r="B505" s="24" t="str">
        <f t="shared" si="50"/>
        <v>Phở bòRau quế</v>
      </c>
      <c r="C505" s="24" t="s">
        <v>8</v>
      </c>
      <c r="D505" t="s">
        <v>20</v>
      </c>
      <c r="E505" t="s">
        <v>482</v>
      </c>
      <c r="F505" t="s">
        <v>23</v>
      </c>
      <c r="G505" s="17">
        <v>0.3</v>
      </c>
      <c r="H505" s="18">
        <v>25000</v>
      </c>
      <c r="I505" s="18">
        <v>100</v>
      </c>
      <c r="J505" s="17">
        <f t="shared" si="51"/>
        <v>3.0000000000000001E-3</v>
      </c>
      <c r="K505" s="18">
        <f t="shared" si="49"/>
        <v>75</v>
      </c>
    </row>
    <row r="506" spans="1:11" x14ac:dyDescent="0.35">
      <c r="A506" s="24" t="s">
        <v>233</v>
      </c>
      <c r="B506" s="24" t="str">
        <f t="shared" si="50"/>
        <v>Phở bòBò M42</v>
      </c>
      <c r="C506" s="24" t="s">
        <v>8</v>
      </c>
      <c r="D506" t="s">
        <v>20</v>
      </c>
      <c r="E506" t="s">
        <v>482</v>
      </c>
      <c r="F506" t="s">
        <v>406</v>
      </c>
      <c r="G506" s="17">
        <v>8</v>
      </c>
      <c r="H506" s="18">
        <v>155000</v>
      </c>
      <c r="I506" s="18">
        <v>100</v>
      </c>
      <c r="J506" s="17">
        <f t="shared" si="51"/>
        <v>0.08</v>
      </c>
      <c r="K506" s="18">
        <f t="shared" si="49"/>
        <v>12400</v>
      </c>
    </row>
    <row r="507" spans="1:11" x14ac:dyDescent="0.35">
      <c r="A507" s="24" t="s">
        <v>233</v>
      </c>
      <c r="B507" s="24" t="str">
        <f t="shared" si="50"/>
        <v>Phở bòxương ống bò</v>
      </c>
      <c r="C507" s="24" t="s">
        <v>8</v>
      </c>
      <c r="D507" t="s">
        <v>20</v>
      </c>
      <c r="E507" t="s">
        <v>482</v>
      </c>
      <c r="F507" t="s">
        <v>432</v>
      </c>
      <c r="G507" s="17">
        <v>2</v>
      </c>
      <c r="H507" s="18">
        <v>25000</v>
      </c>
      <c r="I507" s="18">
        <v>100</v>
      </c>
      <c r="J507" s="17">
        <f t="shared" si="51"/>
        <v>0.02</v>
      </c>
      <c r="K507" s="18">
        <f t="shared" si="49"/>
        <v>500</v>
      </c>
    </row>
    <row r="508" spans="1:11" x14ac:dyDescent="0.35">
      <c r="A508" s="24" t="s">
        <v>233</v>
      </c>
      <c r="B508" s="24" t="str">
        <f t="shared" si="50"/>
        <v>Phở bòXà lách</v>
      </c>
      <c r="C508" s="24" t="s">
        <v>8</v>
      </c>
      <c r="D508" t="s">
        <v>20</v>
      </c>
      <c r="E508" t="s">
        <v>482</v>
      </c>
      <c r="F508" t="s">
        <v>197</v>
      </c>
      <c r="G508" s="17">
        <v>2</v>
      </c>
      <c r="H508" s="18">
        <v>25000</v>
      </c>
      <c r="I508" s="18">
        <v>100</v>
      </c>
      <c r="J508" s="17">
        <f t="shared" si="51"/>
        <v>0.02</v>
      </c>
      <c r="K508" s="18">
        <f t="shared" si="49"/>
        <v>500</v>
      </c>
    </row>
    <row r="509" spans="1:11" x14ac:dyDescent="0.35">
      <c r="A509" s="24" t="s">
        <v>233</v>
      </c>
      <c r="B509" s="24" t="str">
        <f t="shared" si="50"/>
        <v>Phở bòCủ cải</v>
      </c>
      <c r="C509" s="24" t="s">
        <v>8</v>
      </c>
      <c r="D509" t="s">
        <v>20</v>
      </c>
      <c r="E509" t="s">
        <v>482</v>
      </c>
      <c r="F509" t="s">
        <v>202</v>
      </c>
      <c r="G509" s="17">
        <v>1</v>
      </c>
      <c r="H509" s="18">
        <v>25000</v>
      </c>
      <c r="I509" s="18">
        <v>100</v>
      </c>
      <c r="J509" s="17">
        <f t="shared" si="51"/>
        <v>0.01</v>
      </c>
      <c r="K509" s="18">
        <f t="shared" si="49"/>
        <v>250</v>
      </c>
    </row>
    <row r="510" spans="1:11" x14ac:dyDescent="0.35">
      <c r="A510" s="24" t="s">
        <v>233</v>
      </c>
      <c r="B510" s="24" t="str">
        <f t="shared" si="50"/>
        <v>Phở bòĐu đủ xanh</v>
      </c>
      <c r="C510" s="24" t="s">
        <v>8</v>
      </c>
      <c r="D510" t="s">
        <v>20</v>
      </c>
      <c r="E510" t="s">
        <v>482</v>
      </c>
      <c r="F510" t="s">
        <v>302</v>
      </c>
      <c r="G510" s="17">
        <v>0.8</v>
      </c>
      <c r="H510" s="18">
        <v>25000</v>
      </c>
      <c r="I510" s="18">
        <v>100</v>
      </c>
      <c r="J510" s="17">
        <f t="shared" si="51"/>
        <v>8.0000000000000002E-3</v>
      </c>
      <c r="K510" s="18">
        <f t="shared" si="49"/>
        <v>200</v>
      </c>
    </row>
    <row r="511" spans="1:11" x14ac:dyDescent="0.35">
      <c r="A511" s="24" t="s">
        <v>233</v>
      </c>
      <c r="B511" s="24" t="str">
        <f t="shared" si="50"/>
        <v>Phở bòTỏi</v>
      </c>
      <c r="C511" s="24" t="s">
        <v>8</v>
      </c>
      <c r="D511" t="s">
        <v>20</v>
      </c>
      <c r="E511" t="s">
        <v>482</v>
      </c>
      <c r="F511" t="s">
        <v>382</v>
      </c>
      <c r="G511" s="17">
        <v>0.2</v>
      </c>
      <c r="H511" s="18">
        <v>25000</v>
      </c>
      <c r="I511" s="18">
        <v>100</v>
      </c>
      <c r="J511" s="17">
        <f t="shared" si="51"/>
        <v>2E-3</v>
      </c>
      <c r="K511" s="18">
        <f t="shared" si="49"/>
        <v>50</v>
      </c>
    </row>
    <row r="512" spans="1:11" x14ac:dyDescent="0.35">
      <c r="A512" s="24" t="s">
        <v>233</v>
      </c>
      <c r="B512" s="24" t="str">
        <f t="shared" si="50"/>
        <v>Phở bòHành tái</v>
      </c>
      <c r="C512" s="24" t="s">
        <v>8</v>
      </c>
      <c r="D512" t="s">
        <v>20</v>
      </c>
      <c r="E512" t="s">
        <v>482</v>
      </c>
      <c r="F512" t="s">
        <v>371</v>
      </c>
      <c r="G512" s="17">
        <v>0.2</v>
      </c>
      <c r="H512" s="18">
        <v>25000</v>
      </c>
      <c r="I512" s="18">
        <v>100</v>
      </c>
      <c r="J512" s="17">
        <f t="shared" si="51"/>
        <v>2E-3</v>
      </c>
      <c r="K512" s="18">
        <f t="shared" si="49"/>
        <v>50</v>
      </c>
    </row>
    <row r="513" spans="1:11" x14ac:dyDescent="0.35">
      <c r="A513" s="24" t="s">
        <v>233</v>
      </c>
      <c r="B513" s="24" t="str">
        <f t="shared" si="50"/>
        <v>Phở bòCà rốt</v>
      </c>
      <c r="C513" s="24" t="s">
        <v>8</v>
      </c>
      <c r="D513" t="s">
        <v>20</v>
      </c>
      <c r="E513" t="s">
        <v>482</v>
      </c>
      <c r="F513" t="s">
        <v>78</v>
      </c>
      <c r="G513" s="17">
        <v>0.8</v>
      </c>
      <c r="H513" s="18">
        <v>25000</v>
      </c>
      <c r="I513" s="18">
        <v>100</v>
      </c>
      <c r="J513" s="17">
        <f t="shared" si="51"/>
        <v>8.0000000000000002E-3</v>
      </c>
      <c r="K513" s="18">
        <f t="shared" si="49"/>
        <v>200</v>
      </c>
    </row>
    <row r="514" spans="1:11" x14ac:dyDescent="0.35">
      <c r="A514" s="24" t="s">
        <v>233</v>
      </c>
      <c r="B514" s="24" t="str">
        <f t="shared" si="50"/>
        <v>Phở bòỚt sừng</v>
      </c>
      <c r="C514" s="24" t="s">
        <v>8</v>
      </c>
      <c r="D514" t="s">
        <v>20</v>
      </c>
      <c r="E514" t="s">
        <v>482</v>
      </c>
      <c r="F514" t="s">
        <v>203</v>
      </c>
      <c r="G514" s="17">
        <v>0.1</v>
      </c>
      <c r="H514" s="18">
        <v>25000</v>
      </c>
      <c r="I514" s="18">
        <v>100</v>
      </c>
      <c r="J514" s="17">
        <f t="shared" si="51"/>
        <v>1E-3</v>
      </c>
      <c r="K514" s="18">
        <f t="shared" si="49"/>
        <v>25</v>
      </c>
    </row>
    <row r="515" spans="1:11" x14ac:dyDescent="0.35">
      <c r="A515" s="24" t="s">
        <v>233</v>
      </c>
      <c r="B515" s="24" t="str">
        <f t="shared" si="50"/>
        <v>Phở bòQuế hồi</v>
      </c>
      <c r="C515" s="24" t="s">
        <v>8</v>
      </c>
      <c r="D515" t="s">
        <v>20</v>
      </c>
      <c r="E515" t="s">
        <v>482</v>
      </c>
      <c r="F515" t="s">
        <v>379</v>
      </c>
      <c r="G515" s="17">
        <v>0.1</v>
      </c>
      <c r="H515" s="18">
        <v>25000</v>
      </c>
      <c r="I515" s="18">
        <v>100</v>
      </c>
      <c r="J515" s="17">
        <f t="shared" si="51"/>
        <v>1E-3</v>
      </c>
      <c r="K515" s="18">
        <f t="shared" si="49"/>
        <v>25</v>
      </c>
    </row>
    <row r="516" spans="1:11" x14ac:dyDescent="0.35">
      <c r="A516" s="24" t="s">
        <v>233</v>
      </c>
      <c r="B516" s="24" t="str">
        <f t="shared" si="50"/>
        <v>Phở bòTương ớt</v>
      </c>
      <c r="C516" s="24" t="s">
        <v>8</v>
      </c>
      <c r="D516" t="s">
        <v>20</v>
      </c>
      <c r="E516" t="s">
        <v>482</v>
      </c>
      <c r="F516" t="s">
        <v>380</v>
      </c>
      <c r="G516" s="17">
        <v>2</v>
      </c>
      <c r="H516" s="18">
        <v>25000</v>
      </c>
      <c r="I516" s="18">
        <v>100</v>
      </c>
      <c r="J516" s="17">
        <f t="shared" si="51"/>
        <v>0.02</v>
      </c>
      <c r="K516" s="18">
        <f t="shared" si="49"/>
        <v>500</v>
      </c>
    </row>
    <row r="517" spans="1:11" x14ac:dyDescent="0.35">
      <c r="A517" s="24" t="s">
        <v>233</v>
      </c>
      <c r="B517" s="24" t="str">
        <f t="shared" si="50"/>
        <v>Phở bòPhở tươi</v>
      </c>
      <c r="C517" s="24" t="s">
        <v>8</v>
      </c>
      <c r="D517" t="s">
        <v>20</v>
      </c>
      <c r="E517" t="s">
        <v>482</v>
      </c>
      <c r="F517" t="s">
        <v>399</v>
      </c>
      <c r="G517" s="17">
        <v>33</v>
      </c>
      <c r="H517" s="18">
        <v>12000</v>
      </c>
      <c r="I517" s="18">
        <v>100</v>
      </c>
      <c r="J517" s="17">
        <f t="shared" si="51"/>
        <v>0.33</v>
      </c>
      <c r="K517" s="18">
        <f t="shared" si="49"/>
        <v>3960</v>
      </c>
    </row>
    <row r="518" spans="1:11" x14ac:dyDescent="0.35">
      <c r="A518" s="24" t="s">
        <v>233</v>
      </c>
      <c r="B518" s="24" t="str">
        <f t="shared" si="50"/>
        <v>bánh canh tôm chả trứngBánh canh</v>
      </c>
      <c r="C518" s="24" t="s">
        <v>8</v>
      </c>
      <c r="D518" t="s">
        <v>20</v>
      </c>
      <c r="E518" s="24" t="s">
        <v>484</v>
      </c>
      <c r="F518" t="s">
        <v>366</v>
      </c>
      <c r="G518" s="17">
        <v>17</v>
      </c>
      <c r="H518" s="18">
        <v>15000</v>
      </c>
      <c r="I518" s="18">
        <v>100</v>
      </c>
      <c r="J518" s="17">
        <f t="shared" si="51"/>
        <v>0.17</v>
      </c>
      <c r="K518" s="18">
        <f t="shared" si="49"/>
        <v>2550</v>
      </c>
    </row>
    <row r="519" spans="1:11" x14ac:dyDescent="0.35">
      <c r="A519" s="24" t="s">
        <v>233</v>
      </c>
      <c r="B519" s="24" t="str">
        <f t="shared" si="50"/>
        <v>bánh canh tôm chả trứngTrứng cút lột sẵn</v>
      </c>
      <c r="C519" s="24" t="s">
        <v>8</v>
      </c>
      <c r="D519" t="s">
        <v>20</v>
      </c>
      <c r="E519" s="24" t="s">
        <v>484</v>
      </c>
      <c r="F519" t="s">
        <v>390</v>
      </c>
      <c r="G519" s="17">
        <v>300</v>
      </c>
      <c r="H519" s="18">
        <v>600</v>
      </c>
      <c r="I519" s="18">
        <v>100</v>
      </c>
      <c r="J519" s="17">
        <f t="shared" si="51"/>
        <v>3</v>
      </c>
      <c r="K519" s="18">
        <f t="shared" si="49"/>
        <v>1800</v>
      </c>
    </row>
    <row r="520" spans="1:11" x14ac:dyDescent="0.35">
      <c r="A520" s="24" t="s">
        <v>233</v>
      </c>
      <c r="B520" s="24" t="str">
        <f t="shared" si="50"/>
        <v>bánh canh tôm chả trứngHành lá</v>
      </c>
      <c r="C520" s="24" t="s">
        <v>8</v>
      </c>
      <c r="D520" t="s">
        <v>20</v>
      </c>
      <c r="E520" s="24" t="s">
        <v>484</v>
      </c>
      <c r="F520" t="s">
        <v>24</v>
      </c>
      <c r="G520" s="17">
        <v>0.5</v>
      </c>
      <c r="H520" s="18">
        <v>20000</v>
      </c>
      <c r="I520" s="18">
        <v>100</v>
      </c>
      <c r="J520" s="17">
        <f t="shared" si="51"/>
        <v>5.0000000000000001E-3</v>
      </c>
      <c r="K520" s="18">
        <f t="shared" si="49"/>
        <v>100</v>
      </c>
    </row>
    <row r="521" spans="1:11" x14ac:dyDescent="0.35">
      <c r="A521" s="24" t="s">
        <v>233</v>
      </c>
      <c r="B521" s="24" t="str">
        <f t="shared" si="50"/>
        <v>bánh canh tôm chả trứngNgò gai</v>
      </c>
      <c r="C521" s="24" t="s">
        <v>8</v>
      </c>
      <c r="D521" t="s">
        <v>20</v>
      </c>
      <c r="E521" s="24" t="s">
        <v>484</v>
      </c>
      <c r="F521" t="s">
        <v>101</v>
      </c>
      <c r="G521" s="17">
        <v>0.3</v>
      </c>
      <c r="H521" s="18">
        <v>30000</v>
      </c>
      <c r="I521" s="18">
        <v>100</v>
      </c>
      <c r="J521" s="17">
        <f t="shared" si="51"/>
        <v>3.0000000000000001E-3</v>
      </c>
      <c r="K521" s="18">
        <f t="shared" si="49"/>
        <v>90</v>
      </c>
    </row>
    <row r="522" spans="1:11" x14ac:dyDescent="0.35">
      <c r="A522" s="24" t="s">
        <v>233</v>
      </c>
      <c r="B522" s="24" t="str">
        <f t="shared" si="50"/>
        <v>bánh canh tôm chả trứngHành phi</v>
      </c>
      <c r="C522" s="24" t="s">
        <v>8</v>
      </c>
      <c r="D522" t="s">
        <v>20</v>
      </c>
      <c r="E522" s="24" t="s">
        <v>484</v>
      </c>
      <c r="F522" t="s">
        <v>363</v>
      </c>
      <c r="G522" s="17">
        <v>0.3</v>
      </c>
      <c r="H522" s="18">
        <v>50000</v>
      </c>
      <c r="I522" s="18">
        <v>100</v>
      </c>
      <c r="J522" s="17">
        <f t="shared" si="51"/>
        <v>3.0000000000000001E-3</v>
      </c>
      <c r="K522" s="18">
        <f t="shared" si="49"/>
        <v>150</v>
      </c>
    </row>
    <row r="523" spans="1:11" x14ac:dyDescent="0.35">
      <c r="A523" s="24" t="s">
        <v>233</v>
      </c>
      <c r="B523" s="24" t="str">
        <f t="shared" si="50"/>
        <v>bánh canh tôm chả trứngChanh</v>
      </c>
      <c r="C523" s="24" t="s">
        <v>8</v>
      </c>
      <c r="D523" t="s">
        <v>20</v>
      </c>
      <c r="E523" s="24" t="s">
        <v>484</v>
      </c>
      <c r="F523" t="s">
        <v>25</v>
      </c>
      <c r="G523" s="17">
        <v>0.8</v>
      </c>
      <c r="H523" s="18">
        <v>25000</v>
      </c>
      <c r="I523" s="18">
        <v>100</v>
      </c>
      <c r="J523" s="17">
        <f t="shared" si="51"/>
        <v>8.0000000000000002E-3</v>
      </c>
      <c r="K523" s="18">
        <f t="shared" si="49"/>
        <v>200</v>
      </c>
    </row>
    <row r="524" spans="1:11" x14ac:dyDescent="0.35">
      <c r="A524" s="24" t="s">
        <v>233</v>
      </c>
      <c r="B524" s="24" t="str">
        <f t="shared" si="50"/>
        <v>bánh canh tôm chả trứngHành tây</v>
      </c>
      <c r="C524" s="24" t="s">
        <v>8</v>
      </c>
      <c r="D524" t="s">
        <v>20</v>
      </c>
      <c r="E524" s="24" t="s">
        <v>484</v>
      </c>
      <c r="F524" t="s">
        <v>35</v>
      </c>
      <c r="G524" s="17">
        <v>1.2</v>
      </c>
      <c r="H524" s="18">
        <v>15000</v>
      </c>
      <c r="I524" s="18">
        <v>100</v>
      </c>
      <c r="J524" s="17">
        <f t="shared" si="51"/>
        <v>1.2E-2</v>
      </c>
      <c r="K524" s="18">
        <f t="shared" si="49"/>
        <v>180</v>
      </c>
    </row>
    <row r="525" spans="1:11" x14ac:dyDescent="0.35">
      <c r="A525" s="24" t="s">
        <v>233</v>
      </c>
      <c r="B525" s="24" t="str">
        <f t="shared" si="50"/>
        <v>bánh canh tôm chả trứngThơm</v>
      </c>
      <c r="C525" s="24" t="s">
        <v>8</v>
      </c>
      <c r="D525" t="s">
        <v>20</v>
      </c>
      <c r="E525" s="24" t="s">
        <v>484</v>
      </c>
      <c r="F525" t="s">
        <v>4</v>
      </c>
      <c r="G525" s="17">
        <v>1</v>
      </c>
      <c r="H525" s="18">
        <v>17000</v>
      </c>
      <c r="I525" s="18">
        <v>100</v>
      </c>
      <c r="J525" s="17">
        <f t="shared" si="51"/>
        <v>0.01</v>
      </c>
      <c r="K525" s="18">
        <f t="shared" si="49"/>
        <v>170</v>
      </c>
    </row>
    <row r="526" spans="1:11" x14ac:dyDescent="0.35">
      <c r="A526" s="24" t="s">
        <v>233</v>
      </c>
      <c r="B526" s="24" t="str">
        <f t="shared" si="50"/>
        <v>bánh canh tôm chả trứngCua đồng</v>
      </c>
      <c r="C526" s="24" t="s">
        <v>8</v>
      </c>
      <c r="D526" t="s">
        <v>20</v>
      </c>
      <c r="E526" s="24" t="s">
        <v>484</v>
      </c>
      <c r="F526" t="s">
        <v>403</v>
      </c>
      <c r="G526" s="17">
        <v>0.5</v>
      </c>
      <c r="H526" s="18">
        <v>50000</v>
      </c>
      <c r="I526" s="18">
        <v>100</v>
      </c>
      <c r="J526" s="17">
        <f t="shared" si="51"/>
        <v>5.0000000000000001E-3</v>
      </c>
      <c r="K526" s="18">
        <f t="shared" si="49"/>
        <v>250</v>
      </c>
    </row>
    <row r="527" spans="1:11" x14ac:dyDescent="0.35">
      <c r="A527" s="24" t="s">
        <v>233</v>
      </c>
      <c r="B527" s="24" t="str">
        <f t="shared" si="50"/>
        <v>bánh canh tôm chả trứngChả cá tấm chiên</v>
      </c>
      <c r="C527" s="24" t="s">
        <v>8</v>
      </c>
      <c r="D527" t="s">
        <v>20</v>
      </c>
      <c r="E527" s="24" t="s">
        <v>484</v>
      </c>
      <c r="F527" t="s">
        <v>268</v>
      </c>
      <c r="G527" s="17">
        <v>5</v>
      </c>
      <c r="H527" s="18">
        <v>70000</v>
      </c>
      <c r="I527" s="18">
        <v>100</v>
      </c>
      <c r="J527" s="17">
        <f t="shared" si="51"/>
        <v>0.05</v>
      </c>
      <c r="K527" s="18">
        <f t="shared" si="49"/>
        <v>3500</v>
      </c>
    </row>
    <row r="528" spans="1:11" x14ac:dyDescent="0.35">
      <c r="A528" s="24" t="s">
        <v>233</v>
      </c>
      <c r="B528" s="24" t="str">
        <f t="shared" si="50"/>
        <v>bánh canh tôm chả trứngTôm  ~120</v>
      </c>
      <c r="C528" s="24" t="s">
        <v>8</v>
      </c>
      <c r="D528" t="s">
        <v>20</v>
      </c>
      <c r="E528" s="24" t="s">
        <v>484</v>
      </c>
      <c r="F528" t="s">
        <v>483</v>
      </c>
      <c r="G528" s="17">
        <v>2.5</v>
      </c>
      <c r="H528" s="18">
        <v>100000</v>
      </c>
      <c r="I528" s="18">
        <v>100</v>
      </c>
      <c r="J528" s="17">
        <f t="shared" si="51"/>
        <v>2.5000000000000001E-2</v>
      </c>
      <c r="K528" s="18">
        <f t="shared" si="49"/>
        <v>2500</v>
      </c>
    </row>
    <row r="529" spans="1:11" x14ac:dyDescent="0.35">
      <c r="A529" s="24" t="s">
        <v>233</v>
      </c>
      <c r="B529" s="24" t="str">
        <f t="shared" si="50"/>
        <v>bánh canh tôm chả trứngxương ống bò</v>
      </c>
      <c r="C529" s="24" t="s">
        <v>8</v>
      </c>
      <c r="D529" t="s">
        <v>20</v>
      </c>
      <c r="E529" s="24" t="s">
        <v>484</v>
      </c>
      <c r="F529" t="s">
        <v>432</v>
      </c>
      <c r="G529" s="17">
        <v>2</v>
      </c>
      <c r="H529" s="18">
        <v>30000</v>
      </c>
      <c r="I529" s="18">
        <v>100</v>
      </c>
      <c r="J529" s="17">
        <f t="shared" si="51"/>
        <v>0.02</v>
      </c>
      <c r="K529" s="18">
        <f t="shared" si="49"/>
        <v>600</v>
      </c>
    </row>
    <row r="530" spans="1:11" x14ac:dyDescent="0.35">
      <c r="A530" s="24" t="s">
        <v>233</v>
      </c>
      <c r="B530" s="24" t="str">
        <f t="shared" si="50"/>
        <v>bánh canh tôm chả trứngBánh mì</v>
      </c>
      <c r="C530" s="24" t="s">
        <v>8</v>
      </c>
      <c r="D530" t="s">
        <v>20</v>
      </c>
      <c r="E530" s="24" t="s">
        <v>484</v>
      </c>
      <c r="F530" t="s">
        <v>395</v>
      </c>
      <c r="G530" s="17">
        <v>200</v>
      </c>
      <c r="H530" s="18">
        <v>2000</v>
      </c>
      <c r="I530" s="18">
        <v>100</v>
      </c>
      <c r="J530" s="17">
        <f t="shared" si="51"/>
        <v>2</v>
      </c>
      <c r="K530" s="18">
        <f t="shared" si="49"/>
        <v>4000</v>
      </c>
    </row>
    <row r="531" spans="1:11" x14ac:dyDescent="0.35">
      <c r="A531" s="24" t="s">
        <v>233</v>
      </c>
      <c r="B531" s="24" t="str">
        <f t="shared" si="50"/>
        <v>bánh canh tôm chả trứngSả</v>
      </c>
      <c r="C531" s="24" t="s">
        <v>8</v>
      </c>
      <c r="D531" t="s">
        <v>20</v>
      </c>
      <c r="E531" s="24" t="s">
        <v>484</v>
      </c>
      <c r="F531" t="s">
        <v>207</v>
      </c>
      <c r="G531" s="17">
        <v>0.3</v>
      </c>
      <c r="H531" s="18">
        <v>30000</v>
      </c>
      <c r="I531" s="18">
        <v>100</v>
      </c>
      <c r="J531" s="17">
        <f t="shared" si="51"/>
        <v>3.0000000000000001E-3</v>
      </c>
      <c r="K531" s="18">
        <f t="shared" si="49"/>
        <v>90</v>
      </c>
    </row>
    <row r="532" spans="1:11" x14ac:dyDescent="0.35">
      <c r="A532" s="24" t="s">
        <v>233</v>
      </c>
      <c r="B532" s="24" t="str">
        <f t="shared" si="50"/>
        <v>Bánh canh cá lócBánh canh</v>
      </c>
      <c r="C532" s="24" t="s">
        <v>8</v>
      </c>
      <c r="D532" t="s">
        <v>20</v>
      </c>
      <c r="E532" s="24" t="s">
        <v>485</v>
      </c>
      <c r="F532" t="s">
        <v>366</v>
      </c>
      <c r="G532" s="17">
        <v>17</v>
      </c>
      <c r="H532" s="18">
        <v>15000</v>
      </c>
      <c r="I532" s="18">
        <v>100</v>
      </c>
      <c r="J532" s="17">
        <f t="shared" si="51"/>
        <v>0.17</v>
      </c>
      <c r="K532" s="18">
        <f t="shared" si="49"/>
        <v>2550</v>
      </c>
    </row>
    <row r="533" spans="1:11" x14ac:dyDescent="0.35">
      <c r="A533" s="24" t="s">
        <v>233</v>
      </c>
      <c r="B533" s="24" t="str">
        <f t="shared" si="50"/>
        <v>Bánh canh cá lócHành lá</v>
      </c>
      <c r="C533" s="24" t="s">
        <v>8</v>
      </c>
      <c r="D533" t="s">
        <v>20</v>
      </c>
      <c r="E533" s="24" t="s">
        <v>485</v>
      </c>
      <c r="F533" t="s">
        <v>24</v>
      </c>
      <c r="G533" s="17">
        <v>0.5</v>
      </c>
      <c r="H533" s="18">
        <v>20000</v>
      </c>
      <c r="I533" s="18">
        <v>100</v>
      </c>
      <c r="J533" s="17">
        <f t="shared" si="51"/>
        <v>5.0000000000000001E-3</v>
      </c>
      <c r="K533" s="18">
        <f t="shared" si="49"/>
        <v>100</v>
      </c>
    </row>
    <row r="534" spans="1:11" x14ac:dyDescent="0.35">
      <c r="A534" s="24" t="s">
        <v>233</v>
      </c>
      <c r="B534" s="24" t="str">
        <f t="shared" si="50"/>
        <v>Bánh canh cá lócNgò gai</v>
      </c>
      <c r="C534" s="24" t="s">
        <v>8</v>
      </c>
      <c r="D534" t="s">
        <v>20</v>
      </c>
      <c r="E534" s="24" t="s">
        <v>485</v>
      </c>
      <c r="F534" t="s">
        <v>101</v>
      </c>
      <c r="G534" s="17">
        <v>0.3</v>
      </c>
      <c r="H534" s="18">
        <v>30000</v>
      </c>
      <c r="I534" s="18">
        <v>100</v>
      </c>
      <c r="J534" s="17">
        <f t="shared" si="51"/>
        <v>3.0000000000000001E-3</v>
      </c>
      <c r="K534" s="18">
        <f t="shared" si="49"/>
        <v>90</v>
      </c>
    </row>
    <row r="535" spans="1:11" x14ac:dyDescent="0.35">
      <c r="A535" s="24" t="s">
        <v>233</v>
      </c>
      <c r="B535" s="24" t="str">
        <f t="shared" si="50"/>
        <v>Bánh canh cá lócHành phi</v>
      </c>
      <c r="C535" s="24" t="s">
        <v>8</v>
      </c>
      <c r="D535" t="s">
        <v>20</v>
      </c>
      <c r="E535" s="24" t="s">
        <v>485</v>
      </c>
      <c r="F535" t="s">
        <v>363</v>
      </c>
      <c r="G535" s="17">
        <v>0.4</v>
      </c>
      <c r="H535" s="18">
        <v>50000</v>
      </c>
      <c r="I535" s="18">
        <v>100</v>
      </c>
      <c r="J535" s="17">
        <f t="shared" si="51"/>
        <v>4.0000000000000001E-3</v>
      </c>
      <c r="K535" s="18">
        <f t="shared" si="49"/>
        <v>200</v>
      </c>
    </row>
    <row r="536" spans="1:11" x14ac:dyDescent="0.35">
      <c r="A536" s="24" t="s">
        <v>233</v>
      </c>
      <c r="B536" s="24" t="str">
        <f t="shared" si="50"/>
        <v>Bánh canh cá lócChanh</v>
      </c>
      <c r="C536" s="24" t="s">
        <v>8</v>
      </c>
      <c r="D536" t="s">
        <v>20</v>
      </c>
      <c r="E536" s="24" t="s">
        <v>485</v>
      </c>
      <c r="F536" t="s">
        <v>25</v>
      </c>
      <c r="G536" s="17">
        <v>0.8</v>
      </c>
      <c r="H536" s="18">
        <v>25000</v>
      </c>
      <c r="I536" s="18">
        <v>100</v>
      </c>
      <c r="J536" s="17">
        <f t="shared" si="51"/>
        <v>8.0000000000000002E-3</v>
      </c>
      <c r="K536" s="18">
        <f t="shared" si="49"/>
        <v>200</v>
      </c>
    </row>
    <row r="537" spans="1:11" x14ac:dyDescent="0.35">
      <c r="A537" s="24" t="s">
        <v>233</v>
      </c>
      <c r="B537" s="24" t="str">
        <f t="shared" si="50"/>
        <v>Bánh canh cá lócHành tây</v>
      </c>
      <c r="C537" s="24" t="s">
        <v>8</v>
      </c>
      <c r="D537" t="s">
        <v>20</v>
      </c>
      <c r="E537" s="24" t="s">
        <v>485</v>
      </c>
      <c r="F537" t="s">
        <v>35</v>
      </c>
      <c r="G537" s="17">
        <v>1.2</v>
      </c>
      <c r="H537" s="18">
        <v>15000</v>
      </c>
      <c r="I537" s="18">
        <v>100</v>
      </c>
      <c r="J537" s="17">
        <f t="shared" si="51"/>
        <v>1.2E-2</v>
      </c>
      <c r="K537" s="18">
        <f t="shared" si="49"/>
        <v>180</v>
      </c>
    </row>
    <row r="538" spans="1:11" x14ac:dyDescent="0.35">
      <c r="A538" s="24" t="s">
        <v>233</v>
      </c>
      <c r="B538" s="24" t="str">
        <f t="shared" si="50"/>
        <v>Bánh canh cá lócrau răm</v>
      </c>
      <c r="C538" s="24" t="s">
        <v>8</v>
      </c>
      <c r="D538" t="s">
        <v>20</v>
      </c>
      <c r="E538" s="24" t="s">
        <v>485</v>
      </c>
      <c r="F538" t="s">
        <v>420</v>
      </c>
      <c r="G538" s="17">
        <v>0.1</v>
      </c>
      <c r="H538" s="18">
        <v>30000</v>
      </c>
      <c r="I538" s="18">
        <v>100</v>
      </c>
      <c r="J538" s="17">
        <f t="shared" si="51"/>
        <v>1E-3</v>
      </c>
      <c r="K538" s="18">
        <f t="shared" si="49"/>
        <v>30</v>
      </c>
    </row>
    <row r="539" spans="1:11" x14ac:dyDescent="0.35">
      <c r="A539" s="24" t="s">
        <v>233</v>
      </c>
      <c r="B539" s="24" t="str">
        <f t="shared" si="50"/>
        <v>Bánh canh cá lócCá lóc</v>
      </c>
      <c r="C539" s="24" t="s">
        <v>8</v>
      </c>
      <c r="D539" t="s">
        <v>20</v>
      </c>
      <c r="E539" s="24" t="s">
        <v>485</v>
      </c>
      <c r="F539" t="s">
        <v>111</v>
      </c>
      <c r="G539" s="17">
        <v>13.5</v>
      </c>
      <c r="H539" s="18">
        <v>70000</v>
      </c>
      <c r="I539" s="18">
        <v>100</v>
      </c>
      <c r="J539" s="17">
        <f t="shared" si="51"/>
        <v>0.13500000000000001</v>
      </c>
      <c r="K539" s="18">
        <f t="shared" si="49"/>
        <v>9450</v>
      </c>
    </row>
    <row r="540" spans="1:11" x14ac:dyDescent="0.35">
      <c r="A540" s="24" t="s">
        <v>233</v>
      </c>
      <c r="B540" s="24" t="str">
        <f t="shared" si="50"/>
        <v>Bánh canh cá lócBánh mì</v>
      </c>
      <c r="C540" s="24" t="s">
        <v>8</v>
      </c>
      <c r="D540" t="s">
        <v>20</v>
      </c>
      <c r="E540" s="24" t="s">
        <v>485</v>
      </c>
      <c r="F540" t="s">
        <v>395</v>
      </c>
      <c r="G540" s="17">
        <v>200</v>
      </c>
      <c r="H540" s="18">
        <v>2000</v>
      </c>
      <c r="I540" s="18">
        <v>100</v>
      </c>
      <c r="J540" s="17">
        <f t="shared" si="51"/>
        <v>2</v>
      </c>
      <c r="K540" s="18">
        <f t="shared" si="49"/>
        <v>4000</v>
      </c>
    </row>
    <row r="541" spans="1:11" x14ac:dyDescent="0.35">
      <c r="A541" s="24" t="s">
        <v>233</v>
      </c>
      <c r="B541" s="24" t="str">
        <f t="shared" si="50"/>
        <v>Bánh canh cá lócSả</v>
      </c>
      <c r="C541" s="24" t="s">
        <v>8</v>
      </c>
      <c r="D541" t="s">
        <v>20</v>
      </c>
      <c r="E541" s="24" t="s">
        <v>485</v>
      </c>
      <c r="F541" t="s">
        <v>207</v>
      </c>
      <c r="G541" s="17">
        <v>0.3</v>
      </c>
      <c r="H541" s="18">
        <v>30000</v>
      </c>
      <c r="I541" s="18">
        <v>100</v>
      </c>
      <c r="J541" s="17">
        <f t="shared" si="51"/>
        <v>3.0000000000000001E-3</v>
      </c>
      <c r="K541" s="18">
        <f t="shared" si="49"/>
        <v>90</v>
      </c>
    </row>
    <row r="542" spans="1:11" x14ac:dyDescent="0.35">
      <c r="A542" s="24" t="s">
        <v>233</v>
      </c>
      <c r="B542" s="24" t="str">
        <f t="shared" si="50"/>
        <v>Bánh canh chả cuaBánh canh</v>
      </c>
      <c r="C542" s="24" t="s">
        <v>8</v>
      </c>
      <c r="D542" t="s">
        <v>20</v>
      </c>
      <c r="E542" s="24" t="s">
        <v>486</v>
      </c>
      <c r="F542" t="s">
        <v>366</v>
      </c>
      <c r="G542" s="17">
        <v>17</v>
      </c>
      <c r="H542" s="18">
        <v>15000</v>
      </c>
      <c r="I542" s="18">
        <v>100</v>
      </c>
      <c r="J542" s="17">
        <f t="shared" si="51"/>
        <v>0.17</v>
      </c>
      <c r="K542" s="18">
        <f t="shared" si="49"/>
        <v>2550</v>
      </c>
    </row>
    <row r="543" spans="1:11" x14ac:dyDescent="0.35">
      <c r="A543" s="24" t="s">
        <v>233</v>
      </c>
      <c r="B543" s="24" t="str">
        <f t="shared" si="50"/>
        <v>Bánh canh chả cuaTrứng cút lột sẵn</v>
      </c>
      <c r="C543" s="24" t="s">
        <v>8</v>
      </c>
      <c r="D543" t="s">
        <v>20</v>
      </c>
      <c r="E543" s="24" t="s">
        <v>486</v>
      </c>
      <c r="F543" t="s">
        <v>390</v>
      </c>
      <c r="G543" s="17">
        <v>300</v>
      </c>
      <c r="H543" s="18">
        <v>600</v>
      </c>
      <c r="I543" s="18">
        <v>100</v>
      </c>
      <c r="J543" s="17">
        <f t="shared" si="51"/>
        <v>3</v>
      </c>
      <c r="K543" s="18">
        <f t="shared" si="49"/>
        <v>1800</v>
      </c>
    </row>
    <row r="544" spans="1:11" x14ac:dyDescent="0.35">
      <c r="A544" s="24" t="s">
        <v>233</v>
      </c>
      <c r="B544" s="24" t="str">
        <f t="shared" si="50"/>
        <v>Bánh canh chả cuaHành lá</v>
      </c>
      <c r="C544" s="24" t="s">
        <v>8</v>
      </c>
      <c r="D544" t="s">
        <v>20</v>
      </c>
      <c r="E544" s="24" t="s">
        <v>486</v>
      </c>
      <c r="F544" t="s">
        <v>24</v>
      </c>
      <c r="G544" s="17">
        <v>0.5</v>
      </c>
      <c r="H544" s="18">
        <v>20000</v>
      </c>
      <c r="I544" s="18">
        <v>100</v>
      </c>
      <c r="J544" s="17">
        <f t="shared" si="51"/>
        <v>5.0000000000000001E-3</v>
      </c>
      <c r="K544" s="18">
        <f t="shared" ref="K544:K596" si="52">(G544*H544)/I544</f>
        <v>100</v>
      </c>
    </row>
    <row r="545" spans="1:11" x14ac:dyDescent="0.35">
      <c r="A545" s="24" t="s">
        <v>233</v>
      </c>
      <c r="B545" s="24" t="str">
        <f t="shared" si="50"/>
        <v>Bánh canh chả cuaNgò gai</v>
      </c>
      <c r="C545" s="24" t="s">
        <v>8</v>
      </c>
      <c r="D545" t="s">
        <v>20</v>
      </c>
      <c r="E545" s="24" t="s">
        <v>486</v>
      </c>
      <c r="F545" t="s">
        <v>101</v>
      </c>
      <c r="G545" s="17">
        <v>0.3</v>
      </c>
      <c r="H545" s="18">
        <v>30000</v>
      </c>
      <c r="I545" s="18">
        <v>100</v>
      </c>
      <c r="J545" s="17">
        <f t="shared" si="51"/>
        <v>3.0000000000000001E-3</v>
      </c>
      <c r="K545" s="18">
        <f t="shared" si="52"/>
        <v>90</v>
      </c>
    </row>
    <row r="546" spans="1:11" x14ac:dyDescent="0.35">
      <c r="A546" s="24" t="s">
        <v>233</v>
      </c>
      <c r="B546" s="24" t="str">
        <f t="shared" si="50"/>
        <v>Bánh canh chả cuaHành phi</v>
      </c>
      <c r="C546" s="24" t="s">
        <v>8</v>
      </c>
      <c r="D546" t="s">
        <v>20</v>
      </c>
      <c r="E546" s="24" t="s">
        <v>486</v>
      </c>
      <c r="F546" t="s">
        <v>363</v>
      </c>
      <c r="G546" s="17">
        <v>0.3</v>
      </c>
      <c r="H546" s="18">
        <v>50000</v>
      </c>
      <c r="I546" s="18">
        <v>100</v>
      </c>
      <c r="J546" s="17">
        <f t="shared" si="51"/>
        <v>3.0000000000000001E-3</v>
      </c>
      <c r="K546" s="18">
        <f t="shared" si="52"/>
        <v>150</v>
      </c>
    </row>
    <row r="547" spans="1:11" x14ac:dyDescent="0.35">
      <c r="A547" s="24" t="s">
        <v>233</v>
      </c>
      <c r="B547" s="24" t="str">
        <f t="shared" si="50"/>
        <v>Bánh canh chả cuaChanh</v>
      </c>
      <c r="C547" s="24" t="s">
        <v>8</v>
      </c>
      <c r="D547" t="s">
        <v>20</v>
      </c>
      <c r="E547" s="24" t="s">
        <v>486</v>
      </c>
      <c r="F547" t="s">
        <v>25</v>
      </c>
      <c r="G547" s="17">
        <v>0.8</v>
      </c>
      <c r="H547" s="18">
        <v>25000</v>
      </c>
      <c r="I547" s="18">
        <v>100</v>
      </c>
      <c r="J547" s="17">
        <f t="shared" si="51"/>
        <v>8.0000000000000002E-3</v>
      </c>
      <c r="K547" s="18">
        <f t="shared" si="52"/>
        <v>200</v>
      </c>
    </row>
    <row r="548" spans="1:11" x14ac:dyDescent="0.35">
      <c r="A548" s="24" t="s">
        <v>233</v>
      </c>
      <c r="B548" s="24" t="str">
        <f t="shared" si="50"/>
        <v>Bánh canh chả cuaHành tây</v>
      </c>
      <c r="C548" s="24" t="s">
        <v>8</v>
      </c>
      <c r="D548" t="s">
        <v>20</v>
      </c>
      <c r="E548" s="24" t="s">
        <v>486</v>
      </c>
      <c r="F548" t="s">
        <v>35</v>
      </c>
      <c r="G548" s="17">
        <v>1.2</v>
      </c>
      <c r="H548" s="18">
        <v>15000</v>
      </c>
      <c r="I548" s="18">
        <v>100</v>
      </c>
      <c r="J548" s="17">
        <f t="shared" si="51"/>
        <v>1.2E-2</v>
      </c>
      <c r="K548" s="18">
        <f t="shared" si="52"/>
        <v>180</v>
      </c>
    </row>
    <row r="549" spans="1:11" x14ac:dyDescent="0.35">
      <c r="A549" s="24" t="s">
        <v>233</v>
      </c>
      <c r="B549" s="24" t="str">
        <f t="shared" si="50"/>
        <v>Bánh canh chả cuaThơm</v>
      </c>
      <c r="C549" s="24" t="s">
        <v>8</v>
      </c>
      <c r="D549" t="s">
        <v>20</v>
      </c>
      <c r="E549" s="24" t="s">
        <v>486</v>
      </c>
      <c r="F549" t="s">
        <v>4</v>
      </c>
      <c r="G549" s="17">
        <v>1</v>
      </c>
      <c r="H549" s="18">
        <v>17000</v>
      </c>
      <c r="I549" s="18">
        <v>100</v>
      </c>
      <c r="J549" s="17">
        <f t="shared" si="51"/>
        <v>0.01</v>
      </c>
      <c r="K549" s="18">
        <f t="shared" si="52"/>
        <v>170</v>
      </c>
    </row>
    <row r="550" spans="1:11" x14ac:dyDescent="0.35">
      <c r="A550" s="24" t="s">
        <v>233</v>
      </c>
      <c r="B550" s="24" t="str">
        <f t="shared" si="50"/>
        <v>Bánh canh chả cuaCua đồng</v>
      </c>
      <c r="C550" s="24" t="s">
        <v>8</v>
      </c>
      <c r="D550" t="s">
        <v>20</v>
      </c>
      <c r="E550" s="24" t="s">
        <v>486</v>
      </c>
      <c r="F550" t="s">
        <v>403</v>
      </c>
      <c r="G550" s="17">
        <v>0.5</v>
      </c>
      <c r="H550" s="18">
        <v>50000</v>
      </c>
      <c r="I550" s="18">
        <v>100</v>
      </c>
      <c r="J550" s="17">
        <f t="shared" si="51"/>
        <v>5.0000000000000001E-3</v>
      </c>
      <c r="K550" s="18">
        <f t="shared" si="52"/>
        <v>250</v>
      </c>
    </row>
    <row r="551" spans="1:11" x14ac:dyDescent="0.35">
      <c r="A551" s="24" t="s">
        <v>233</v>
      </c>
      <c r="B551" s="24" t="str">
        <f t="shared" si="50"/>
        <v>Bánh canh chả cuaChả cua</v>
      </c>
      <c r="C551" s="24" t="s">
        <v>8</v>
      </c>
      <c r="D551" t="s">
        <v>20</v>
      </c>
      <c r="E551" s="24" t="s">
        <v>486</v>
      </c>
      <c r="F551" t="s">
        <v>376</v>
      </c>
      <c r="G551" s="17">
        <v>6</v>
      </c>
      <c r="H551" s="18">
        <v>110000</v>
      </c>
      <c r="I551" s="18">
        <v>100</v>
      </c>
      <c r="J551" s="17">
        <f t="shared" si="51"/>
        <v>0.06</v>
      </c>
      <c r="K551" s="18">
        <f t="shared" si="52"/>
        <v>6600</v>
      </c>
    </row>
    <row r="552" spans="1:11" x14ac:dyDescent="0.35">
      <c r="A552" s="24" t="s">
        <v>233</v>
      </c>
      <c r="B552" s="24" t="str">
        <f t="shared" si="50"/>
        <v>Bánh canh chả cuaBánh mì</v>
      </c>
      <c r="C552" s="24" t="s">
        <v>8</v>
      </c>
      <c r="D552" t="s">
        <v>20</v>
      </c>
      <c r="E552" s="24" t="s">
        <v>486</v>
      </c>
      <c r="F552" t="s">
        <v>395</v>
      </c>
      <c r="G552" s="17">
        <v>200</v>
      </c>
      <c r="H552" s="18">
        <v>2000</v>
      </c>
      <c r="I552" s="18">
        <v>100</v>
      </c>
      <c r="J552" s="17">
        <f t="shared" si="51"/>
        <v>2</v>
      </c>
      <c r="K552" s="18">
        <f t="shared" si="52"/>
        <v>4000</v>
      </c>
    </row>
    <row r="553" spans="1:11" x14ac:dyDescent="0.35">
      <c r="A553" s="24" t="s">
        <v>233</v>
      </c>
      <c r="B553" s="24" t="str">
        <f t="shared" si="50"/>
        <v>Bánh canh chả cuaSả</v>
      </c>
      <c r="C553" s="24" t="s">
        <v>8</v>
      </c>
      <c r="D553" t="s">
        <v>20</v>
      </c>
      <c r="E553" s="24" t="s">
        <v>486</v>
      </c>
      <c r="F553" t="s">
        <v>207</v>
      </c>
      <c r="G553" s="17">
        <v>0.3</v>
      </c>
      <c r="H553" s="18">
        <v>30000</v>
      </c>
      <c r="I553" s="18">
        <v>100</v>
      </c>
      <c r="J553" s="17">
        <f t="shared" si="51"/>
        <v>3.0000000000000001E-3</v>
      </c>
      <c r="K553" s="18">
        <f t="shared" si="52"/>
        <v>90</v>
      </c>
    </row>
    <row r="554" spans="1:11" x14ac:dyDescent="0.35">
      <c r="A554" s="24" t="s">
        <v>233</v>
      </c>
      <c r="B554" s="24" t="str">
        <f t="shared" si="50"/>
        <v>Bánh canh chả cuaxương ống bò</v>
      </c>
      <c r="C554" s="24" t="s">
        <v>8</v>
      </c>
      <c r="D554" t="s">
        <v>20</v>
      </c>
      <c r="E554" s="24" t="s">
        <v>486</v>
      </c>
      <c r="F554" t="s">
        <v>432</v>
      </c>
      <c r="G554" s="17">
        <v>2</v>
      </c>
      <c r="H554" s="18">
        <v>30000</v>
      </c>
      <c r="I554" s="18">
        <v>100</v>
      </c>
      <c r="J554" s="17">
        <f t="shared" si="51"/>
        <v>0.02</v>
      </c>
      <c r="K554" s="18">
        <f t="shared" si="52"/>
        <v>600</v>
      </c>
    </row>
    <row r="555" spans="1:11" x14ac:dyDescent="0.35">
      <c r="A555" s="24" t="s">
        <v>233</v>
      </c>
      <c r="B555" s="24" t="str">
        <f t="shared" si="50"/>
        <v>bún xương heoChanh</v>
      </c>
      <c r="C555" s="24" t="s">
        <v>8</v>
      </c>
      <c r="D555" t="s">
        <v>20</v>
      </c>
      <c r="E555" s="24" t="s">
        <v>487</v>
      </c>
      <c r="F555" t="s">
        <v>25</v>
      </c>
      <c r="G555" s="17">
        <v>0.8</v>
      </c>
      <c r="H555" s="18">
        <v>26000</v>
      </c>
      <c r="I555" s="18">
        <v>100</v>
      </c>
      <c r="J555" s="17">
        <f t="shared" si="51"/>
        <v>8.0000000000000002E-3</v>
      </c>
      <c r="K555" s="18">
        <f t="shared" si="52"/>
        <v>208</v>
      </c>
    </row>
    <row r="556" spans="1:11" x14ac:dyDescent="0.35">
      <c r="A556" s="24" t="s">
        <v>233</v>
      </c>
      <c r="B556" s="24" t="str">
        <f t="shared" si="50"/>
        <v>bún xương heoGiá</v>
      </c>
      <c r="C556" s="24" t="s">
        <v>8</v>
      </c>
      <c r="D556" t="s">
        <v>20</v>
      </c>
      <c r="E556" s="24" t="s">
        <v>487</v>
      </c>
      <c r="F556" t="s">
        <v>26</v>
      </c>
      <c r="G556" s="17">
        <v>2.5</v>
      </c>
      <c r="H556" s="18">
        <v>10000</v>
      </c>
      <c r="I556" s="18">
        <v>100</v>
      </c>
      <c r="J556" s="17">
        <f t="shared" si="51"/>
        <v>2.5000000000000001E-2</v>
      </c>
      <c r="K556" s="18">
        <f t="shared" si="52"/>
        <v>250</v>
      </c>
    </row>
    <row r="557" spans="1:11" x14ac:dyDescent="0.35">
      <c r="A557" s="24" t="s">
        <v>233</v>
      </c>
      <c r="B557" s="24" t="str">
        <f t="shared" si="50"/>
        <v>bún xương heoHành lá</v>
      </c>
      <c r="C557" s="24" t="s">
        <v>8</v>
      </c>
      <c r="D557" t="s">
        <v>20</v>
      </c>
      <c r="E557" s="24" t="s">
        <v>487</v>
      </c>
      <c r="F557" t="s">
        <v>24</v>
      </c>
      <c r="G557" s="17">
        <v>0.4</v>
      </c>
      <c r="H557" s="18">
        <v>20000</v>
      </c>
      <c r="I557" s="18">
        <v>100</v>
      </c>
      <c r="J557" s="17">
        <f t="shared" si="51"/>
        <v>4.0000000000000001E-3</v>
      </c>
      <c r="K557" s="18">
        <f t="shared" si="52"/>
        <v>80</v>
      </c>
    </row>
    <row r="558" spans="1:11" x14ac:dyDescent="0.35">
      <c r="A558" s="24" t="s">
        <v>233</v>
      </c>
      <c r="B558" s="24" t="str">
        <f t="shared" si="50"/>
        <v>bún xương heoHành tây</v>
      </c>
      <c r="C558" s="24" t="s">
        <v>8</v>
      </c>
      <c r="D558" t="s">
        <v>20</v>
      </c>
      <c r="E558" s="24" t="s">
        <v>487</v>
      </c>
      <c r="F558" t="s">
        <v>35</v>
      </c>
      <c r="G558" s="17">
        <v>1.5</v>
      </c>
      <c r="H558" s="18">
        <v>15000</v>
      </c>
      <c r="I558" s="18">
        <v>100</v>
      </c>
      <c r="J558" s="17">
        <f t="shared" si="51"/>
        <v>1.4999999999999999E-2</v>
      </c>
      <c r="K558" s="18">
        <f t="shared" si="52"/>
        <v>225</v>
      </c>
    </row>
    <row r="559" spans="1:11" x14ac:dyDescent="0.35">
      <c r="A559" s="24" t="s">
        <v>233</v>
      </c>
      <c r="B559" s="24" t="str">
        <f t="shared" ref="B559:B624" si="53">E559&amp;F559</f>
        <v>bún xương heoNgò rí</v>
      </c>
      <c r="C559" s="24" t="s">
        <v>8</v>
      </c>
      <c r="D559" t="s">
        <v>20</v>
      </c>
      <c r="E559" s="24" t="s">
        <v>487</v>
      </c>
      <c r="F559" t="s">
        <v>369</v>
      </c>
      <c r="G559" s="17">
        <v>0.2</v>
      </c>
      <c r="H559" s="18">
        <v>35000</v>
      </c>
      <c r="I559" s="18">
        <v>100</v>
      </c>
      <c r="J559" s="17">
        <f t="shared" si="51"/>
        <v>2E-3</v>
      </c>
      <c r="K559" s="18">
        <f t="shared" si="52"/>
        <v>70</v>
      </c>
    </row>
    <row r="560" spans="1:11" x14ac:dyDescent="0.35">
      <c r="A560" s="24" t="s">
        <v>233</v>
      </c>
      <c r="B560" s="24" t="str">
        <f t="shared" si="53"/>
        <v>bún xương heoRau quế</v>
      </c>
      <c r="C560" s="24" t="s">
        <v>8</v>
      </c>
      <c r="D560" t="s">
        <v>20</v>
      </c>
      <c r="E560" s="24" t="s">
        <v>487</v>
      </c>
      <c r="F560" t="s">
        <v>23</v>
      </c>
      <c r="G560" s="17">
        <v>0.3</v>
      </c>
      <c r="H560" s="18">
        <v>30000</v>
      </c>
      <c r="I560" s="18">
        <v>100</v>
      </c>
      <c r="J560" s="17">
        <f t="shared" si="51"/>
        <v>3.0000000000000001E-3</v>
      </c>
      <c r="K560" s="18">
        <f t="shared" si="52"/>
        <v>90</v>
      </c>
    </row>
    <row r="561" spans="1:11" x14ac:dyDescent="0.35">
      <c r="A561" s="24" t="s">
        <v>233</v>
      </c>
      <c r="B561" s="24" t="str">
        <f t="shared" si="53"/>
        <v>bún xương heoxương mềm</v>
      </c>
      <c r="C561" s="24" t="s">
        <v>8</v>
      </c>
      <c r="D561" t="s">
        <v>20</v>
      </c>
      <c r="E561" s="24" t="s">
        <v>487</v>
      </c>
      <c r="F561" t="s">
        <v>488</v>
      </c>
      <c r="G561" s="17">
        <v>13.5</v>
      </c>
      <c r="H561" s="18">
        <v>90000</v>
      </c>
      <c r="I561" s="18">
        <v>100</v>
      </c>
      <c r="J561" s="17">
        <f t="shared" si="51"/>
        <v>0.13500000000000001</v>
      </c>
      <c r="K561" s="18">
        <f t="shared" si="52"/>
        <v>12150</v>
      </c>
    </row>
    <row r="562" spans="1:11" x14ac:dyDescent="0.35">
      <c r="A562" s="24" t="s">
        <v>233</v>
      </c>
      <c r="B562" s="24" t="str">
        <f t="shared" si="53"/>
        <v>bún xương heoHuyết bò</v>
      </c>
      <c r="C562" s="24" t="s">
        <v>8</v>
      </c>
      <c r="D562" t="s">
        <v>20</v>
      </c>
      <c r="E562" s="24" t="s">
        <v>487</v>
      </c>
      <c r="F562" t="s">
        <v>167</v>
      </c>
      <c r="G562" s="17">
        <v>2.5</v>
      </c>
      <c r="H562" s="18">
        <v>25000</v>
      </c>
      <c r="I562" s="18">
        <v>100</v>
      </c>
      <c r="J562" s="17">
        <f t="shared" si="51"/>
        <v>2.5000000000000001E-2</v>
      </c>
      <c r="K562" s="18">
        <f t="shared" si="52"/>
        <v>625</v>
      </c>
    </row>
    <row r="563" spans="1:11" x14ac:dyDescent="0.35">
      <c r="A563" s="24" t="s">
        <v>233</v>
      </c>
      <c r="B563" s="24" t="str">
        <f t="shared" si="53"/>
        <v>bún xương heoXà lách</v>
      </c>
      <c r="C563" s="24" t="s">
        <v>8</v>
      </c>
      <c r="D563" t="s">
        <v>20</v>
      </c>
      <c r="E563" s="24" t="s">
        <v>487</v>
      </c>
      <c r="F563" t="s">
        <v>197</v>
      </c>
      <c r="G563" s="17">
        <v>2</v>
      </c>
      <c r="H563" s="18">
        <v>22000</v>
      </c>
      <c r="I563" s="18">
        <v>100</v>
      </c>
      <c r="J563" s="17">
        <f t="shared" si="51"/>
        <v>0.02</v>
      </c>
      <c r="K563" s="18">
        <f t="shared" si="52"/>
        <v>440</v>
      </c>
    </row>
    <row r="564" spans="1:11" x14ac:dyDescent="0.35">
      <c r="A564" s="24" t="s">
        <v>233</v>
      </c>
      <c r="B564" s="24" t="str">
        <f t="shared" si="53"/>
        <v>bún xương heoCủ cải</v>
      </c>
      <c r="C564" s="24" t="s">
        <v>8</v>
      </c>
      <c r="D564" t="s">
        <v>20</v>
      </c>
      <c r="E564" s="24" t="s">
        <v>487</v>
      </c>
      <c r="F564" t="s">
        <v>202</v>
      </c>
      <c r="G564" s="17">
        <v>1</v>
      </c>
      <c r="H564" s="18">
        <v>12000</v>
      </c>
      <c r="I564" s="18">
        <v>100</v>
      </c>
      <c r="J564" s="17">
        <f t="shared" si="51"/>
        <v>0.01</v>
      </c>
      <c r="K564" s="18">
        <f t="shared" si="52"/>
        <v>120</v>
      </c>
    </row>
    <row r="565" spans="1:11" x14ac:dyDescent="0.35">
      <c r="A565" s="24" t="s">
        <v>233</v>
      </c>
      <c r="B565" s="24" t="str">
        <f t="shared" si="53"/>
        <v>bún xương heoĐu đủ xanh</v>
      </c>
      <c r="C565" s="24" t="s">
        <v>8</v>
      </c>
      <c r="D565" t="s">
        <v>20</v>
      </c>
      <c r="E565" s="24" t="s">
        <v>487</v>
      </c>
      <c r="F565" t="s">
        <v>302</v>
      </c>
      <c r="G565" s="17">
        <v>0.8</v>
      </c>
      <c r="H565" s="18">
        <v>12000</v>
      </c>
      <c r="I565" s="18">
        <v>100</v>
      </c>
      <c r="J565" s="17">
        <f t="shared" si="51"/>
        <v>8.0000000000000002E-3</v>
      </c>
      <c r="K565" s="18">
        <f t="shared" si="52"/>
        <v>96</v>
      </c>
    </row>
    <row r="566" spans="1:11" x14ac:dyDescent="0.35">
      <c r="A566" s="24" t="s">
        <v>233</v>
      </c>
      <c r="B566" s="24" t="str">
        <f t="shared" si="53"/>
        <v>bún xương heoHành tái</v>
      </c>
      <c r="C566" s="24" t="s">
        <v>8</v>
      </c>
      <c r="D566" t="s">
        <v>20</v>
      </c>
      <c r="E566" s="24" t="s">
        <v>487</v>
      </c>
      <c r="F566" t="s">
        <v>371</v>
      </c>
      <c r="G566" s="17">
        <v>0.3</v>
      </c>
      <c r="H566" s="18">
        <v>20000</v>
      </c>
      <c r="I566" s="18">
        <v>100</v>
      </c>
      <c r="J566" s="17">
        <f t="shared" si="51"/>
        <v>3.0000000000000001E-3</v>
      </c>
      <c r="K566" s="18">
        <f t="shared" si="52"/>
        <v>60</v>
      </c>
    </row>
    <row r="567" spans="1:11" x14ac:dyDescent="0.35">
      <c r="A567" s="24" t="s">
        <v>233</v>
      </c>
      <c r="B567" s="24" t="str">
        <f t="shared" si="53"/>
        <v>bún xương heoCà rốt</v>
      </c>
      <c r="C567" s="24" t="s">
        <v>8</v>
      </c>
      <c r="D567" t="s">
        <v>20</v>
      </c>
      <c r="E567" s="24" t="s">
        <v>487</v>
      </c>
      <c r="F567" t="s">
        <v>78</v>
      </c>
      <c r="G567" s="17">
        <v>0.8</v>
      </c>
      <c r="H567" s="18">
        <v>15000</v>
      </c>
      <c r="I567" s="18">
        <v>100</v>
      </c>
      <c r="J567" s="17">
        <f t="shared" si="51"/>
        <v>8.0000000000000002E-3</v>
      </c>
      <c r="K567" s="18">
        <f t="shared" si="52"/>
        <v>120</v>
      </c>
    </row>
    <row r="568" spans="1:11" x14ac:dyDescent="0.35">
      <c r="A568" s="24" t="s">
        <v>233</v>
      </c>
      <c r="B568" s="24" t="str">
        <f t="shared" si="53"/>
        <v>bún xương heobún tươi</v>
      </c>
      <c r="C568" s="24" t="s">
        <v>8</v>
      </c>
      <c r="D568" t="s">
        <v>20</v>
      </c>
      <c r="E568" s="24" t="s">
        <v>487</v>
      </c>
      <c r="F568" t="s">
        <v>467</v>
      </c>
      <c r="G568" s="17">
        <v>33</v>
      </c>
      <c r="H568" s="18">
        <v>9500</v>
      </c>
      <c r="I568" s="18">
        <v>100</v>
      </c>
      <c r="J568" s="17">
        <f t="shared" ref="J568:J632" si="54">G568/I568</f>
        <v>0.33</v>
      </c>
      <c r="K568" s="18">
        <f>(G568*H568)/I568</f>
        <v>3135</v>
      </c>
    </row>
    <row r="569" spans="1:11" x14ac:dyDescent="0.35">
      <c r="A569" s="24" t="s">
        <v>233</v>
      </c>
      <c r="B569" s="24" t="str">
        <f t="shared" si="53"/>
        <v>bún riêu cuaBún tươi</v>
      </c>
      <c r="C569" s="24" t="s">
        <v>8</v>
      </c>
      <c r="D569" t="s">
        <v>20</v>
      </c>
      <c r="E569" s="24" t="s">
        <v>489</v>
      </c>
      <c r="F569" t="s">
        <v>387</v>
      </c>
      <c r="G569" s="17">
        <v>33</v>
      </c>
      <c r="H569" s="18">
        <v>9500</v>
      </c>
      <c r="I569" s="18">
        <v>100</v>
      </c>
      <c r="J569" s="17">
        <f t="shared" si="54"/>
        <v>0.33</v>
      </c>
      <c r="K569" s="18">
        <f t="shared" ref="K569:K632" si="55">(G569*H569)/I569</f>
        <v>3135</v>
      </c>
    </row>
    <row r="570" spans="1:11" x14ac:dyDescent="0.35">
      <c r="A570" s="24" t="s">
        <v>233</v>
      </c>
      <c r="B570" s="24" t="str">
        <f t="shared" si="53"/>
        <v>bún riêu cuaHuyết bò</v>
      </c>
      <c r="C570" s="24" t="s">
        <v>8</v>
      </c>
      <c r="D570" t="s">
        <v>20</v>
      </c>
      <c r="E570" s="24" t="s">
        <v>489</v>
      </c>
      <c r="F570" t="s">
        <v>167</v>
      </c>
      <c r="G570" s="17">
        <v>2.5</v>
      </c>
      <c r="H570" s="18">
        <v>30000</v>
      </c>
      <c r="I570" s="18">
        <v>100</v>
      </c>
      <c r="J570" s="17">
        <f t="shared" si="54"/>
        <v>2.5000000000000001E-2</v>
      </c>
      <c r="K570" s="18">
        <f t="shared" si="55"/>
        <v>750</v>
      </c>
    </row>
    <row r="571" spans="1:11" x14ac:dyDescent="0.35">
      <c r="A571" s="24" t="s">
        <v>233</v>
      </c>
      <c r="B571" s="24" t="str">
        <f t="shared" si="53"/>
        <v>bún riêu cuađậu khuôn chiên lát nhỏ</v>
      </c>
      <c r="C571" s="24" t="s">
        <v>8</v>
      </c>
      <c r="D571" t="s">
        <v>20</v>
      </c>
      <c r="E571" s="24" t="s">
        <v>489</v>
      </c>
      <c r="F571" t="s">
        <v>465</v>
      </c>
      <c r="G571" s="17">
        <v>50</v>
      </c>
      <c r="H571" s="18">
        <v>1600</v>
      </c>
      <c r="I571" s="18">
        <v>100</v>
      </c>
      <c r="J571" s="17">
        <f t="shared" si="54"/>
        <v>0.5</v>
      </c>
      <c r="K571" s="18">
        <f t="shared" si="55"/>
        <v>800</v>
      </c>
    </row>
    <row r="572" spans="1:11" x14ac:dyDescent="0.35">
      <c r="A572" s="24" t="s">
        <v>233</v>
      </c>
      <c r="B572" s="24" t="str">
        <f t="shared" si="53"/>
        <v>bún riêu cuaCua đồng</v>
      </c>
      <c r="C572" s="24" t="s">
        <v>8</v>
      </c>
      <c r="D572" t="s">
        <v>20</v>
      </c>
      <c r="E572" s="24" t="s">
        <v>489</v>
      </c>
      <c r="F572" t="s">
        <v>403</v>
      </c>
      <c r="G572" s="17">
        <v>2</v>
      </c>
      <c r="H572" s="18">
        <v>50000</v>
      </c>
      <c r="I572" s="18">
        <v>100</v>
      </c>
      <c r="J572" s="17">
        <f t="shared" si="54"/>
        <v>0.02</v>
      </c>
      <c r="K572" s="18">
        <f t="shared" si="55"/>
        <v>1000</v>
      </c>
    </row>
    <row r="573" spans="1:11" x14ac:dyDescent="0.35">
      <c r="A573" s="24" t="s">
        <v>233</v>
      </c>
      <c r="B573" s="24" t="str">
        <f t="shared" si="53"/>
        <v>bún riêu cuaThịt xay mịn</v>
      </c>
      <c r="C573" s="24" t="s">
        <v>8</v>
      </c>
      <c r="D573" t="s">
        <v>20</v>
      </c>
      <c r="E573" s="24" t="s">
        <v>489</v>
      </c>
      <c r="F573" t="s">
        <v>431</v>
      </c>
      <c r="G573" s="17">
        <v>3.5</v>
      </c>
      <c r="H573" s="18">
        <v>120000</v>
      </c>
      <c r="I573" s="18">
        <v>100</v>
      </c>
      <c r="J573" s="17">
        <f t="shared" si="54"/>
        <v>3.5000000000000003E-2</v>
      </c>
      <c r="K573" s="18">
        <f t="shared" si="55"/>
        <v>4200</v>
      </c>
    </row>
    <row r="574" spans="1:11" x14ac:dyDescent="0.35">
      <c r="A574" s="24" t="s">
        <v>233</v>
      </c>
      <c r="B574" s="24" t="str">
        <f t="shared" si="53"/>
        <v>bún riêu cuaTrứng gà trung</v>
      </c>
      <c r="C574" s="24" t="s">
        <v>8</v>
      </c>
      <c r="D574" t="s">
        <v>20</v>
      </c>
      <c r="E574" s="24" t="s">
        <v>489</v>
      </c>
      <c r="F574" t="s">
        <v>416</v>
      </c>
      <c r="G574" s="17">
        <v>4</v>
      </c>
      <c r="H574" s="18">
        <v>2000</v>
      </c>
      <c r="I574" s="18">
        <v>100</v>
      </c>
      <c r="J574" s="17">
        <f t="shared" si="54"/>
        <v>0.04</v>
      </c>
      <c r="K574" s="18">
        <f t="shared" si="55"/>
        <v>80</v>
      </c>
    </row>
    <row r="575" spans="1:11" x14ac:dyDescent="0.35">
      <c r="A575" s="24" t="s">
        <v>233</v>
      </c>
      <c r="B575" s="24" t="str">
        <f t="shared" si="53"/>
        <v>bún riêu cuaChả quế chiên</v>
      </c>
      <c r="C575" s="24" t="s">
        <v>8</v>
      </c>
      <c r="D575" t="s">
        <v>20</v>
      </c>
      <c r="E575" s="24" t="s">
        <v>489</v>
      </c>
      <c r="F575" t="s">
        <v>458</v>
      </c>
      <c r="G575" s="17">
        <v>3</v>
      </c>
      <c r="H575" s="18">
        <v>140000</v>
      </c>
      <c r="I575" s="18">
        <v>100</v>
      </c>
      <c r="J575" s="17">
        <f t="shared" si="54"/>
        <v>0.03</v>
      </c>
      <c r="K575" s="18">
        <f t="shared" si="55"/>
        <v>4200</v>
      </c>
    </row>
    <row r="576" spans="1:11" x14ac:dyDescent="0.35">
      <c r="A576" s="24" t="s">
        <v>233</v>
      </c>
      <c r="B576" s="24" t="str">
        <f t="shared" si="53"/>
        <v>bún riêu cuaGiá giò</v>
      </c>
      <c r="C576" s="24" t="s">
        <v>8</v>
      </c>
      <c r="D576" t="s">
        <v>20</v>
      </c>
      <c r="E576" s="24" t="s">
        <v>489</v>
      </c>
      <c r="F576" t="s">
        <v>384</v>
      </c>
      <c r="G576" s="17">
        <v>2</v>
      </c>
      <c r="H576" s="18">
        <v>10000</v>
      </c>
      <c r="I576" s="18">
        <v>100</v>
      </c>
      <c r="J576" s="17">
        <f t="shared" si="54"/>
        <v>0.02</v>
      </c>
      <c r="K576" s="18">
        <f t="shared" si="55"/>
        <v>200</v>
      </c>
    </row>
    <row r="577" spans="1:15" x14ac:dyDescent="0.35">
      <c r="A577" s="24" t="s">
        <v>233</v>
      </c>
      <c r="B577" s="24" t="str">
        <f t="shared" si="53"/>
        <v>bún riêu cuaNgò gai</v>
      </c>
      <c r="C577" s="24" t="s">
        <v>8</v>
      </c>
      <c r="D577" t="s">
        <v>20</v>
      </c>
      <c r="E577" s="24" t="s">
        <v>489</v>
      </c>
      <c r="F577" t="s">
        <v>101</v>
      </c>
      <c r="G577" s="17">
        <v>0.3</v>
      </c>
      <c r="H577" s="18">
        <v>30000</v>
      </c>
      <c r="I577" s="18">
        <v>100</v>
      </c>
      <c r="J577" s="17">
        <f t="shared" si="54"/>
        <v>3.0000000000000001E-3</v>
      </c>
      <c r="K577" s="18">
        <f t="shared" si="55"/>
        <v>90</v>
      </c>
    </row>
    <row r="578" spans="1:15" x14ac:dyDescent="0.35">
      <c r="A578" s="24" t="s">
        <v>233</v>
      </c>
      <c r="B578" s="24" t="str">
        <f t="shared" si="53"/>
        <v>bún riêu cuaHành lá</v>
      </c>
      <c r="C578" s="24" t="s">
        <v>8</v>
      </c>
      <c r="D578" t="s">
        <v>20</v>
      </c>
      <c r="E578" s="24" t="s">
        <v>489</v>
      </c>
      <c r="F578" t="s">
        <v>24</v>
      </c>
      <c r="G578" s="17">
        <v>0.4</v>
      </c>
      <c r="H578" s="18">
        <v>20000</v>
      </c>
      <c r="I578" s="18">
        <v>100</v>
      </c>
      <c r="J578" s="17">
        <f t="shared" si="54"/>
        <v>4.0000000000000001E-3</v>
      </c>
      <c r="K578" s="18">
        <f t="shared" si="55"/>
        <v>80</v>
      </c>
    </row>
    <row r="579" spans="1:15" x14ac:dyDescent="0.35">
      <c r="A579" s="24" t="s">
        <v>233</v>
      </c>
      <c r="B579" s="24" t="str">
        <f t="shared" si="53"/>
        <v>bún riêu cuaRau tía tô</v>
      </c>
      <c r="C579" s="24" t="s">
        <v>8</v>
      </c>
      <c r="D579" t="s">
        <v>20</v>
      </c>
      <c r="E579" s="24" t="s">
        <v>489</v>
      </c>
      <c r="F579" t="s">
        <v>419</v>
      </c>
      <c r="G579" s="17">
        <v>0.3</v>
      </c>
      <c r="H579" s="18">
        <v>25000</v>
      </c>
      <c r="I579" s="18">
        <v>100</v>
      </c>
      <c r="J579" s="17">
        <f t="shared" si="54"/>
        <v>3.0000000000000001E-3</v>
      </c>
      <c r="K579" s="18">
        <f t="shared" si="55"/>
        <v>75</v>
      </c>
    </row>
    <row r="580" spans="1:15" x14ac:dyDescent="0.35">
      <c r="A580" s="24" t="s">
        <v>233</v>
      </c>
      <c r="B580" s="24" t="str">
        <f t="shared" si="53"/>
        <v>bún riêu cuaSu trắng</v>
      </c>
      <c r="C580" s="24" t="s">
        <v>8</v>
      </c>
      <c r="D580" t="s">
        <v>20</v>
      </c>
      <c r="E580" s="24" t="s">
        <v>489</v>
      </c>
      <c r="F580" t="s">
        <v>39</v>
      </c>
      <c r="G580" s="17">
        <v>2</v>
      </c>
      <c r="H580" s="18">
        <v>10000</v>
      </c>
      <c r="I580" s="18">
        <v>100</v>
      </c>
      <c r="J580" s="17">
        <f t="shared" si="54"/>
        <v>0.02</v>
      </c>
      <c r="K580" s="18">
        <f t="shared" si="55"/>
        <v>200</v>
      </c>
    </row>
    <row r="581" spans="1:15" x14ac:dyDescent="0.35">
      <c r="A581" s="24" t="s">
        <v>233</v>
      </c>
      <c r="B581" s="24" t="str">
        <f t="shared" si="53"/>
        <v>bún riêu cuaXà lách</v>
      </c>
      <c r="C581" s="24" t="s">
        <v>8</v>
      </c>
      <c r="D581" t="s">
        <v>20</v>
      </c>
      <c r="E581" s="24" t="s">
        <v>489</v>
      </c>
      <c r="F581" t="s">
        <v>197</v>
      </c>
      <c r="G581" s="17">
        <v>2</v>
      </c>
      <c r="H581" s="18">
        <v>20000</v>
      </c>
      <c r="I581" s="18">
        <v>100</v>
      </c>
      <c r="J581" s="17">
        <f t="shared" si="54"/>
        <v>0.02</v>
      </c>
      <c r="K581" s="18">
        <f t="shared" si="55"/>
        <v>400</v>
      </c>
    </row>
    <row r="582" spans="1:15" x14ac:dyDescent="0.35">
      <c r="A582" s="24" t="s">
        <v>233</v>
      </c>
      <c r="B582" s="24" t="str">
        <f t="shared" si="53"/>
        <v>bún riêu cuaTương rim</v>
      </c>
      <c r="C582" s="24" t="s">
        <v>8</v>
      </c>
      <c r="D582" t="s">
        <v>20</v>
      </c>
      <c r="E582" s="24" t="s">
        <v>489</v>
      </c>
      <c r="F582" t="s">
        <v>358</v>
      </c>
      <c r="G582" s="17">
        <v>1</v>
      </c>
      <c r="H582" s="18">
        <v>15000</v>
      </c>
      <c r="I582" s="18">
        <v>100</v>
      </c>
      <c r="J582" s="17">
        <f t="shared" si="54"/>
        <v>0.01</v>
      </c>
      <c r="K582" s="18">
        <f t="shared" si="55"/>
        <v>150</v>
      </c>
    </row>
    <row r="583" spans="1:15" x14ac:dyDescent="0.35">
      <c r="A583" s="24" t="s">
        <v>233</v>
      </c>
      <c r="B583" s="24" t="str">
        <f t="shared" si="53"/>
        <v>bún riêu cuaCà rốt</v>
      </c>
      <c r="C583" s="24" t="s">
        <v>8</v>
      </c>
      <c r="D583" t="s">
        <v>20</v>
      </c>
      <c r="E583" s="24" t="s">
        <v>489</v>
      </c>
      <c r="F583" t="s">
        <v>78</v>
      </c>
      <c r="G583" s="17">
        <v>0.8</v>
      </c>
      <c r="H583" s="18">
        <v>15000</v>
      </c>
      <c r="I583" s="18">
        <v>100</v>
      </c>
      <c r="J583" s="17">
        <f t="shared" si="54"/>
        <v>8.0000000000000002E-3</v>
      </c>
      <c r="K583" s="18">
        <f t="shared" si="55"/>
        <v>120</v>
      </c>
    </row>
    <row r="584" spans="1:15" x14ac:dyDescent="0.35">
      <c r="A584" s="24" t="s">
        <v>233</v>
      </c>
      <c r="B584" s="24" t="str">
        <f t="shared" si="53"/>
        <v>bún riêu cuaĐu đủ xanh</v>
      </c>
      <c r="C584" s="24" t="s">
        <v>8</v>
      </c>
      <c r="D584" t="s">
        <v>20</v>
      </c>
      <c r="E584" s="24" t="s">
        <v>489</v>
      </c>
      <c r="F584" t="s">
        <v>302</v>
      </c>
      <c r="G584" s="17">
        <v>0.8</v>
      </c>
      <c r="H584" s="18">
        <v>12000</v>
      </c>
      <c r="I584" s="18">
        <v>100</v>
      </c>
      <c r="J584" s="17">
        <f t="shared" si="54"/>
        <v>8.0000000000000002E-3</v>
      </c>
      <c r="K584" s="18">
        <f t="shared" si="55"/>
        <v>96</v>
      </c>
    </row>
    <row r="585" spans="1:15" x14ac:dyDescent="0.35">
      <c r="A585" s="24" t="s">
        <v>233</v>
      </c>
      <c r="B585" s="24" t="str">
        <f t="shared" si="53"/>
        <v>bún riêu cuaHành tái</v>
      </c>
      <c r="C585" s="24" t="s">
        <v>8</v>
      </c>
      <c r="D585" t="s">
        <v>20</v>
      </c>
      <c r="E585" s="24" t="s">
        <v>489</v>
      </c>
      <c r="F585" t="s">
        <v>371</v>
      </c>
      <c r="G585" s="17">
        <v>0.3</v>
      </c>
      <c r="H585" s="18">
        <v>20000</v>
      </c>
      <c r="I585" s="18">
        <v>100</v>
      </c>
      <c r="J585" s="17">
        <f t="shared" si="54"/>
        <v>3.0000000000000001E-3</v>
      </c>
      <c r="K585" s="18">
        <f t="shared" si="55"/>
        <v>60</v>
      </c>
    </row>
    <row r="586" spans="1:15" x14ac:dyDescent="0.35">
      <c r="A586" s="24" t="s">
        <v>232</v>
      </c>
      <c r="B586" s="24" t="str">
        <f t="shared" si="53"/>
        <v>vịt nấu laguVịt</v>
      </c>
      <c r="C586" s="24" t="s">
        <v>8</v>
      </c>
      <c r="D586" t="s">
        <v>491</v>
      </c>
      <c r="E586" s="24" t="s">
        <v>490</v>
      </c>
      <c r="F586" t="s">
        <v>163</v>
      </c>
      <c r="G586" s="17">
        <v>13.5</v>
      </c>
      <c r="H586" s="18">
        <v>55000</v>
      </c>
      <c r="I586" s="18">
        <v>100</v>
      </c>
      <c r="J586" s="17">
        <f t="shared" si="54"/>
        <v>0.13500000000000001</v>
      </c>
      <c r="K586" s="18">
        <f t="shared" si="55"/>
        <v>7425</v>
      </c>
      <c r="O586" s="130"/>
    </row>
    <row r="587" spans="1:15" x14ac:dyDescent="0.35">
      <c r="A587" s="24" t="s">
        <v>233</v>
      </c>
      <c r="B587" s="24" t="str">
        <f t="shared" si="53"/>
        <v>vịt nấu laguCủ cải</v>
      </c>
      <c r="C587" s="24" t="s">
        <v>8</v>
      </c>
      <c r="D587" t="s">
        <v>491</v>
      </c>
      <c r="E587" s="24" t="s">
        <v>490</v>
      </c>
      <c r="F587" t="s">
        <v>202</v>
      </c>
      <c r="G587" s="17">
        <v>1.5</v>
      </c>
      <c r="H587" s="18">
        <v>10000</v>
      </c>
      <c r="I587" s="18">
        <v>100</v>
      </c>
      <c r="J587" s="17">
        <f t="shared" si="54"/>
        <v>1.4999999999999999E-2</v>
      </c>
      <c r="K587" s="18">
        <f t="shared" si="55"/>
        <v>150</v>
      </c>
      <c r="O587" s="130">
        <f t="shared" ref="O586:O589" si="56">G587*1.1</f>
        <v>1.6500000000000001</v>
      </c>
    </row>
    <row r="588" spans="1:15" x14ac:dyDescent="0.35">
      <c r="A588" s="24" t="s">
        <v>233</v>
      </c>
      <c r="B588" s="24" t="str">
        <f t="shared" si="53"/>
        <v>vịt nấu laguKhoai tây</v>
      </c>
      <c r="C588" s="24" t="s">
        <v>8</v>
      </c>
      <c r="D588" t="s">
        <v>491</v>
      </c>
      <c r="E588" s="24" t="s">
        <v>490</v>
      </c>
      <c r="F588" t="s">
        <v>77</v>
      </c>
      <c r="G588" s="17">
        <v>1.5</v>
      </c>
      <c r="H588" s="18">
        <v>12000</v>
      </c>
      <c r="I588" s="18">
        <v>100</v>
      </c>
      <c r="J588" s="17">
        <f t="shared" si="54"/>
        <v>1.4999999999999999E-2</v>
      </c>
      <c r="K588" s="18">
        <f t="shared" si="55"/>
        <v>180</v>
      </c>
      <c r="O588" s="130">
        <f t="shared" si="56"/>
        <v>1.6500000000000001</v>
      </c>
    </row>
    <row r="589" spans="1:15" x14ac:dyDescent="0.35">
      <c r="A589" s="24" t="s">
        <v>233</v>
      </c>
      <c r="B589" s="24" t="str">
        <f t="shared" si="53"/>
        <v>vịt nấu laguCà rốt</v>
      </c>
      <c r="C589" s="24" t="s">
        <v>8</v>
      </c>
      <c r="D589" t="s">
        <v>491</v>
      </c>
      <c r="E589" s="24" t="s">
        <v>490</v>
      </c>
      <c r="F589" t="s">
        <v>78</v>
      </c>
      <c r="G589" s="17">
        <v>1.5</v>
      </c>
      <c r="H589" s="18">
        <v>15000</v>
      </c>
      <c r="I589" s="18">
        <v>100</v>
      </c>
      <c r="J589" s="17">
        <f t="shared" si="54"/>
        <v>1.4999999999999999E-2</v>
      </c>
      <c r="K589" s="18">
        <f t="shared" si="55"/>
        <v>225</v>
      </c>
      <c r="O589" s="130">
        <f t="shared" si="56"/>
        <v>1.6500000000000001</v>
      </c>
    </row>
    <row r="590" spans="1:15" x14ac:dyDescent="0.35">
      <c r="A590" s="24" t="s">
        <v>233</v>
      </c>
      <c r="B590" s="24" t="str">
        <f t="shared" si="53"/>
        <v>Ram tôm thịtTôm nhỏ 170c/kg</v>
      </c>
      <c r="C590" s="24" t="s">
        <v>8</v>
      </c>
      <c r="D590" t="s">
        <v>19</v>
      </c>
      <c r="E590" s="24" t="s">
        <v>495</v>
      </c>
      <c r="F590" t="s">
        <v>494</v>
      </c>
      <c r="G590" s="17">
        <v>1.5</v>
      </c>
      <c r="H590" s="18">
        <v>80000</v>
      </c>
      <c r="I590" s="18">
        <v>80</v>
      </c>
      <c r="J590" s="17">
        <f t="shared" si="54"/>
        <v>1.8749999999999999E-2</v>
      </c>
      <c r="K590" s="18">
        <f t="shared" si="55"/>
        <v>1500</v>
      </c>
    </row>
    <row r="591" spans="1:15" x14ac:dyDescent="0.35">
      <c r="A591" s="24" t="s">
        <v>233</v>
      </c>
      <c r="B591" s="24" t="str">
        <f t="shared" si="53"/>
        <v>Ram tôm thịtThịt nọng xay</v>
      </c>
      <c r="C591" s="24" t="s">
        <v>8</v>
      </c>
      <c r="D591" t="s">
        <v>19</v>
      </c>
      <c r="E591" s="24" t="s">
        <v>495</v>
      </c>
      <c r="F591" t="s">
        <v>362</v>
      </c>
      <c r="G591" s="17">
        <v>1.2</v>
      </c>
      <c r="H591" s="18">
        <v>70000</v>
      </c>
      <c r="I591" s="18">
        <v>80</v>
      </c>
      <c r="J591" s="17">
        <f t="shared" si="54"/>
        <v>1.4999999999999999E-2</v>
      </c>
      <c r="K591" s="18">
        <f t="shared" si="55"/>
        <v>1050</v>
      </c>
    </row>
    <row r="592" spans="1:15" x14ac:dyDescent="0.35">
      <c r="A592" s="24" t="s">
        <v>233</v>
      </c>
      <c r="B592" s="24" t="str">
        <f t="shared" si="53"/>
        <v>Ram tôm thịtBánh tráng rế</v>
      </c>
      <c r="C592" s="24" t="s">
        <v>8</v>
      </c>
      <c r="D592" t="s">
        <v>19</v>
      </c>
      <c r="E592" s="24" t="s">
        <v>495</v>
      </c>
      <c r="F592" t="s">
        <v>415</v>
      </c>
      <c r="G592" s="17">
        <v>5</v>
      </c>
      <c r="H592" s="18">
        <v>15000</v>
      </c>
      <c r="I592" s="18">
        <v>80</v>
      </c>
      <c r="J592" s="17">
        <f t="shared" si="54"/>
        <v>6.25E-2</v>
      </c>
      <c r="K592" s="18">
        <f t="shared" si="55"/>
        <v>937.5</v>
      </c>
    </row>
    <row r="593" spans="1:15" x14ac:dyDescent="0.35">
      <c r="A593" s="24" t="s">
        <v>233</v>
      </c>
      <c r="B593" s="24" t="str">
        <f t="shared" si="53"/>
        <v>Ram tôm thịthành lá</v>
      </c>
      <c r="C593" s="24" t="s">
        <v>8</v>
      </c>
      <c r="D593" t="s">
        <v>19</v>
      </c>
      <c r="E593" s="24" t="s">
        <v>495</v>
      </c>
      <c r="F593" t="s">
        <v>408</v>
      </c>
      <c r="G593" s="17">
        <v>0.3</v>
      </c>
      <c r="H593" s="18">
        <v>20000</v>
      </c>
      <c r="I593" s="18">
        <v>80</v>
      </c>
      <c r="J593" s="17">
        <f t="shared" si="54"/>
        <v>3.7499999999999999E-3</v>
      </c>
      <c r="K593" s="18">
        <f t="shared" si="55"/>
        <v>75</v>
      </c>
    </row>
    <row r="594" spans="1:15" x14ac:dyDescent="0.35">
      <c r="A594" s="24" t="s">
        <v>233</v>
      </c>
      <c r="B594" s="24" t="str">
        <f t="shared" si="53"/>
        <v>Ram tôm thịtCà rốt</v>
      </c>
      <c r="C594" s="24" t="s">
        <v>8</v>
      </c>
      <c r="D594" t="s">
        <v>19</v>
      </c>
      <c r="E594" s="24" t="s">
        <v>495</v>
      </c>
      <c r="F594" t="s">
        <v>78</v>
      </c>
      <c r="G594" s="17">
        <v>0.5</v>
      </c>
      <c r="H594" s="18">
        <v>15000</v>
      </c>
      <c r="I594" s="18">
        <v>80</v>
      </c>
      <c r="J594" s="17">
        <f t="shared" si="54"/>
        <v>6.2500000000000003E-3</v>
      </c>
      <c r="K594" s="18">
        <f t="shared" si="55"/>
        <v>93.75</v>
      </c>
    </row>
    <row r="595" spans="1:15" x14ac:dyDescent="0.35">
      <c r="A595" s="24" t="s">
        <v>233</v>
      </c>
      <c r="B595" s="24" t="str">
        <f t="shared" si="53"/>
        <v>cá lóc um chuốiCá lóc</v>
      </c>
      <c r="C595" s="24" t="s">
        <v>8</v>
      </c>
      <c r="D595" t="s">
        <v>491</v>
      </c>
      <c r="E595" s="24" t="s">
        <v>477</v>
      </c>
      <c r="F595" t="s">
        <v>111</v>
      </c>
      <c r="G595" s="17">
        <v>9</v>
      </c>
      <c r="H595" s="18">
        <v>70000</v>
      </c>
      <c r="I595" s="18">
        <v>100</v>
      </c>
      <c r="J595" s="17">
        <f t="shared" si="54"/>
        <v>0.09</v>
      </c>
      <c r="K595" s="18">
        <f t="shared" si="55"/>
        <v>6300</v>
      </c>
      <c r="O595" s="130">
        <f t="shared" ref="O595:O598" si="57">G595*1.1</f>
        <v>9.9</v>
      </c>
    </row>
    <row r="596" spans="1:15" x14ac:dyDescent="0.35">
      <c r="A596" s="24" t="s">
        <v>233</v>
      </c>
      <c r="B596" s="24" t="str">
        <f t="shared" si="53"/>
        <v>cá lóc um chuốiChuối lùn sống</v>
      </c>
      <c r="C596" s="24" t="s">
        <v>8</v>
      </c>
      <c r="D596" t="s">
        <v>491</v>
      </c>
      <c r="E596" s="24" t="s">
        <v>477</v>
      </c>
      <c r="F596" t="s">
        <v>409</v>
      </c>
      <c r="G596" s="17">
        <v>3</v>
      </c>
      <c r="H596" s="18">
        <v>15000</v>
      </c>
      <c r="I596" s="18">
        <v>100</v>
      </c>
      <c r="J596" s="17">
        <f t="shared" si="54"/>
        <v>0.03</v>
      </c>
      <c r="K596" s="18">
        <f t="shared" si="55"/>
        <v>450</v>
      </c>
      <c r="O596" s="130">
        <f t="shared" si="57"/>
        <v>3.3000000000000003</v>
      </c>
    </row>
    <row r="597" spans="1:15" x14ac:dyDescent="0.35">
      <c r="A597" s="24" t="s">
        <v>233</v>
      </c>
      <c r="B597" s="24" t="str">
        <f t="shared" si="53"/>
        <v>cá lóc um chuốiLá lót</v>
      </c>
      <c r="C597" s="24" t="s">
        <v>8</v>
      </c>
      <c r="D597" t="s">
        <v>491</v>
      </c>
      <c r="E597" s="24" t="s">
        <v>477</v>
      </c>
      <c r="F597" t="s">
        <v>341</v>
      </c>
      <c r="G597" s="17">
        <v>0.2</v>
      </c>
      <c r="H597" s="18">
        <v>25000</v>
      </c>
      <c r="I597" s="18">
        <v>100</v>
      </c>
      <c r="J597" s="17">
        <f t="shared" si="54"/>
        <v>2E-3</v>
      </c>
      <c r="K597" s="18">
        <f t="shared" si="55"/>
        <v>50</v>
      </c>
      <c r="O597" s="130">
        <f t="shared" si="57"/>
        <v>0.22000000000000003</v>
      </c>
    </row>
    <row r="598" spans="1:15" x14ac:dyDescent="0.35">
      <c r="A598" s="24" t="s">
        <v>233</v>
      </c>
      <c r="B598" s="24" t="str">
        <f t="shared" si="53"/>
        <v>cá lóc um chuốiTía tô</v>
      </c>
      <c r="C598" s="24" t="s">
        <v>8</v>
      </c>
      <c r="D598" t="s">
        <v>491</v>
      </c>
      <c r="E598" s="24" t="s">
        <v>477</v>
      </c>
      <c r="F598" t="s">
        <v>410</v>
      </c>
      <c r="G598" s="17">
        <v>0.2</v>
      </c>
      <c r="H598" s="18">
        <v>25000</v>
      </c>
      <c r="I598" s="18">
        <v>100</v>
      </c>
      <c r="J598" s="17">
        <f t="shared" si="54"/>
        <v>2E-3</v>
      </c>
      <c r="K598" s="18">
        <f t="shared" si="55"/>
        <v>50</v>
      </c>
      <c r="O598" s="130">
        <f t="shared" si="57"/>
        <v>0.22000000000000003</v>
      </c>
    </row>
    <row r="599" spans="1:15" x14ac:dyDescent="0.35">
      <c r="A599" s="24" t="s">
        <v>233</v>
      </c>
      <c r="B599" s="24" t="str">
        <f t="shared" si="53"/>
        <v>khổ qua nhồi thịtKhổ qua</v>
      </c>
      <c r="C599" s="24" t="s">
        <v>8</v>
      </c>
      <c r="D599" t="s">
        <v>12</v>
      </c>
      <c r="E599" t="s">
        <v>496</v>
      </c>
      <c r="F599" t="s">
        <v>178</v>
      </c>
      <c r="G599" s="17">
        <v>3.5</v>
      </c>
      <c r="H599" s="18">
        <v>20000</v>
      </c>
      <c r="I599" s="18">
        <v>60</v>
      </c>
      <c r="J599" s="17">
        <f t="shared" si="54"/>
        <v>5.8333333333333334E-2</v>
      </c>
      <c r="K599" s="18">
        <f t="shared" si="55"/>
        <v>1166.6666666666667</v>
      </c>
    </row>
    <row r="600" spans="1:15" x14ac:dyDescent="0.35">
      <c r="A600" s="24" t="s">
        <v>233</v>
      </c>
      <c r="B600" s="24" t="str">
        <f t="shared" si="53"/>
        <v>khổ qua nhồi thịtChả quết</v>
      </c>
      <c r="C600" s="24" t="s">
        <v>8</v>
      </c>
      <c r="D600" t="s">
        <v>12</v>
      </c>
      <c r="E600" t="s">
        <v>496</v>
      </c>
      <c r="F600" t="s">
        <v>166</v>
      </c>
      <c r="G600" s="17">
        <v>0.7</v>
      </c>
      <c r="H600" s="18">
        <v>13000</v>
      </c>
      <c r="I600" s="18">
        <v>60</v>
      </c>
      <c r="J600" s="17">
        <f t="shared" si="54"/>
        <v>1.1666666666666665E-2</v>
      </c>
      <c r="K600" s="18">
        <f t="shared" si="55"/>
        <v>151.66666666666666</v>
      </c>
    </row>
    <row r="601" spans="1:15" x14ac:dyDescent="0.35">
      <c r="A601" s="24" t="s">
        <v>233</v>
      </c>
      <c r="B601" s="24" t="str">
        <f t="shared" si="53"/>
        <v>khổ qua nhồi thịtThịt xay có mỡ</v>
      </c>
      <c r="C601" s="24" t="s">
        <v>8</v>
      </c>
      <c r="D601" t="s">
        <v>12</v>
      </c>
      <c r="E601" t="s">
        <v>496</v>
      </c>
      <c r="F601" t="s">
        <v>429</v>
      </c>
      <c r="G601" s="17">
        <v>0.5</v>
      </c>
      <c r="H601" s="18">
        <v>70000</v>
      </c>
      <c r="I601" s="18">
        <v>60</v>
      </c>
      <c r="J601" s="17">
        <f t="shared" si="54"/>
        <v>8.3333333333333332E-3</v>
      </c>
      <c r="K601" s="18">
        <f t="shared" si="55"/>
        <v>583.33333333333337</v>
      </c>
    </row>
    <row r="602" spans="1:15" x14ac:dyDescent="0.35">
      <c r="A602" s="24" t="s">
        <v>233</v>
      </c>
      <c r="B602" s="24" t="str">
        <f t="shared" si="53"/>
        <v>khổ qua nhồi thịtNấm mèo khô</v>
      </c>
      <c r="C602" s="24" t="s">
        <v>8</v>
      </c>
      <c r="D602" t="s">
        <v>12</v>
      </c>
      <c r="E602" t="s">
        <v>496</v>
      </c>
      <c r="F602" t="s">
        <v>357</v>
      </c>
      <c r="G602" s="17">
        <v>0.2</v>
      </c>
      <c r="H602" s="18">
        <v>220000</v>
      </c>
      <c r="I602" s="18">
        <v>60</v>
      </c>
      <c r="J602" s="17">
        <f t="shared" si="54"/>
        <v>3.3333333333333335E-3</v>
      </c>
      <c r="K602" s="18">
        <f t="shared" si="55"/>
        <v>733.33333333333337</v>
      </c>
    </row>
    <row r="603" spans="1:15" x14ac:dyDescent="0.35">
      <c r="A603" s="24" t="s">
        <v>233</v>
      </c>
      <c r="B603" s="24" t="str">
        <f t="shared" si="53"/>
        <v>khổ qua nhồi thịtHành lá</v>
      </c>
      <c r="C603" s="24" t="s">
        <v>8</v>
      </c>
      <c r="D603" t="s">
        <v>12</v>
      </c>
      <c r="E603" t="s">
        <v>496</v>
      </c>
      <c r="F603" t="s">
        <v>24</v>
      </c>
      <c r="G603" s="17">
        <v>0.3</v>
      </c>
      <c r="H603" s="18">
        <v>20000</v>
      </c>
      <c r="I603" s="18">
        <v>60</v>
      </c>
      <c r="J603" s="17">
        <f t="shared" si="54"/>
        <v>5.0000000000000001E-3</v>
      </c>
      <c r="K603" s="18">
        <f t="shared" si="55"/>
        <v>100</v>
      </c>
    </row>
    <row r="604" spans="1:15" x14ac:dyDescent="0.35">
      <c r="A604" s="24" t="s">
        <v>233</v>
      </c>
      <c r="B604" s="24" t="str">
        <f t="shared" si="53"/>
        <v>canh chua cá đuốiThơm</v>
      </c>
      <c r="C604" s="24" t="s">
        <v>8</v>
      </c>
      <c r="D604" t="s">
        <v>12</v>
      </c>
      <c r="E604" t="s">
        <v>497</v>
      </c>
      <c r="F604" t="s">
        <v>4</v>
      </c>
      <c r="G604" s="17">
        <v>2</v>
      </c>
      <c r="H604" s="18">
        <v>17000</v>
      </c>
      <c r="I604" s="18">
        <v>175</v>
      </c>
      <c r="J604" s="17">
        <f t="shared" si="54"/>
        <v>1.1428571428571429E-2</v>
      </c>
      <c r="K604" s="18">
        <f t="shared" si="55"/>
        <v>194.28571428571428</v>
      </c>
    </row>
    <row r="605" spans="1:15" x14ac:dyDescent="0.35">
      <c r="A605" s="24" t="s">
        <v>233</v>
      </c>
      <c r="B605" s="24" t="str">
        <f t="shared" si="53"/>
        <v>canh chua cá đuốiCà chua</v>
      </c>
      <c r="C605" s="24" t="s">
        <v>8</v>
      </c>
      <c r="D605" t="s">
        <v>12</v>
      </c>
      <c r="E605" t="s">
        <v>497</v>
      </c>
      <c r="F605" t="s">
        <v>14</v>
      </c>
      <c r="G605" s="17">
        <v>0.5</v>
      </c>
      <c r="H605" s="18">
        <v>15000</v>
      </c>
      <c r="I605" s="18">
        <v>175</v>
      </c>
      <c r="J605" s="17">
        <f t="shared" si="54"/>
        <v>2.8571428571428571E-3</v>
      </c>
      <c r="K605" s="18">
        <f t="shared" si="55"/>
        <v>42.857142857142854</v>
      </c>
    </row>
    <row r="606" spans="1:15" x14ac:dyDescent="0.35">
      <c r="A606" s="24" t="s">
        <v>233</v>
      </c>
      <c r="B606" s="24" t="str">
        <f t="shared" si="53"/>
        <v>canh chua cá đuốiMăng chua</v>
      </c>
      <c r="C606" s="24" t="s">
        <v>8</v>
      </c>
      <c r="D606" t="s">
        <v>12</v>
      </c>
      <c r="E606" t="s">
        <v>497</v>
      </c>
      <c r="F606" t="s">
        <v>189</v>
      </c>
      <c r="G606" s="17">
        <v>1</v>
      </c>
      <c r="H606" s="18">
        <v>25000</v>
      </c>
      <c r="I606" s="18">
        <v>175</v>
      </c>
      <c r="J606" s="17">
        <f t="shared" si="54"/>
        <v>5.7142857142857143E-3</v>
      </c>
      <c r="K606" s="18">
        <f t="shared" si="55"/>
        <v>142.85714285714286</v>
      </c>
    </row>
    <row r="607" spans="1:15" x14ac:dyDescent="0.35">
      <c r="A607" s="24" t="s">
        <v>233</v>
      </c>
      <c r="B607" s="24" t="str">
        <f t="shared" si="53"/>
        <v>canh chua cá đuốiGiá giò</v>
      </c>
      <c r="C607" s="24" t="s">
        <v>8</v>
      </c>
      <c r="D607" t="s">
        <v>12</v>
      </c>
      <c r="E607" t="s">
        <v>497</v>
      </c>
      <c r="F607" t="s">
        <v>384</v>
      </c>
      <c r="G607" s="17">
        <v>3</v>
      </c>
      <c r="H607" s="18">
        <v>10000</v>
      </c>
      <c r="I607" s="18">
        <v>175</v>
      </c>
      <c r="J607" s="17">
        <f t="shared" si="54"/>
        <v>1.7142857142857144E-2</v>
      </c>
      <c r="K607" s="18">
        <f t="shared" si="55"/>
        <v>171.42857142857142</v>
      </c>
    </row>
    <row r="608" spans="1:15" x14ac:dyDescent="0.35">
      <c r="A608" s="24" t="s">
        <v>233</v>
      </c>
      <c r="B608" s="24" t="str">
        <f t="shared" si="53"/>
        <v>canh chua cá đuốiLá lót</v>
      </c>
      <c r="C608" s="24" t="s">
        <v>8</v>
      </c>
      <c r="D608" t="s">
        <v>12</v>
      </c>
      <c r="E608" t="s">
        <v>497</v>
      </c>
      <c r="F608" t="s">
        <v>341</v>
      </c>
      <c r="G608" s="17">
        <v>0.2</v>
      </c>
      <c r="H608" s="18">
        <v>25000</v>
      </c>
      <c r="I608" s="18">
        <v>175</v>
      </c>
      <c r="J608" s="17">
        <f t="shared" si="54"/>
        <v>1.1428571428571429E-3</v>
      </c>
      <c r="K608" s="18">
        <f t="shared" si="55"/>
        <v>28.571428571428573</v>
      </c>
    </row>
    <row r="609" spans="1:11" x14ac:dyDescent="0.35">
      <c r="A609" s="24" t="s">
        <v>233</v>
      </c>
      <c r="B609" s="24" t="str">
        <f t="shared" si="53"/>
        <v>canh chua cá đuốiNgũ điếc</v>
      </c>
      <c r="C609" s="24" t="s">
        <v>8</v>
      </c>
      <c r="D609" t="s">
        <v>12</v>
      </c>
      <c r="E609" t="s">
        <v>497</v>
      </c>
      <c r="F609" t="s">
        <v>373</v>
      </c>
      <c r="G609" s="17">
        <v>0.2</v>
      </c>
      <c r="H609" s="18">
        <v>25000</v>
      </c>
      <c r="I609" s="18">
        <v>175</v>
      </c>
      <c r="J609" s="17">
        <f t="shared" si="54"/>
        <v>1.1428571428571429E-3</v>
      </c>
      <c r="K609" s="18">
        <f t="shared" si="55"/>
        <v>28.571428571428573</v>
      </c>
    </row>
    <row r="610" spans="1:11" x14ac:dyDescent="0.35">
      <c r="A610" s="24" t="s">
        <v>233</v>
      </c>
      <c r="B610" s="24" t="str">
        <f t="shared" si="53"/>
        <v>canh chua cá đuốiMe chua</v>
      </c>
      <c r="C610" s="24" t="s">
        <v>8</v>
      </c>
      <c r="D610" t="s">
        <v>12</v>
      </c>
      <c r="E610" t="s">
        <v>497</v>
      </c>
      <c r="F610" t="s">
        <v>391</v>
      </c>
      <c r="G610" s="17">
        <v>0.2</v>
      </c>
      <c r="H610" s="18">
        <v>15000</v>
      </c>
      <c r="I610" s="18">
        <v>175</v>
      </c>
      <c r="J610" s="17">
        <f t="shared" si="54"/>
        <v>1.1428571428571429E-3</v>
      </c>
      <c r="K610" s="18">
        <f t="shared" si="55"/>
        <v>17.142857142857142</v>
      </c>
    </row>
    <row r="611" spans="1:11" x14ac:dyDescent="0.35">
      <c r="A611" s="24" t="s">
        <v>233</v>
      </c>
      <c r="B611" s="24" t="str">
        <f t="shared" si="53"/>
        <v>canh chua cá đuốiCá đuối nhỏ</v>
      </c>
      <c r="C611" s="24" t="s">
        <v>8</v>
      </c>
      <c r="D611" t="s">
        <v>12</v>
      </c>
      <c r="E611" t="s">
        <v>497</v>
      </c>
      <c r="F611" t="s">
        <v>453</v>
      </c>
      <c r="G611" s="17">
        <v>7</v>
      </c>
      <c r="H611" s="18">
        <v>70000</v>
      </c>
      <c r="I611" s="18">
        <v>175</v>
      </c>
      <c r="J611" s="17">
        <f t="shared" si="54"/>
        <v>0.04</v>
      </c>
      <c r="K611" s="18">
        <f t="shared" si="55"/>
        <v>2800</v>
      </c>
    </row>
    <row r="612" spans="1:11" x14ac:dyDescent="0.35">
      <c r="A612" s="24" t="s">
        <v>233</v>
      </c>
      <c r="B612" s="24" t="str">
        <f t="shared" si="53"/>
        <v>heo quayBa chỉ heo lóc sườn</v>
      </c>
      <c r="C612" s="24" t="s">
        <v>8</v>
      </c>
      <c r="D612" t="s">
        <v>498</v>
      </c>
      <c r="E612" t="s">
        <v>499</v>
      </c>
      <c r="F612" t="s">
        <v>454</v>
      </c>
      <c r="G612" s="17">
        <v>6.3</v>
      </c>
      <c r="H612" s="18">
        <v>90000</v>
      </c>
      <c r="I612" s="18">
        <v>56</v>
      </c>
      <c r="J612" s="17">
        <f t="shared" si="54"/>
        <v>0.1125</v>
      </c>
      <c r="K612" s="18">
        <f t="shared" si="55"/>
        <v>10125</v>
      </c>
    </row>
    <row r="613" spans="1:11" x14ac:dyDescent="0.35">
      <c r="A613" s="24" t="s">
        <v>233</v>
      </c>
      <c r="B613" s="24" t="str">
        <f t="shared" si="53"/>
        <v>heo quaySả</v>
      </c>
      <c r="C613" s="24" t="s">
        <v>8</v>
      </c>
      <c r="D613" t="s">
        <v>498</v>
      </c>
      <c r="E613" t="s">
        <v>499</v>
      </c>
      <c r="F613" t="s">
        <v>207</v>
      </c>
      <c r="G613" s="17">
        <v>0.3</v>
      </c>
      <c r="H613" s="18">
        <v>25000</v>
      </c>
      <c r="I613" s="18">
        <v>56</v>
      </c>
      <c r="J613" s="17">
        <f t="shared" si="54"/>
        <v>5.3571428571428572E-3</v>
      </c>
      <c r="K613" s="18">
        <f t="shared" si="55"/>
        <v>133.92857142857142</v>
      </c>
    </row>
    <row r="614" spans="1:11" x14ac:dyDescent="0.35">
      <c r="A614" s="24" t="s">
        <v>233</v>
      </c>
      <c r="B614" s="24" t="str">
        <f t="shared" si="53"/>
        <v>heo quayCà chua</v>
      </c>
      <c r="C614" s="24" t="s">
        <v>8</v>
      </c>
      <c r="D614" t="s">
        <v>498</v>
      </c>
      <c r="E614" t="s">
        <v>499</v>
      </c>
      <c r="F614" t="s">
        <v>14</v>
      </c>
      <c r="G614" s="17">
        <v>0.5</v>
      </c>
      <c r="H614" s="18">
        <v>15000</v>
      </c>
      <c r="I614" s="18">
        <v>56</v>
      </c>
      <c r="J614" s="17">
        <f t="shared" si="54"/>
        <v>8.9285714285714281E-3</v>
      </c>
      <c r="K614" s="18">
        <f t="shared" si="55"/>
        <v>133.92857142857142</v>
      </c>
    </row>
    <row r="615" spans="1:11" x14ac:dyDescent="0.35">
      <c r="A615" s="24" t="s">
        <v>233</v>
      </c>
      <c r="B615" s="24" t="str">
        <f t="shared" si="53"/>
        <v>heo quayDưa leo</v>
      </c>
      <c r="C615" s="24" t="s">
        <v>8</v>
      </c>
      <c r="D615" t="s">
        <v>498</v>
      </c>
      <c r="E615" t="s">
        <v>499</v>
      </c>
      <c r="F615" t="s">
        <v>301</v>
      </c>
      <c r="G615" s="17">
        <v>1</v>
      </c>
      <c r="H615" s="18">
        <v>12000</v>
      </c>
      <c r="I615" s="18">
        <v>56</v>
      </c>
      <c r="J615" s="17">
        <f t="shared" si="54"/>
        <v>1.7857142857142856E-2</v>
      </c>
      <c r="K615" s="18">
        <f t="shared" si="55"/>
        <v>214.28571428571428</v>
      </c>
    </row>
    <row r="616" spans="1:11" x14ac:dyDescent="0.35">
      <c r="A616" s="24" t="s">
        <v>233</v>
      </c>
      <c r="B616" s="24" t="str">
        <f t="shared" si="53"/>
        <v>đùi gà rô tyđùi gà tỏi lớn</v>
      </c>
      <c r="C616" s="24" t="s">
        <v>8</v>
      </c>
      <c r="D616" t="s">
        <v>498</v>
      </c>
      <c r="E616" t="s">
        <v>501</v>
      </c>
      <c r="F616" t="s">
        <v>500</v>
      </c>
      <c r="G616" s="17">
        <v>15</v>
      </c>
      <c r="H616" s="18">
        <v>40000</v>
      </c>
      <c r="I616" s="18">
        <v>60</v>
      </c>
      <c r="J616" s="17">
        <f t="shared" si="54"/>
        <v>0.25</v>
      </c>
      <c r="K616" s="18">
        <f t="shared" si="55"/>
        <v>10000</v>
      </c>
    </row>
    <row r="617" spans="1:11" x14ac:dyDescent="0.35">
      <c r="A617" s="24" t="s">
        <v>233</v>
      </c>
      <c r="B617" s="24" t="str">
        <f t="shared" si="53"/>
        <v>đùi gà rô tySả</v>
      </c>
      <c r="C617" s="24" t="s">
        <v>8</v>
      </c>
      <c r="D617" t="s">
        <v>498</v>
      </c>
      <c r="E617" t="s">
        <v>501</v>
      </c>
      <c r="F617" t="s">
        <v>207</v>
      </c>
      <c r="G617" s="17">
        <v>0.3</v>
      </c>
      <c r="H617" s="18">
        <v>25000</v>
      </c>
      <c r="I617" s="18">
        <v>60</v>
      </c>
      <c r="J617" s="17">
        <f t="shared" si="54"/>
        <v>5.0000000000000001E-3</v>
      </c>
      <c r="K617" s="18">
        <f t="shared" si="55"/>
        <v>125</v>
      </c>
    </row>
    <row r="618" spans="1:11" x14ac:dyDescent="0.35">
      <c r="A618" s="24" t="s">
        <v>233</v>
      </c>
      <c r="B618" s="24" t="str">
        <f t="shared" si="53"/>
        <v>đùi gà rô tyCà chua</v>
      </c>
      <c r="C618" s="24" t="s">
        <v>8</v>
      </c>
      <c r="D618" t="s">
        <v>498</v>
      </c>
      <c r="E618" t="s">
        <v>501</v>
      </c>
      <c r="F618" t="s">
        <v>14</v>
      </c>
      <c r="G618" s="17">
        <v>0.64262295081967213</v>
      </c>
      <c r="H618" s="18">
        <v>15000</v>
      </c>
      <c r="I618" s="18">
        <v>60</v>
      </c>
      <c r="J618" s="17">
        <f t="shared" si="54"/>
        <v>1.0710382513661203E-2</v>
      </c>
      <c r="K618" s="18">
        <f t="shared" si="55"/>
        <v>160.65573770491804</v>
      </c>
    </row>
    <row r="619" spans="1:11" x14ac:dyDescent="0.35">
      <c r="A619" s="24" t="s">
        <v>233</v>
      </c>
      <c r="B619" s="24" t="str">
        <f t="shared" si="53"/>
        <v>đùi gà rô tyDưa leo</v>
      </c>
      <c r="C619" s="24" t="s">
        <v>8</v>
      </c>
      <c r="D619" t="s">
        <v>498</v>
      </c>
      <c r="E619" t="s">
        <v>501</v>
      </c>
      <c r="F619" t="s">
        <v>301</v>
      </c>
      <c r="G619" s="17">
        <v>1.2</v>
      </c>
      <c r="H619" s="18">
        <v>12000</v>
      </c>
      <c r="I619" s="18">
        <v>60</v>
      </c>
      <c r="J619" s="17">
        <f t="shared" si="54"/>
        <v>0.02</v>
      </c>
      <c r="K619" s="18">
        <f t="shared" si="55"/>
        <v>240</v>
      </c>
    </row>
    <row r="620" spans="1:11" x14ac:dyDescent="0.35">
      <c r="A620" s="24" t="s">
        <v>233</v>
      </c>
      <c r="B620" s="24" t="str">
        <f t="shared" si="53"/>
        <v>gà chặt phâygà kiến thùng</v>
      </c>
      <c r="C620" s="24" t="s">
        <v>8</v>
      </c>
      <c r="D620" t="s">
        <v>498</v>
      </c>
      <c r="E620" s="24" t="s">
        <v>502</v>
      </c>
      <c r="F620" s="24" t="s">
        <v>503</v>
      </c>
      <c r="G620" s="17">
        <v>15.5</v>
      </c>
      <c r="H620" s="18">
        <v>70000</v>
      </c>
      <c r="I620" s="18">
        <v>100</v>
      </c>
      <c r="J620" s="17">
        <f t="shared" si="54"/>
        <v>0.155</v>
      </c>
      <c r="K620" s="18">
        <f t="shared" si="55"/>
        <v>10850</v>
      </c>
    </row>
    <row r="621" spans="1:11" x14ac:dyDescent="0.35">
      <c r="A621" s="24" t="s">
        <v>233</v>
      </c>
      <c r="B621" s="24" t="str">
        <f t="shared" si="53"/>
        <v>gà chặt phâyhành tây</v>
      </c>
      <c r="C621" s="24" t="s">
        <v>8</v>
      </c>
      <c r="D621" t="s">
        <v>498</v>
      </c>
      <c r="E621" s="24" t="s">
        <v>502</v>
      </c>
      <c r="F621" s="24" t="s">
        <v>418</v>
      </c>
      <c r="G621" s="17">
        <v>2.5</v>
      </c>
      <c r="H621" s="18">
        <v>15000</v>
      </c>
      <c r="I621" s="18">
        <v>100</v>
      </c>
      <c r="J621" s="17">
        <f t="shared" si="54"/>
        <v>2.5000000000000001E-2</v>
      </c>
      <c r="K621" s="18">
        <f t="shared" si="55"/>
        <v>375</v>
      </c>
    </row>
    <row r="622" spans="1:11" x14ac:dyDescent="0.35">
      <c r="A622" s="24" t="s">
        <v>233</v>
      </c>
      <c r="B622" s="24" t="str">
        <f t="shared" si="53"/>
        <v>gà chặt phâyrau răm</v>
      </c>
      <c r="C622" s="24" t="s">
        <v>8</v>
      </c>
      <c r="D622" t="s">
        <v>498</v>
      </c>
      <c r="E622" s="24" t="s">
        <v>502</v>
      </c>
      <c r="F622" s="24" t="s">
        <v>420</v>
      </c>
      <c r="G622" s="17">
        <v>0.4</v>
      </c>
      <c r="H622" s="18">
        <v>25000</v>
      </c>
      <c r="I622" s="18">
        <v>100</v>
      </c>
      <c r="J622" s="17">
        <f t="shared" si="54"/>
        <v>4.0000000000000001E-3</v>
      </c>
      <c r="K622" s="18">
        <f t="shared" si="55"/>
        <v>100</v>
      </c>
    </row>
    <row r="623" spans="1:11" x14ac:dyDescent="0.35">
      <c r="A623" s="24" t="s">
        <v>233</v>
      </c>
      <c r="B623" s="24" t="str">
        <f t="shared" si="53"/>
        <v>gà chặt phâyrau quế</v>
      </c>
      <c r="C623" s="24" t="s">
        <v>8</v>
      </c>
      <c r="D623" t="s">
        <v>498</v>
      </c>
      <c r="E623" s="24" t="s">
        <v>502</v>
      </c>
      <c r="F623" s="24" t="s">
        <v>401</v>
      </c>
      <c r="G623" s="17">
        <v>0.3</v>
      </c>
      <c r="H623" s="18">
        <v>25000</v>
      </c>
      <c r="I623" s="18">
        <v>100</v>
      </c>
      <c r="J623" s="17">
        <f t="shared" si="54"/>
        <v>3.0000000000000001E-3</v>
      </c>
      <c r="K623" s="18">
        <f t="shared" si="55"/>
        <v>75</v>
      </c>
    </row>
    <row r="624" spans="1:11" x14ac:dyDescent="0.35">
      <c r="A624" s="24" t="s">
        <v>233</v>
      </c>
      <c r="B624" s="24" t="str">
        <f t="shared" si="53"/>
        <v>cơm gà xégà kiến thùng</v>
      </c>
      <c r="C624" s="24" t="s">
        <v>8</v>
      </c>
      <c r="D624" t="s">
        <v>498</v>
      </c>
      <c r="E624" s="24" t="s">
        <v>504</v>
      </c>
      <c r="F624" s="24" t="s">
        <v>503</v>
      </c>
      <c r="G624" s="17">
        <v>12</v>
      </c>
      <c r="H624" s="18">
        <v>70000</v>
      </c>
      <c r="I624" s="18">
        <v>100</v>
      </c>
      <c r="J624" s="17">
        <f t="shared" si="54"/>
        <v>0.12</v>
      </c>
      <c r="K624" s="18">
        <f t="shared" si="55"/>
        <v>8400</v>
      </c>
    </row>
    <row r="625" spans="1:11" x14ac:dyDescent="0.35">
      <c r="A625" s="24" t="s">
        <v>233</v>
      </c>
      <c r="B625" s="24" t="str">
        <f t="shared" ref="B625:B690" si="58">E625&amp;F625</f>
        <v>cơm gà xéhành tây</v>
      </c>
      <c r="C625" s="24" t="s">
        <v>8</v>
      </c>
      <c r="D625" t="s">
        <v>498</v>
      </c>
      <c r="E625" s="24" t="s">
        <v>504</v>
      </c>
      <c r="F625" s="24" t="s">
        <v>418</v>
      </c>
      <c r="G625" s="17">
        <v>3</v>
      </c>
      <c r="H625" s="18">
        <v>15000</v>
      </c>
      <c r="I625" s="18">
        <v>100</v>
      </c>
      <c r="J625" s="17">
        <f t="shared" si="54"/>
        <v>0.03</v>
      </c>
      <c r="K625" s="18">
        <f t="shared" si="55"/>
        <v>450</v>
      </c>
    </row>
    <row r="626" spans="1:11" x14ac:dyDescent="0.35">
      <c r="A626" s="24" t="s">
        <v>233</v>
      </c>
      <c r="B626" s="24" t="str">
        <f t="shared" si="58"/>
        <v>cơm gà xérau răm</v>
      </c>
      <c r="C626" s="24" t="s">
        <v>8</v>
      </c>
      <c r="D626" t="s">
        <v>498</v>
      </c>
      <c r="E626" s="24" t="s">
        <v>504</v>
      </c>
      <c r="F626" s="24" t="s">
        <v>420</v>
      </c>
      <c r="G626" s="17">
        <v>0.4</v>
      </c>
      <c r="H626" s="18">
        <v>25000</v>
      </c>
      <c r="I626" s="18">
        <v>100</v>
      </c>
      <c r="J626" s="17">
        <f t="shared" si="54"/>
        <v>4.0000000000000001E-3</v>
      </c>
      <c r="K626" s="18">
        <f t="shared" si="55"/>
        <v>100</v>
      </c>
    </row>
    <row r="627" spans="1:11" x14ac:dyDescent="0.35">
      <c r="A627" s="24" t="s">
        <v>233</v>
      </c>
      <c r="B627" s="24" t="str">
        <f t="shared" si="58"/>
        <v>cơm gà xérau quế</v>
      </c>
      <c r="C627" s="24" t="s">
        <v>8</v>
      </c>
      <c r="D627" t="s">
        <v>498</v>
      </c>
      <c r="E627" s="24" t="s">
        <v>504</v>
      </c>
      <c r="F627" s="24" t="s">
        <v>401</v>
      </c>
      <c r="G627" s="17">
        <v>0.3</v>
      </c>
      <c r="H627" s="18">
        <v>25000</v>
      </c>
      <c r="I627" s="18">
        <v>100</v>
      </c>
      <c r="J627" s="17">
        <f t="shared" si="54"/>
        <v>3.0000000000000001E-3</v>
      </c>
      <c r="K627" s="18">
        <f t="shared" si="55"/>
        <v>75</v>
      </c>
    </row>
    <row r="628" spans="1:11" x14ac:dyDescent="0.35">
      <c r="A628" s="24" t="s">
        <v>233</v>
      </c>
      <c r="B628" s="24" t="str">
        <f t="shared" si="58"/>
        <v>cơm gà xémá đùi gà</v>
      </c>
      <c r="C628" s="24" t="s">
        <v>8</v>
      </c>
      <c r="D628" t="s">
        <v>498</v>
      </c>
      <c r="E628" s="24" t="s">
        <v>504</v>
      </c>
      <c r="F628" s="24" t="s">
        <v>464</v>
      </c>
      <c r="G628" s="17">
        <v>3</v>
      </c>
      <c r="H628" s="18">
        <v>40000</v>
      </c>
      <c r="I628" s="18">
        <v>100</v>
      </c>
      <c r="J628" s="17">
        <f t="shared" si="54"/>
        <v>0.03</v>
      </c>
      <c r="K628" s="18">
        <f t="shared" si="55"/>
        <v>1200</v>
      </c>
    </row>
    <row r="629" spans="1:11" x14ac:dyDescent="0.35">
      <c r="A629" s="24" t="s">
        <v>233</v>
      </c>
      <c r="B629" s="24" t="str">
        <f t="shared" si="58"/>
        <v>cơm gà xéhành phi</v>
      </c>
      <c r="C629" s="24" t="s">
        <v>8</v>
      </c>
      <c r="D629" t="s">
        <v>498</v>
      </c>
      <c r="E629" s="24" t="s">
        <v>504</v>
      </c>
      <c r="F629" s="24" t="s">
        <v>449</v>
      </c>
      <c r="G629" s="17">
        <v>0.4</v>
      </c>
      <c r="H629" s="18">
        <v>50000</v>
      </c>
      <c r="I629" s="18">
        <v>100</v>
      </c>
      <c r="J629" s="17">
        <f t="shared" si="54"/>
        <v>4.0000000000000001E-3</v>
      </c>
      <c r="K629" s="18">
        <f t="shared" si="55"/>
        <v>200</v>
      </c>
    </row>
    <row r="630" spans="1:11" x14ac:dyDescent="0.35">
      <c r="A630" s="24" t="s">
        <v>233</v>
      </c>
      <c r="B630" s="24" t="str">
        <f t="shared" si="58"/>
        <v>sườn non nướngsườn bẹ heo pater</v>
      </c>
      <c r="C630" s="24" t="s">
        <v>8</v>
      </c>
      <c r="D630" t="s">
        <v>498</v>
      </c>
      <c r="E630" s="24" t="s">
        <v>505</v>
      </c>
      <c r="F630" s="24" t="s">
        <v>506</v>
      </c>
      <c r="G630" s="17">
        <v>11</v>
      </c>
      <c r="H630" s="18">
        <v>80000</v>
      </c>
      <c r="I630" s="18">
        <v>100</v>
      </c>
      <c r="J630" s="17">
        <f t="shared" si="54"/>
        <v>0.11</v>
      </c>
      <c r="K630" s="18">
        <f t="shared" si="55"/>
        <v>8800</v>
      </c>
    </row>
    <row r="631" spans="1:11" x14ac:dyDescent="0.35">
      <c r="A631" s="24" t="s">
        <v>233</v>
      </c>
      <c r="B631" s="24" t="str">
        <f t="shared" si="58"/>
        <v>sườn non nướngXà lách</v>
      </c>
      <c r="C631" s="24" t="s">
        <v>8</v>
      </c>
      <c r="D631" t="s">
        <v>498</v>
      </c>
      <c r="E631" s="24" t="s">
        <v>505</v>
      </c>
      <c r="F631" s="24" t="s">
        <v>197</v>
      </c>
      <c r="G631" s="17">
        <v>1</v>
      </c>
      <c r="H631" s="18">
        <v>20000</v>
      </c>
      <c r="I631" s="18">
        <v>100</v>
      </c>
      <c r="J631" s="17">
        <f t="shared" si="54"/>
        <v>0.01</v>
      </c>
      <c r="K631" s="18">
        <f t="shared" si="55"/>
        <v>200</v>
      </c>
    </row>
    <row r="632" spans="1:11" x14ac:dyDescent="0.35">
      <c r="A632" s="24" t="s">
        <v>233</v>
      </c>
      <c r="B632" s="24" t="str">
        <f t="shared" si="58"/>
        <v>sườn non nướngCà chua</v>
      </c>
      <c r="C632" s="24" t="s">
        <v>8</v>
      </c>
      <c r="D632" t="s">
        <v>498</v>
      </c>
      <c r="E632" s="24" t="s">
        <v>505</v>
      </c>
      <c r="F632" t="s">
        <v>14</v>
      </c>
      <c r="G632" s="17">
        <v>0.8</v>
      </c>
      <c r="H632" s="18">
        <v>15000</v>
      </c>
      <c r="I632" s="18">
        <v>100</v>
      </c>
      <c r="J632" s="17">
        <f t="shared" si="54"/>
        <v>8.0000000000000002E-3</v>
      </c>
      <c r="K632" s="18">
        <f t="shared" si="55"/>
        <v>120</v>
      </c>
    </row>
    <row r="633" spans="1:11" x14ac:dyDescent="0.35">
      <c r="A633" s="24" t="s">
        <v>233</v>
      </c>
      <c r="B633" s="24" t="str">
        <f t="shared" si="58"/>
        <v>sườn non nướngDưa leo</v>
      </c>
      <c r="C633" s="24" t="s">
        <v>8</v>
      </c>
      <c r="D633" t="s">
        <v>498</v>
      </c>
      <c r="E633" s="24" t="s">
        <v>505</v>
      </c>
      <c r="F633" t="s">
        <v>301</v>
      </c>
      <c r="G633" s="17">
        <v>1.5</v>
      </c>
      <c r="H633" s="18">
        <v>12000</v>
      </c>
      <c r="I633" s="18">
        <v>100</v>
      </c>
      <c r="J633" s="17">
        <f t="shared" ref="J633:J668" si="59">G633/I633</f>
        <v>1.4999999999999999E-2</v>
      </c>
      <c r="K633" s="18">
        <f t="shared" ref="K633:K666" si="60">(G633*H633)/I633</f>
        <v>180</v>
      </c>
    </row>
    <row r="634" spans="1:11" x14ac:dyDescent="0.35">
      <c r="A634" s="24" t="s">
        <v>233</v>
      </c>
      <c r="B634" s="24" t="str">
        <f t="shared" si="58"/>
        <v>canh chua cá lócThơm</v>
      </c>
      <c r="C634" s="24" t="s">
        <v>8</v>
      </c>
      <c r="D634" t="s">
        <v>508</v>
      </c>
      <c r="E634" s="24" t="s">
        <v>507</v>
      </c>
      <c r="F634" t="s">
        <v>4</v>
      </c>
      <c r="G634" s="17">
        <v>2</v>
      </c>
      <c r="H634" s="18">
        <v>17000</v>
      </c>
      <c r="I634" s="18">
        <v>175</v>
      </c>
      <c r="J634" s="17">
        <f t="shared" si="59"/>
        <v>1.1428571428571429E-2</v>
      </c>
      <c r="K634" s="18">
        <f t="shared" si="60"/>
        <v>194.28571428571428</v>
      </c>
    </row>
    <row r="635" spans="1:11" x14ac:dyDescent="0.35">
      <c r="A635" s="24" t="s">
        <v>233</v>
      </c>
      <c r="B635" s="24" t="str">
        <f t="shared" si="58"/>
        <v>canh chua cá lócCà chua</v>
      </c>
      <c r="C635" s="24" t="s">
        <v>8</v>
      </c>
      <c r="D635" t="s">
        <v>508</v>
      </c>
      <c r="E635" s="24" t="s">
        <v>507</v>
      </c>
      <c r="F635" t="s">
        <v>14</v>
      </c>
      <c r="G635" s="17">
        <v>0.5</v>
      </c>
      <c r="H635" s="18">
        <v>15000</v>
      </c>
      <c r="I635" s="18">
        <v>175</v>
      </c>
      <c r="J635" s="17">
        <f t="shared" si="59"/>
        <v>2.8571428571428571E-3</v>
      </c>
      <c r="K635" s="18">
        <f t="shared" si="60"/>
        <v>42.857142857142854</v>
      </c>
    </row>
    <row r="636" spans="1:11" x14ac:dyDescent="0.35">
      <c r="A636" s="24" t="s">
        <v>233</v>
      </c>
      <c r="B636" s="24" t="str">
        <f t="shared" si="58"/>
        <v>canh chua cá lócMăng chua</v>
      </c>
      <c r="C636" s="24" t="s">
        <v>8</v>
      </c>
      <c r="D636" t="s">
        <v>508</v>
      </c>
      <c r="E636" s="24" t="s">
        <v>507</v>
      </c>
      <c r="F636" t="s">
        <v>189</v>
      </c>
      <c r="G636" s="17">
        <v>1</v>
      </c>
      <c r="H636" s="18">
        <v>25000</v>
      </c>
      <c r="I636" s="18">
        <v>175</v>
      </c>
      <c r="J636" s="17">
        <f t="shared" si="59"/>
        <v>5.7142857142857143E-3</v>
      </c>
      <c r="K636" s="18">
        <f t="shared" si="60"/>
        <v>142.85714285714286</v>
      </c>
    </row>
    <row r="637" spans="1:11" x14ac:dyDescent="0.35">
      <c r="A637" s="24" t="s">
        <v>233</v>
      </c>
      <c r="B637" s="24" t="str">
        <f t="shared" si="58"/>
        <v>canh chua cá lócGiá giò</v>
      </c>
      <c r="C637" s="24" t="s">
        <v>8</v>
      </c>
      <c r="D637" t="s">
        <v>508</v>
      </c>
      <c r="E637" s="24" t="s">
        <v>507</v>
      </c>
      <c r="F637" t="s">
        <v>384</v>
      </c>
      <c r="G637" s="17">
        <v>3</v>
      </c>
      <c r="H637" s="18">
        <v>10000</v>
      </c>
      <c r="I637" s="18">
        <v>175</v>
      </c>
      <c r="J637" s="17">
        <f t="shared" si="59"/>
        <v>1.7142857142857144E-2</v>
      </c>
      <c r="K637" s="18">
        <f t="shared" si="60"/>
        <v>171.42857142857142</v>
      </c>
    </row>
    <row r="638" spans="1:11" x14ac:dyDescent="0.35">
      <c r="A638" s="24" t="s">
        <v>233</v>
      </c>
      <c r="B638" s="24" t="str">
        <f t="shared" si="58"/>
        <v>canh chua cá lócLá lót</v>
      </c>
      <c r="C638" s="24" t="s">
        <v>8</v>
      </c>
      <c r="D638" t="s">
        <v>508</v>
      </c>
      <c r="E638" s="24" t="s">
        <v>507</v>
      </c>
      <c r="F638" t="s">
        <v>341</v>
      </c>
      <c r="G638" s="17">
        <v>0.2</v>
      </c>
      <c r="H638" s="18">
        <v>25000</v>
      </c>
      <c r="I638" s="18">
        <v>175</v>
      </c>
      <c r="J638" s="17">
        <f t="shared" si="59"/>
        <v>1.1428571428571429E-3</v>
      </c>
      <c r="K638" s="18">
        <f t="shared" si="60"/>
        <v>28.571428571428573</v>
      </c>
    </row>
    <row r="639" spans="1:11" x14ac:dyDescent="0.35">
      <c r="A639" s="24" t="s">
        <v>233</v>
      </c>
      <c r="B639" s="24" t="str">
        <f t="shared" si="58"/>
        <v>canh chua cá lócNgũ điếc</v>
      </c>
      <c r="C639" s="24" t="s">
        <v>8</v>
      </c>
      <c r="D639" t="s">
        <v>508</v>
      </c>
      <c r="E639" s="24" t="s">
        <v>507</v>
      </c>
      <c r="F639" t="s">
        <v>373</v>
      </c>
      <c r="G639" s="17">
        <v>0.2</v>
      </c>
      <c r="H639" s="18">
        <v>25000</v>
      </c>
      <c r="I639" s="18">
        <v>175</v>
      </c>
      <c r="J639" s="17">
        <f t="shared" si="59"/>
        <v>1.1428571428571429E-3</v>
      </c>
      <c r="K639" s="18">
        <f t="shared" si="60"/>
        <v>28.571428571428573</v>
      </c>
    </row>
    <row r="640" spans="1:11" x14ac:dyDescent="0.35">
      <c r="A640" s="24" t="s">
        <v>233</v>
      </c>
      <c r="B640" s="24" t="str">
        <f t="shared" si="58"/>
        <v>canh chua cá lócMe chua</v>
      </c>
      <c r="C640" s="24" t="s">
        <v>8</v>
      </c>
      <c r="D640" t="s">
        <v>508</v>
      </c>
      <c r="E640" s="24" t="s">
        <v>507</v>
      </c>
      <c r="F640" t="s">
        <v>391</v>
      </c>
      <c r="G640" s="17">
        <v>0.2</v>
      </c>
      <c r="H640" s="18">
        <v>15000</v>
      </c>
      <c r="I640" s="18">
        <v>175</v>
      </c>
      <c r="J640" s="17">
        <f t="shared" si="59"/>
        <v>1.1428571428571429E-3</v>
      </c>
      <c r="K640" s="18">
        <f t="shared" si="60"/>
        <v>17.142857142857142</v>
      </c>
    </row>
    <row r="641" spans="1:11" x14ac:dyDescent="0.35">
      <c r="A641" s="24" t="s">
        <v>233</v>
      </c>
      <c r="B641" s="24" t="str">
        <f t="shared" si="58"/>
        <v>canh chua cá lócCá lóc</v>
      </c>
      <c r="C641" s="24" t="s">
        <v>8</v>
      </c>
      <c r="D641" t="s">
        <v>508</v>
      </c>
      <c r="E641" s="24" t="s">
        <v>507</v>
      </c>
      <c r="F641" t="s">
        <v>111</v>
      </c>
      <c r="G641" s="17">
        <v>5.5</v>
      </c>
      <c r="H641" s="18">
        <v>70000</v>
      </c>
      <c r="I641" s="18">
        <v>100</v>
      </c>
      <c r="J641" s="17">
        <f t="shared" si="59"/>
        <v>5.5E-2</v>
      </c>
      <c r="K641" s="18">
        <f t="shared" si="60"/>
        <v>3850</v>
      </c>
    </row>
    <row r="642" spans="1:11" x14ac:dyDescent="0.35">
      <c r="A642" s="24" t="s">
        <v>233</v>
      </c>
      <c r="B642" s="24" t="str">
        <f t="shared" si="58"/>
        <v>bún trộn tôm thịtbún khô</v>
      </c>
      <c r="C642" s="24" t="s">
        <v>8</v>
      </c>
      <c r="D642" t="s">
        <v>512</v>
      </c>
      <c r="E642" s="24" t="s">
        <v>510</v>
      </c>
      <c r="F642" t="s">
        <v>463</v>
      </c>
      <c r="G642" s="17">
        <v>1.5</v>
      </c>
      <c r="H642" s="18">
        <v>25000</v>
      </c>
      <c r="I642" s="18">
        <v>53</v>
      </c>
      <c r="J642" s="17">
        <f t="shared" si="59"/>
        <v>2.8301886792452831E-2</v>
      </c>
      <c r="K642" s="18">
        <f t="shared" si="60"/>
        <v>707.54716981132071</v>
      </c>
    </row>
    <row r="643" spans="1:11" x14ac:dyDescent="0.35">
      <c r="A643" s="24" t="s">
        <v>233</v>
      </c>
      <c r="B643" s="24" t="str">
        <f t="shared" si="58"/>
        <v>bún trộn tôm thịtRau húng</v>
      </c>
      <c r="C643" s="24" t="s">
        <v>8</v>
      </c>
      <c r="D643" t="s">
        <v>512</v>
      </c>
      <c r="E643" s="24" t="s">
        <v>510</v>
      </c>
      <c r="F643" t="s">
        <v>359</v>
      </c>
      <c r="G643" s="17">
        <v>0.1</v>
      </c>
      <c r="H643" s="18">
        <v>30000</v>
      </c>
      <c r="I643" s="18">
        <v>53</v>
      </c>
      <c r="J643" s="17">
        <f t="shared" si="59"/>
        <v>1.8867924528301887E-3</v>
      </c>
      <c r="K643" s="18">
        <f t="shared" si="60"/>
        <v>56.60377358490566</v>
      </c>
    </row>
    <row r="644" spans="1:11" x14ac:dyDescent="0.35">
      <c r="A644" s="24" t="s">
        <v>233</v>
      </c>
      <c r="B644" s="24" t="str">
        <f t="shared" si="58"/>
        <v>bún trộn tôm thịtNgò rí</v>
      </c>
      <c r="C644" s="24" t="s">
        <v>8</v>
      </c>
      <c r="D644" t="s">
        <v>512</v>
      </c>
      <c r="E644" s="24" t="s">
        <v>510</v>
      </c>
      <c r="F644" t="s">
        <v>369</v>
      </c>
      <c r="G644" s="17">
        <v>0.1</v>
      </c>
      <c r="H644" s="18">
        <v>30000</v>
      </c>
      <c r="I644" s="18">
        <v>53</v>
      </c>
      <c r="J644" s="17">
        <f t="shared" si="59"/>
        <v>1.8867924528301887E-3</v>
      </c>
      <c r="K644" s="18">
        <f t="shared" si="60"/>
        <v>56.60377358490566</v>
      </c>
    </row>
    <row r="645" spans="1:11" x14ac:dyDescent="0.35">
      <c r="A645" s="24" t="s">
        <v>233</v>
      </c>
      <c r="B645" s="24" t="str">
        <f t="shared" si="58"/>
        <v>bún trộn tôm thịtTôm nhỏ</v>
      </c>
      <c r="C645" s="24" t="s">
        <v>8</v>
      </c>
      <c r="D645" t="s">
        <v>512</v>
      </c>
      <c r="E645" s="24" t="s">
        <v>510</v>
      </c>
      <c r="F645" t="s">
        <v>414</v>
      </c>
      <c r="G645" s="17">
        <v>0.5</v>
      </c>
      <c r="H645" s="18">
        <v>80000</v>
      </c>
      <c r="I645" s="18">
        <v>53</v>
      </c>
      <c r="J645" s="17">
        <f t="shared" si="59"/>
        <v>9.433962264150943E-3</v>
      </c>
      <c r="K645" s="18">
        <f t="shared" si="60"/>
        <v>754.71698113207549</v>
      </c>
    </row>
    <row r="646" spans="1:11" x14ac:dyDescent="0.35">
      <c r="A646" s="24" t="s">
        <v>233</v>
      </c>
      <c r="B646" s="24" t="str">
        <f t="shared" si="58"/>
        <v>bún trộn tôm thịttép khô</v>
      </c>
      <c r="C646" s="24" t="s">
        <v>8</v>
      </c>
      <c r="D646" t="s">
        <v>512</v>
      </c>
      <c r="E646" s="24" t="s">
        <v>510</v>
      </c>
      <c r="F646" t="s">
        <v>466</v>
      </c>
      <c r="G646" s="17">
        <v>0.1</v>
      </c>
      <c r="H646" s="18">
        <v>120000</v>
      </c>
      <c r="I646" s="18">
        <v>53</v>
      </c>
      <c r="J646" s="17">
        <f t="shared" si="59"/>
        <v>1.8867924528301887E-3</v>
      </c>
      <c r="K646" s="18">
        <f t="shared" si="60"/>
        <v>226.41509433962264</v>
      </c>
    </row>
    <row r="647" spans="1:11" x14ac:dyDescent="0.35">
      <c r="A647" s="24" t="s">
        <v>233</v>
      </c>
      <c r="B647" s="24" t="str">
        <f t="shared" si="58"/>
        <v>bún trộn tôm thịtHeo nọng nạc</v>
      </c>
      <c r="C647" s="24" t="s">
        <v>8</v>
      </c>
      <c r="D647" t="s">
        <v>512</v>
      </c>
      <c r="E647" s="24" t="s">
        <v>510</v>
      </c>
      <c r="F647" t="s">
        <v>370</v>
      </c>
      <c r="G647" s="17">
        <v>0.5</v>
      </c>
      <c r="H647" s="18">
        <v>70000</v>
      </c>
      <c r="I647" s="18">
        <v>53</v>
      </c>
      <c r="J647" s="17">
        <f t="shared" si="59"/>
        <v>9.433962264150943E-3</v>
      </c>
      <c r="K647" s="18">
        <f t="shared" si="60"/>
        <v>660.37735849056605</v>
      </c>
    </row>
    <row r="648" spans="1:11" x14ac:dyDescent="0.35">
      <c r="A648" s="24" t="s">
        <v>233</v>
      </c>
      <c r="B648" s="24" t="str">
        <f t="shared" si="58"/>
        <v>bún trộn tôm thịtĐậu phộng rang</v>
      </c>
      <c r="C648" s="24" t="s">
        <v>8</v>
      </c>
      <c r="D648" t="s">
        <v>512</v>
      </c>
      <c r="E648" s="24" t="s">
        <v>510</v>
      </c>
      <c r="F648" t="s">
        <v>303</v>
      </c>
      <c r="G648" s="17">
        <v>0.3</v>
      </c>
      <c r="H648" s="18">
        <v>50000</v>
      </c>
      <c r="I648" s="18">
        <v>53</v>
      </c>
      <c r="J648" s="17">
        <f t="shared" si="59"/>
        <v>5.6603773584905656E-3</v>
      </c>
      <c r="K648" s="18">
        <f t="shared" si="60"/>
        <v>283.01886792452831</v>
      </c>
    </row>
    <row r="649" spans="1:11" x14ac:dyDescent="0.35">
      <c r="A649" s="24" t="s">
        <v>233</v>
      </c>
      <c r="B649" s="24" t="str">
        <f t="shared" si="58"/>
        <v>bún trộn tôm thịtXà lách</v>
      </c>
      <c r="C649" s="24" t="s">
        <v>8</v>
      </c>
      <c r="D649" t="s">
        <v>512</v>
      </c>
      <c r="E649" s="24" t="s">
        <v>510</v>
      </c>
      <c r="F649" t="s">
        <v>197</v>
      </c>
      <c r="G649" s="17">
        <v>0.5</v>
      </c>
      <c r="H649" s="18">
        <v>25000</v>
      </c>
      <c r="I649" s="18">
        <v>53</v>
      </c>
      <c r="J649" s="17">
        <f t="shared" si="59"/>
        <v>9.433962264150943E-3</v>
      </c>
      <c r="K649" s="18">
        <f t="shared" si="60"/>
        <v>235.84905660377359</v>
      </c>
    </row>
    <row r="650" spans="1:11" x14ac:dyDescent="0.35">
      <c r="A650" s="24" t="s">
        <v>233</v>
      </c>
      <c r="B650" s="24" t="str">
        <f t="shared" si="58"/>
        <v>bún trộn tôm thịtbông chuối</v>
      </c>
      <c r="C650" s="24" t="s">
        <v>8</v>
      </c>
      <c r="D650" t="s">
        <v>512</v>
      </c>
      <c r="E650" s="24" t="s">
        <v>510</v>
      </c>
      <c r="F650" t="s">
        <v>434</v>
      </c>
      <c r="G650" s="17">
        <v>2</v>
      </c>
      <c r="H650" s="18">
        <v>15000</v>
      </c>
      <c r="I650" s="18">
        <v>53</v>
      </c>
      <c r="J650" s="17">
        <f t="shared" si="59"/>
        <v>3.7735849056603772E-2</v>
      </c>
      <c r="K650" s="18">
        <f t="shared" si="60"/>
        <v>566.03773584905662</v>
      </c>
    </row>
    <row r="651" spans="1:11" x14ac:dyDescent="0.35">
      <c r="A651" s="24" t="s">
        <v>233</v>
      </c>
      <c r="B651" s="24" t="str">
        <f t="shared" si="58"/>
        <v>mít trộn tôm thịtMít non cục</v>
      </c>
      <c r="C651" s="24" t="s">
        <v>8</v>
      </c>
      <c r="D651" t="s">
        <v>512</v>
      </c>
      <c r="E651" s="24" t="s">
        <v>511</v>
      </c>
      <c r="F651" t="s">
        <v>361</v>
      </c>
      <c r="G651" s="17">
        <v>20</v>
      </c>
      <c r="H651" s="18">
        <v>15000</v>
      </c>
      <c r="I651" s="18">
        <v>215</v>
      </c>
      <c r="J651" s="17">
        <f t="shared" si="59"/>
        <v>9.3023255813953487E-2</v>
      </c>
      <c r="K651" s="18">
        <f t="shared" si="60"/>
        <v>1395.3488372093022</v>
      </c>
    </row>
    <row r="652" spans="1:11" x14ac:dyDescent="0.35">
      <c r="A652" s="24" t="s">
        <v>233</v>
      </c>
      <c r="B652" s="24" t="str">
        <f t="shared" si="58"/>
        <v>mít trộn tôm thịtThịt nọng nạc</v>
      </c>
      <c r="C652" s="24" t="s">
        <v>8</v>
      </c>
      <c r="D652" t="s">
        <v>512</v>
      </c>
      <c r="E652" s="24" t="s">
        <v>511</v>
      </c>
      <c r="F652" t="s">
        <v>378</v>
      </c>
      <c r="G652" s="17">
        <v>3</v>
      </c>
      <c r="H652" s="18">
        <v>70000</v>
      </c>
      <c r="I652" s="18">
        <v>215</v>
      </c>
      <c r="J652" s="17">
        <f t="shared" si="59"/>
        <v>1.3953488372093023E-2</v>
      </c>
      <c r="K652" s="18">
        <f t="shared" si="60"/>
        <v>976.74418604651157</v>
      </c>
    </row>
    <row r="653" spans="1:11" x14ac:dyDescent="0.35">
      <c r="A653" s="24" t="s">
        <v>233</v>
      </c>
      <c r="B653" s="24" t="str">
        <f t="shared" si="58"/>
        <v>mít trộn tôm thịtTôm nhỏ</v>
      </c>
      <c r="C653" s="24" t="s">
        <v>8</v>
      </c>
      <c r="D653" t="s">
        <v>512</v>
      </c>
      <c r="E653" s="24" t="s">
        <v>511</v>
      </c>
      <c r="F653" t="s">
        <v>414</v>
      </c>
      <c r="G653" s="17">
        <v>1</v>
      </c>
      <c r="H653" s="18">
        <v>80000</v>
      </c>
      <c r="I653" s="18">
        <v>215</v>
      </c>
      <c r="J653" s="17">
        <f t="shared" si="59"/>
        <v>4.6511627906976744E-3</v>
      </c>
      <c r="K653" s="18">
        <f t="shared" si="60"/>
        <v>372.09302325581393</v>
      </c>
    </row>
    <row r="654" spans="1:11" x14ac:dyDescent="0.35">
      <c r="A654" s="24" t="s">
        <v>233</v>
      </c>
      <c r="B654" s="24" t="str">
        <f t="shared" si="58"/>
        <v>mít trộn tôm thịtTép khô</v>
      </c>
      <c r="C654" s="24" t="s">
        <v>8</v>
      </c>
      <c r="D654" t="s">
        <v>512</v>
      </c>
      <c r="E654" s="24" t="s">
        <v>511</v>
      </c>
      <c r="F654" t="s">
        <v>374</v>
      </c>
      <c r="G654" s="17">
        <v>0.5</v>
      </c>
      <c r="H654" s="18">
        <v>120000</v>
      </c>
      <c r="I654" s="18">
        <v>215</v>
      </c>
      <c r="J654" s="17">
        <f t="shared" si="59"/>
        <v>2.3255813953488372E-3</v>
      </c>
      <c r="K654" s="18">
        <f t="shared" si="60"/>
        <v>279.06976744186045</v>
      </c>
    </row>
    <row r="655" spans="1:11" x14ac:dyDescent="0.35">
      <c r="A655" s="24" t="s">
        <v>233</v>
      </c>
      <c r="B655" s="24" t="str">
        <f t="shared" si="58"/>
        <v>mít trộn tôm thịtNgò gai</v>
      </c>
      <c r="C655" s="24" t="s">
        <v>8</v>
      </c>
      <c r="D655" t="s">
        <v>512</v>
      </c>
      <c r="E655" s="24" t="s">
        <v>511</v>
      </c>
      <c r="F655" t="s">
        <v>101</v>
      </c>
      <c r="G655" s="17">
        <v>0.3</v>
      </c>
      <c r="H655" s="18">
        <v>30000</v>
      </c>
      <c r="I655" s="18">
        <v>215</v>
      </c>
      <c r="J655" s="17">
        <f t="shared" si="59"/>
        <v>1.3953488372093023E-3</v>
      </c>
      <c r="K655" s="18">
        <f t="shared" si="60"/>
        <v>41.860465116279073</v>
      </c>
    </row>
    <row r="656" spans="1:11" x14ac:dyDescent="0.35">
      <c r="A656" s="24" t="s">
        <v>233</v>
      </c>
      <c r="B656" s="24" t="str">
        <f t="shared" si="58"/>
        <v>mít trộn tôm thịtĐậu phộng rang</v>
      </c>
      <c r="C656" s="24" t="s">
        <v>8</v>
      </c>
      <c r="D656" t="s">
        <v>512</v>
      </c>
      <c r="E656" s="24" t="s">
        <v>511</v>
      </c>
      <c r="F656" t="s">
        <v>303</v>
      </c>
      <c r="G656" s="17">
        <v>0.8</v>
      </c>
      <c r="H656" s="18">
        <v>50000</v>
      </c>
      <c r="I656" s="18">
        <v>215</v>
      </c>
      <c r="J656" s="17">
        <f t="shared" si="59"/>
        <v>3.7209302325581397E-3</v>
      </c>
      <c r="K656" s="18">
        <f t="shared" si="60"/>
        <v>186.04651162790697</v>
      </c>
    </row>
    <row r="657" spans="1:11" x14ac:dyDescent="0.35">
      <c r="A657" s="24" t="s">
        <v>233</v>
      </c>
      <c r="B657" s="24" t="str">
        <f t="shared" si="58"/>
        <v>thịt cuộn lá lótLá lót to</v>
      </c>
      <c r="C657" s="24" t="s">
        <v>8</v>
      </c>
      <c r="D657" t="s">
        <v>512</v>
      </c>
      <c r="E657" s="24" t="s">
        <v>513</v>
      </c>
      <c r="F657" t="s">
        <v>402</v>
      </c>
      <c r="G657" s="17">
        <v>3</v>
      </c>
      <c r="H657" s="18">
        <v>30000</v>
      </c>
      <c r="I657" s="18">
        <v>175</v>
      </c>
      <c r="J657" s="17">
        <f t="shared" si="59"/>
        <v>1.7142857142857144E-2</v>
      </c>
      <c r="K657" s="18">
        <f t="shared" si="60"/>
        <v>514.28571428571433</v>
      </c>
    </row>
    <row r="658" spans="1:11" x14ac:dyDescent="0.35">
      <c r="A658" s="24" t="s">
        <v>233</v>
      </c>
      <c r="B658" s="24" t="str">
        <f t="shared" si="58"/>
        <v>thịt cuộn lá lótThịt xay mịn</v>
      </c>
      <c r="C658" s="24" t="s">
        <v>8</v>
      </c>
      <c r="D658" t="s">
        <v>512</v>
      </c>
      <c r="E658" s="24" t="s">
        <v>513</v>
      </c>
      <c r="F658" t="s">
        <v>431</v>
      </c>
      <c r="G658" s="17">
        <v>2.7</v>
      </c>
      <c r="H658" s="18">
        <v>100000</v>
      </c>
      <c r="I658" s="18">
        <v>175</v>
      </c>
      <c r="J658" s="17">
        <f t="shared" si="59"/>
        <v>1.542857142857143E-2</v>
      </c>
      <c r="K658" s="18">
        <f t="shared" si="60"/>
        <v>1542.8571428571429</v>
      </c>
    </row>
    <row r="659" spans="1:11" x14ac:dyDescent="0.35">
      <c r="A659" s="24" t="s">
        <v>233</v>
      </c>
      <c r="B659" s="24" t="str">
        <f t="shared" si="58"/>
        <v>thịt cuộn lá lótChả quết</v>
      </c>
      <c r="C659" s="24" t="s">
        <v>8</v>
      </c>
      <c r="D659" t="s">
        <v>512</v>
      </c>
      <c r="E659" s="24" t="s">
        <v>513</v>
      </c>
      <c r="F659" t="s">
        <v>166</v>
      </c>
      <c r="G659" s="17">
        <v>1</v>
      </c>
      <c r="H659" s="18">
        <v>140000</v>
      </c>
      <c r="I659" s="18">
        <v>175</v>
      </c>
      <c r="J659" s="17">
        <f t="shared" si="59"/>
        <v>5.7142857142857143E-3</v>
      </c>
      <c r="K659" s="18">
        <f t="shared" si="60"/>
        <v>800</v>
      </c>
    </row>
    <row r="660" spans="1:11" x14ac:dyDescent="0.35">
      <c r="A660" s="24" t="s">
        <v>233</v>
      </c>
      <c r="B660" s="24" t="str">
        <f t="shared" si="58"/>
        <v>thịt cuộn lá lótSả</v>
      </c>
      <c r="C660" s="24" t="s">
        <v>8</v>
      </c>
      <c r="D660" t="s">
        <v>512</v>
      </c>
      <c r="E660" s="24" t="s">
        <v>513</v>
      </c>
      <c r="F660" t="s">
        <v>207</v>
      </c>
      <c r="G660" s="17">
        <v>0.7</v>
      </c>
      <c r="H660" s="18">
        <v>30000</v>
      </c>
      <c r="I660" s="18">
        <v>175</v>
      </c>
      <c r="J660" s="17">
        <f t="shared" si="59"/>
        <v>4.0000000000000001E-3</v>
      </c>
      <c r="K660" s="18">
        <f t="shared" si="60"/>
        <v>120</v>
      </c>
    </row>
    <row r="661" spans="1:11" x14ac:dyDescent="0.35">
      <c r="A661" s="24" t="s">
        <v>233</v>
      </c>
      <c r="B661" s="24" t="str">
        <f t="shared" si="58"/>
        <v>cà tím sốt thịt bằmcà tím</v>
      </c>
      <c r="C661" s="24" t="s">
        <v>8</v>
      </c>
      <c r="D661" t="s">
        <v>512</v>
      </c>
      <c r="E661" s="24" t="s">
        <v>514</v>
      </c>
      <c r="F661" t="s">
        <v>450</v>
      </c>
      <c r="G661" s="17">
        <v>10</v>
      </c>
      <c r="H661" s="18">
        <v>12000</v>
      </c>
      <c r="I661" s="18">
        <v>100</v>
      </c>
      <c r="J661" s="17">
        <f t="shared" si="59"/>
        <v>0.1</v>
      </c>
      <c r="K661" s="18">
        <f t="shared" si="60"/>
        <v>1200</v>
      </c>
    </row>
    <row r="662" spans="1:11" x14ac:dyDescent="0.35">
      <c r="A662" s="24" t="s">
        <v>233</v>
      </c>
      <c r="B662" s="24" t="str">
        <f t="shared" si="58"/>
        <v>cà tím sốt thịt bằmthịt xay có mỡ</v>
      </c>
      <c r="C662" s="24" t="s">
        <v>8</v>
      </c>
      <c r="D662" t="s">
        <v>512</v>
      </c>
      <c r="E662" s="24" t="s">
        <v>514</v>
      </c>
      <c r="F662" t="s">
        <v>451</v>
      </c>
      <c r="G662" s="17">
        <v>1.5</v>
      </c>
      <c r="H662" s="18">
        <v>100000</v>
      </c>
      <c r="I662" s="18">
        <v>100</v>
      </c>
      <c r="J662" s="17">
        <f t="shared" si="59"/>
        <v>1.4999999999999999E-2</v>
      </c>
      <c r="K662" s="18">
        <f t="shared" si="60"/>
        <v>1500</v>
      </c>
    </row>
    <row r="663" spans="1:11" x14ac:dyDescent="0.35">
      <c r="A663" s="24" t="s">
        <v>233</v>
      </c>
      <c r="B663" s="24" t="str">
        <f t="shared" si="58"/>
        <v>cà tím sốt thịt bằmhành lá</v>
      </c>
      <c r="C663" s="24" t="s">
        <v>8</v>
      </c>
      <c r="D663" t="s">
        <v>512</v>
      </c>
      <c r="E663" s="24" t="s">
        <v>514</v>
      </c>
      <c r="F663" t="s">
        <v>408</v>
      </c>
      <c r="G663" s="17">
        <v>0.5</v>
      </c>
      <c r="H663" s="18">
        <v>20000</v>
      </c>
      <c r="I663" s="18">
        <v>100</v>
      </c>
      <c r="J663" s="17">
        <f t="shared" si="59"/>
        <v>5.0000000000000001E-3</v>
      </c>
      <c r="K663" s="18">
        <f t="shared" si="60"/>
        <v>100</v>
      </c>
    </row>
    <row r="664" spans="1:11" x14ac:dyDescent="0.35">
      <c r="A664" s="24" t="s">
        <v>233</v>
      </c>
      <c r="B664" s="24" t="str">
        <f t="shared" si="58"/>
        <v>chả cá rim tóp mỡChả cá tấm chiên</v>
      </c>
      <c r="C664" s="24" t="s">
        <v>8</v>
      </c>
      <c r="D664" t="s">
        <v>512</v>
      </c>
      <c r="E664" s="24" t="s">
        <v>515</v>
      </c>
      <c r="F664" t="s">
        <v>268</v>
      </c>
      <c r="G664" s="17">
        <v>4.2</v>
      </c>
      <c r="H664" s="18">
        <v>70000</v>
      </c>
      <c r="I664" s="18">
        <v>100</v>
      </c>
      <c r="J664" s="17">
        <f t="shared" si="59"/>
        <v>4.2000000000000003E-2</v>
      </c>
      <c r="K664" s="18">
        <f t="shared" si="60"/>
        <v>2940</v>
      </c>
    </row>
    <row r="665" spans="1:11" x14ac:dyDescent="0.35">
      <c r="A665" s="24" t="s">
        <v>233</v>
      </c>
      <c r="B665" s="24" t="str">
        <f t="shared" si="58"/>
        <v>chả cá rim tóp mỡmỡ heo có da</v>
      </c>
      <c r="C665" s="24" t="s">
        <v>8</v>
      </c>
      <c r="D665" t="s">
        <v>512</v>
      </c>
      <c r="E665" s="24" t="s">
        <v>515</v>
      </c>
      <c r="F665" t="s">
        <v>516</v>
      </c>
      <c r="G665" s="17">
        <v>1</v>
      </c>
      <c r="H665" s="18">
        <v>50000</v>
      </c>
      <c r="I665" s="18">
        <v>100</v>
      </c>
      <c r="J665" s="17">
        <f t="shared" si="59"/>
        <v>0.01</v>
      </c>
      <c r="K665" s="18">
        <f t="shared" si="60"/>
        <v>500</v>
      </c>
    </row>
    <row r="666" spans="1:11" x14ac:dyDescent="0.35">
      <c r="A666" s="24" t="s">
        <v>233</v>
      </c>
      <c r="B666" s="24" t="str">
        <f t="shared" si="58"/>
        <v>chả cá rim tóp mỡhành lá</v>
      </c>
      <c r="C666" s="24" t="s">
        <v>8</v>
      </c>
      <c r="D666" t="s">
        <v>512</v>
      </c>
      <c r="E666" s="24" t="s">
        <v>515</v>
      </c>
      <c r="F666" t="s">
        <v>408</v>
      </c>
      <c r="G666" s="17">
        <v>0.3</v>
      </c>
      <c r="H666" s="18">
        <v>20000</v>
      </c>
      <c r="I666" s="18">
        <v>100</v>
      </c>
      <c r="J666" s="17">
        <f t="shared" si="59"/>
        <v>3.0000000000000001E-3</v>
      </c>
      <c r="K666" s="18">
        <f t="shared" si="60"/>
        <v>60</v>
      </c>
    </row>
  </sheetData>
  <autoFilter ref="A2:K666" xr:uid="{00000000-0009-0000-0000-000002000000}"/>
  <mergeCells count="24">
    <mergeCell ref="L100:L103"/>
    <mergeCell ref="L105:L107"/>
    <mergeCell ref="L108:L116"/>
    <mergeCell ref="L117:L124"/>
    <mergeCell ref="L126:L133"/>
    <mergeCell ref="L136:L146"/>
    <mergeCell ref="L66:L69"/>
    <mergeCell ref="M66:M69"/>
    <mergeCell ref="L70:L79"/>
    <mergeCell ref="M70:M79"/>
    <mergeCell ref="L81:L88"/>
    <mergeCell ref="L90:L99"/>
    <mergeCell ref="L46:L53"/>
    <mergeCell ref="M46:M53"/>
    <mergeCell ref="L54:L60"/>
    <mergeCell ref="M54:M60"/>
    <mergeCell ref="L61:L65"/>
    <mergeCell ref="M61:M65"/>
    <mergeCell ref="L3:L15"/>
    <mergeCell ref="L16:L27"/>
    <mergeCell ref="L29:L36"/>
    <mergeCell ref="M29:M36"/>
    <mergeCell ref="L38:L45"/>
    <mergeCell ref="M38:M4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3F637-A3AE-4AC0-A72B-1C4DC7A9037F}">
  <sheetPr filterMode="1"/>
  <dimension ref="A1:R673"/>
  <sheetViews>
    <sheetView topLeftCell="E1" zoomScale="87" zoomScaleNormal="87" workbookViewId="0">
      <pane ySplit="2" topLeftCell="A396" activePane="bottomLeft" state="frozen"/>
      <selection activeCell="R77" sqref="R77"/>
      <selection pane="bottomLeft" activeCell="K627" sqref="K627:K630"/>
    </sheetView>
  </sheetViews>
  <sheetFormatPr defaultRowHeight="14.5" x14ac:dyDescent="0.35"/>
  <cols>
    <col min="1" max="1" width="13.26953125" customWidth="1"/>
    <col min="2" max="2" width="31.1796875" bestFit="1" customWidth="1"/>
    <col min="3" max="3" width="13.26953125" customWidth="1"/>
    <col min="4" max="4" width="21.26953125" bestFit="1" customWidth="1"/>
    <col min="5" max="5" width="21.54296875" customWidth="1"/>
    <col min="6" max="6" width="21" customWidth="1"/>
    <col min="7" max="7" width="19.7265625" style="17" customWidth="1"/>
    <col min="8" max="9" width="19.7265625" style="18" customWidth="1"/>
    <col min="10" max="10" width="27.26953125" style="17" bestFit="1" customWidth="1"/>
    <col min="11" max="11" width="20.26953125" style="18" customWidth="1"/>
    <col min="12" max="12" width="16.1796875" hidden="1" customWidth="1"/>
    <col min="13" max="13" width="13.54296875" hidden="1" customWidth="1"/>
    <col min="15" max="15" width="13" customWidth="1"/>
  </cols>
  <sheetData>
    <row r="1" spans="1:12" x14ac:dyDescent="0.35">
      <c r="I1" s="19"/>
      <c r="J1" s="20"/>
    </row>
    <row r="2" spans="1:12" ht="15.75" customHeight="1" x14ac:dyDescent="0.35">
      <c r="A2" s="21" t="s">
        <v>231</v>
      </c>
      <c r="B2" s="21" t="s">
        <v>140</v>
      </c>
      <c r="C2" s="21" t="s">
        <v>7</v>
      </c>
      <c r="D2" s="21" t="s">
        <v>0</v>
      </c>
      <c r="E2" s="21" t="s">
        <v>1</v>
      </c>
      <c r="F2" s="21" t="s">
        <v>9</v>
      </c>
      <c r="G2" s="22" t="s">
        <v>6</v>
      </c>
      <c r="H2" s="23" t="s">
        <v>2</v>
      </c>
      <c r="I2" s="23" t="s">
        <v>5</v>
      </c>
      <c r="J2" s="22" t="s">
        <v>138</v>
      </c>
      <c r="K2" s="23" t="s">
        <v>3</v>
      </c>
      <c r="L2" s="21" t="s">
        <v>42</v>
      </c>
    </row>
    <row r="3" spans="1:12" hidden="1" x14ac:dyDescent="0.35">
      <c r="A3" s="24" t="s">
        <v>232</v>
      </c>
      <c r="B3" s="24" t="str">
        <f t="shared" ref="B3:B67" si="0">E3&amp;F3</f>
        <v>Bún mọcNạc đùi mông</v>
      </c>
      <c r="C3" s="24" t="s">
        <v>8</v>
      </c>
      <c r="D3" t="s">
        <v>20</v>
      </c>
      <c r="E3" t="s">
        <v>29</v>
      </c>
      <c r="F3" t="s">
        <v>475</v>
      </c>
      <c r="G3" s="17">
        <v>5</v>
      </c>
      <c r="H3" s="18">
        <v>100000</v>
      </c>
      <c r="I3" s="18">
        <v>100</v>
      </c>
      <c r="J3" s="17">
        <f t="shared" ref="J3:J67" si="1">G3/I3</f>
        <v>0.05</v>
      </c>
      <c r="K3" s="18">
        <f t="shared" ref="K3:K67" si="2">(G3*H3)/I3</f>
        <v>5000</v>
      </c>
      <c r="L3" s="103">
        <f>SUM(K3:K15)</f>
        <v>17843</v>
      </c>
    </row>
    <row r="4" spans="1:12" hidden="1" x14ac:dyDescent="0.35">
      <c r="A4" s="24" t="s">
        <v>232</v>
      </c>
      <c r="B4" s="24" t="str">
        <f t="shared" si="0"/>
        <v>Bún mọcChả quết</v>
      </c>
      <c r="C4" s="24" t="s">
        <v>8</v>
      </c>
      <c r="D4" t="s">
        <v>20</v>
      </c>
      <c r="E4" t="s">
        <v>29</v>
      </c>
      <c r="F4" t="s">
        <v>166</v>
      </c>
      <c r="G4" s="17">
        <v>2.5</v>
      </c>
      <c r="H4" s="18">
        <v>120000</v>
      </c>
      <c r="I4" s="18">
        <v>100</v>
      </c>
      <c r="J4" s="17">
        <f t="shared" si="1"/>
        <v>2.5000000000000001E-2</v>
      </c>
      <c r="K4" s="18">
        <f t="shared" si="2"/>
        <v>3000</v>
      </c>
      <c r="L4" s="103"/>
    </row>
    <row r="5" spans="1:12" hidden="1" x14ac:dyDescent="0.35">
      <c r="A5" s="24" t="s">
        <v>232</v>
      </c>
      <c r="B5" s="24" t="str">
        <f t="shared" si="0"/>
        <v>Bún mọcThịt xay</v>
      </c>
      <c r="C5" s="24" t="s">
        <v>8</v>
      </c>
      <c r="D5" t="s">
        <v>20</v>
      </c>
      <c r="E5" t="s">
        <v>29</v>
      </c>
      <c r="F5" t="s">
        <v>31</v>
      </c>
      <c r="G5" s="17">
        <v>1.2</v>
      </c>
      <c r="H5" s="18">
        <v>80000</v>
      </c>
      <c r="I5" s="18">
        <v>100</v>
      </c>
      <c r="J5" s="17">
        <f t="shared" si="1"/>
        <v>1.2E-2</v>
      </c>
      <c r="K5" s="18">
        <f t="shared" si="2"/>
        <v>960</v>
      </c>
      <c r="L5" s="103"/>
    </row>
    <row r="6" spans="1:12" hidden="1" x14ac:dyDescent="0.35">
      <c r="A6" s="24" t="s">
        <v>232</v>
      </c>
      <c r="B6" s="24" t="str">
        <f t="shared" si="0"/>
        <v>Bún mọcChả heo chín</v>
      </c>
      <c r="C6" s="24" t="s">
        <v>8</v>
      </c>
      <c r="D6" t="s">
        <v>20</v>
      </c>
      <c r="E6" t="s">
        <v>29</v>
      </c>
      <c r="F6" t="s">
        <v>32</v>
      </c>
      <c r="G6" s="17">
        <v>2.5</v>
      </c>
      <c r="H6" s="18">
        <v>120000</v>
      </c>
      <c r="I6" s="18">
        <v>100</v>
      </c>
      <c r="J6" s="17">
        <f t="shared" si="1"/>
        <v>2.5000000000000001E-2</v>
      </c>
      <c r="K6" s="18">
        <f t="shared" si="2"/>
        <v>3000</v>
      </c>
      <c r="L6" s="103"/>
    </row>
    <row r="7" spans="1:12" hidden="1" x14ac:dyDescent="0.35">
      <c r="A7" s="24" t="s">
        <v>233</v>
      </c>
      <c r="B7" s="24" t="str">
        <f t="shared" si="0"/>
        <v>Bún mọcNấm mèo</v>
      </c>
      <c r="C7" s="24" t="s">
        <v>8</v>
      </c>
      <c r="D7" t="s">
        <v>20</v>
      </c>
      <c r="E7" t="s">
        <v>29</v>
      </c>
      <c r="F7" t="s">
        <v>28</v>
      </c>
      <c r="G7" s="17">
        <v>0.3</v>
      </c>
      <c r="H7" s="18">
        <v>55000</v>
      </c>
      <c r="I7" s="18">
        <v>100</v>
      </c>
      <c r="J7" s="17">
        <f t="shared" si="1"/>
        <v>3.0000000000000001E-3</v>
      </c>
      <c r="K7" s="18">
        <f t="shared" si="2"/>
        <v>165</v>
      </c>
      <c r="L7" s="103"/>
    </row>
    <row r="8" spans="1:12" hidden="1" x14ac:dyDescent="0.35">
      <c r="A8" s="24" t="s">
        <v>232</v>
      </c>
      <c r="B8" s="24" t="str">
        <f t="shared" si="0"/>
        <v>Bún mọcDa heo</v>
      </c>
      <c r="C8" s="24" t="s">
        <v>8</v>
      </c>
      <c r="D8" t="s">
        <v>20</v>
      </c>
      <c r="E8" t="s">
        <v>29</v>
      </c>
      <c r="F8" t="s">
        <v>33</v>
      </c>
      <c r="G8" s="17">
        <v>3</v>
      </c>
      <c r="H8" s="18">
        <v>30000</v>
      </c>
      <c r="I8" s="18">
        <v>100</v>
      </c>
      <c r="J8" s="17">
        <f t="shared" si="1"/>
        <v>0.03</v>
      </c>
      <c r="K8" s="18">
        <f t="shared" si="2"/>
        <v>900</v>
      </c>
      <c r="L8" s="103"/>
    </row>
    <row r="9" spans="1:12" hidden="1" x14ac:dyDescent="0.35">
      <c r="A9" s="24" t="s">
        <v>232</v>
      </c>
      <c r="B9" s="24" t="str">
        <f t="shared" si="0"/>
        <v>Bún mọcxương ống</v>
      </c>
      <c r="C9" s="24" t="s">
        <v>8</v>
      </c>
      <c r="D9" t="s">
        <v>20</v>
      </c>
      <c r="E9" t="s">
        <v>29</v>
      </c>
      <c r="F9" t="s">
        <v>474</v>
      </c>
      <c r="G9" s="17">
        <v>1.5</v>
      </c>
      <c r="H9" s="18">
        <v>30000</v>
      </c>
      <c r="I9" s="18">
        <v>100</v>
      </c>
      <c r="J9" s="17">
        <f t="shared" si="1"/>
        <v>1.4999999999999999E-2</v>
      </c>
      <c r="K9" s="18">
        <f t="shared" si="2"/>
        <v>450</v>
      </c>
      <c r="L9" s="103"/>
    </row>
    <row r="10" spans="1:12" hidden="1" x14ac:dyDescent="0.35">
      <c r="A10" s="24" t="s">
        <v>233</v>
      </c>
      <c r="B10" s="24" t="str">
        <f t="shared" si="0"/>
        <v>Bún mọcBún</v>
      </c>
      <c r="C10" s="24" t="s">
        <v>8</v>
      </c>
      <c r="D10" t="s">
        <v>20</v>
      </c>
      <c r="E10" t="s">
        <v>29</v>
      </c>
      <c r="F10" t="s">
        <v>34</v>
      </c>
      <c r="G10" s="17">
        <v>33</v>
      </c>
      <c r="H10" s="18">
        <v>10000</v>
      </c>
      <c r="I10" s="18">
        <v>100</v>
      </c>
      <c r="J10" s="17">
        <f t="shared" si="1"/>
        <v>0.33</v>
      </c>
      <c r="K10" s="18">
        <f t="shared" si="2"/>
        <v>3300</v>
      </c>
      <c r="L10" s="103"/>
    </row>
    <row r="11" spans="1:12" hidden="1" x14ac:dyDescent="0.35">
      <c r="A11" s="24" t="s">
        <v>233</v>
      </c>
      <c r="B11" s="24" t="str">
        <f t="shared" si="0"/>
        <v>Bún mọcRau quế</v>
      </c>
      <c r="C11" s="24" t="s">
        <v>8</v>
      </c>
      <c r="D11" t="s">
        <v>20</v>
      </c>
      <c r="E11" t="s">
        <v>29</v>
      </c>
      <c r="F11" t="s">
        <v>23</v>
      </c>
      <c r="G11" s="17">
        <v>0.3</v>
      </c>
      <c r="H11" s="18">
        <v>30000</v>
      </c>
      <c r="I11" s="18">
        <v>100</v>
      </c>
      <c r="J11" s="17">
        <f t="shared" si="1"/>
        <v>3.0000000000000001E-3</v>
      </c>
      <c r="K11" s="18">
        <f t="shared" si="2"/>
        <v>90</v>
      </c>
      <c r="L11" s="103"/>
    </row>
    <row r="12" spans="1:12" hidden="1" x14ac:dyDescent="0.35">
      <c r="A12" s="24" t="s">
        <v>233</v>
      </c>
      <c r="B12" s="24" t="str">
        <f t="shared" si="0"/>
        <v>Bún mọcGiá</v>
      </c>
      <c r="C12" s="24" t="s">
        <v>8</v>
      </c>
      <c r="D12" t="s">
        <v>20</v>
      </c>
      <c r="E12" t="s">
        <v>29</v>
      </c>
      <c r="F12" t="s">
        <v>26</v>
      </c>
      <c r="G12" s="17">
        <v>2.5</v>
      </c>
      <c r="H12" s="18">
        <v>10000</v>
      </c>
      <c r="I12" s="18">
        <v>100</v>
      </c>
      <c r="J12" s="17">
        <f t="shared" si="1"/>
        <v>2.5000000000000001E-2</v>
      </c>
      <c r="K12" s="18">
        <f t="shared" si="2"/>
        <v>250</v>
      </c>
      <c r="L12" s="103"/>
    </row>
    <row r="13" spans="1:12" hidden="1" x14ac:dyDescent="0.35">
      <c r="A13" s="24" t="s">
        <v>233</v>
      </c>
      <c r="B13" s="24" t="str">
        <f t="shared" si="0"/>
        <v>Bún mọcHành lá</v>
      </c>
      <c r="C13" s="24" t="s">
        <v>8</v>
      </c>
      <c r="D13" t="s">
        <v>20</v>
      </c>
      <c r="E13" t="s">
        <v>29</v>
      </c>
      <c r="F13" t="s">
        <v>24</v>
      </c>
      <c r="G13" s="17">
        <v>0.4</v>
      </c>
      <c r="H13" s="18">
        <v>20000</v>
      </c>
      <c r="I13" s="18">
        <v>100</v>
      </c>
      <c r="J13" s="17">
        <f t="shared" si="1"/>
        <v>4.0000000000000001E-3</v>
      </c>
      <c r="K13" s="18">
        <f t="shared" si="2"/>
        <v>80</v>
      </c>
      <c r="L13" s="103"/>
    </row>
    <row r="14" spans="1:12" hidden="1" x14ac:dyDescent="0.35">
      <c r="A14" s="24" t="s">
        <v>233</v>
      </c>
      <c r="B14" s="24" t="str">
        <f t="shared" si="0"/>
        <v xml:space="preserve">Bún mọcChanh </v>
      </c>
      <c r="C14" s="24" t="s">
        <v>8</v>
      </c>
      <c r="D14" t="s">
        <v>20</v>
      </c>
      <c r="E14" t="s">
        <v>29</v>
      </c>
      <c r="F14" t="s">
        <v>36</v>
      </c>
      <c r="G14" s="17">
        <v>0.8</v>
      </c>
      <c r="H14" s="18">
        <v>26000</v>
      </c>
      <c r="I14" s="18">
        <v>100</v>
      </c>
      <c r="J14" s="17">
        <f t="shared" si="1"/>
        <v>8.0000000000000002E-3</v>
      </c>
      <c r="K14" s="18">
        <f t="shared" si="2"/>
        <v>208</v>
      </c>
      <c r="L14" s="103"/>
    </row>
    <row r="15" spans="1:12" hidden="1" x14ac:dyDescent="0.35">
      <c r="A15" s="24" t="s">
        <v>233</v>
      </c>
      <c r="B15" s="24" t="str">
        <f t="shared" si="0"/>
        <v xml:space="preserve">Bún mọcXà lách </v>
      </c>
      <c r="C15" s="24" t="s">
        <v>8</v>
      </c>
      <c r="D15" t="s">
        <v>20</v>
      </c>
      <c r="E15" t="s">
        <v>29</v>
      </c>
      <c r="F15" t="s">
        <v>38</v>
      </c>
      <c r="G15" s="17">
        <v>2</v>
      </c>
      <c r="H15" s="18">
        <v>22000</v>
      </c>
      <c r="I15" s="18">
        <v>100</v>
      </c>
      <c r="J15" s="17">
        <f t="shared" si="1"/>
        <v>0.02</v>
      </c>
      <c r="K15" s="18">
        <f t="shared" si="2"/>
        <v>440</v>
      </c>
      <c r="L15" s="103"/>
    </row>
    <row r="16" spans="1:12" hidden="1" x14ac:dyDescent="0.35">
      <c r="A16" s="24" t="s">
        <v>232</v>
      </c>
      <c r="B16" s="24" t="str">
        <f t="shared" si="0"/>
        <v>Mỳ Quảng Tôm ThịtHeo đùi mông</v>
      </c>
      <c r="C16" s="24" t="s">
        <v>8</v>
      </c>
      <c r="D16" t="s">
        <v>20</v>
      </c>
      <c r="E16" t="s">
        <v>296</v>
      </c>
      <c r="F16" t="s">
        <v>30</v>
      </c>
      <c r="G16" s="17">
        <v>4.5</v>
      </c>
      <c r="H16" s="18">
        <v>100000</v>
      </c>
      <c r="I16" s="18">
        <v>100</v>
      </c>
      <c r="J16" s="17">
        <f>G16/I16</f>
        <v>4.4999999999999998E-2</v>
      </c>
      <c r="K16" s="18">
        <f t="shared" si="2"/>
        <v>4500</v>
      </c>
      <c r="L16" s="101">
        <f>SUM(K16:K28)</f>
        <v>18138</v>
      </c>
    </row>
    <row r="17" spans="1:15" hidden="1" x14ac:dyDescent="0.35">
      <c r="A17" s="24" t="s">
        <v>232</v>
      </c>
      <c r="B17" s="24" t="str">
        <f t="shared" si="0"/>
        <v>Mỳ Quảng Tôm ThịtTrứng cút lột sẵn</v>
      </c>
      <c r="C17" s="24" t="s">
        <v>8</v>
      </c>
      <c r="D17" t="s">
        <v>20</v>
      </c>
      <c r="E17" t="s">
        <v>296</v>
      </c>
      <c r="F17" t="s">
        <v>390</v>
      </c>
      <c r="G17" s="17">
        <v>300</v>
      </c>
      <c r="H17" s="18">
        <v>600</v>
      </c>
      <c r="I17" s="18">
        <v>100</v>
      </c>
      <c r="J17" s="17">
        <f t="shared" si="1"/>
        <v>3</v>
      </c>
      <c r="K17" s="18">
        <f t="shared" si="2"/>
        <v>1800</v>
      </c>
      <c r="L17" s="102"/>
    </row>
    <row r="18" spans="1:15" hidden="1" x14ac:dyDescent="0.35">
      <c r="A18" s="24" t="s">
        <v>232</v>
      </c>
      <c r="B18" s="24" t="str">
        <f t="shared" si="0"/>
        <v>Mỳ Quảng Tôm ThịtTôm</v>
      </c>
      <c r="C18" s="24" t="s">
        <v>8</v>
      </c>
      <c r="D18" t="s">
        <v>20</v>
      </c>
      <c r="E18" t="s">
        <v>296</v>
      </c>
      <c r="F18" t="s">
        <v>37</v>
      </c>
      <c r="G18" s="17">
        <v>2.5</v>
      </c>
      <c r="H18" s="18">
        <v>100000</v>
      </c>
      <c r="I18" s="18">
        <v>100</v>
      </c>
      <c r="J18" s="17">
        <f t="shared" si="1"/>
        <v>2.5000000000000001E-2</v>
      </c>
      <c r="K18" s="18">
        <f t="shared" si="2"/>
        <v>2500</v>
      </c>
      <c r="L18" s="102"/>
    </row>
    <row r="19" spans="1:15" hidden="1" x14ac:dyDescent="0.35">
      <c r="A19" s="24" t="s">
        <v>232</v>
      </c>
      <c r="B19" s="24" t="str">
        <f t="shared" si="0"/>
        <v>Mỳ Quảng Tôm Thịtchả heo chiên</v>
      </c>
      <c r="C19" s="24" t="s">
        <v>8</v>
      </c>
      <c r="D19" t="s">
        <v>20</v>
      </c>
      <c r="E19" t="s">
        <v>296</v>
      </c>
      <c r="F19" s="24" t="s">
        <v>517</v>
      </c>
      <c r="G19" s="17">
        <v>3</v>
      </c>
      <c r="H19" s="18">
        <v>140000</v>
      </c>
      <c r="I19" s="18">
        <v>100</v>
      </c>
      <c r="J19" s="17">
        <f t="shared" si="1"/>
        <v>0.03</v>
      </c>
      <c r="K19" s="18">
        <f t="shared" si="2"/>
        <v>4200</v>
      </c>
      <c r="L19" s="102"/>
    </row>
    <row r="20" spans="1:15" hidden="1" x14ac:dyDescent="0.35">
      <c r="A20" s="24" t="s">
        <v>233</v>
      </c>
      <c r="B20" s="24" t="str">
        <f t="shared" si="0"/>
        <v>Mỳ Quảng Tôm ThịtBánh phồng tôm</v>
      </c>
      <c r="C20" s="24" t="s">
        <v>8</v>
      </c>
      <c r="D20" t="s">
        <v>20</v>
      </c>
      <c r="E20" t="s">
        <v>296</v>
      </c>
      <c r="F20" t="s">
        <v>426</v>
      </c>
      <c r="G20" s="17">
        <v>6</v>
      </c>
      <c r="H20" s="18">
        <v>10000</v>
      </c>
      <c r="I20" s="18">
        <v>100</v>
      </c>
      <c r="J20" s="17">
        <f t="shared" si="1"/>
        <v>0.06</v>
      </c>
      <c r="K20" s="18">
        <f t="shared" si="2"/>
        <v>600</v>
      </c>
      <c r="L20" s="102"/>
    </row>
    <row r="21" spans="1:15" hidden="1" x14ac:dyDescent="0.35">
      <c r="A21" s="24" t="s">
        <v>233</v>
      </c>
      <c r="B21" s="24" t="str">
        <f t="shared" si="0"/>
        <v xml:space="preserve">Mỳ Quảng Tôm ThịtXà lách </v>
      </c>
      <c r="C21" s="24" t="s">
        <v>8</v>
      </c>
      <c r="D21" t="s">
        <v>20</v>
      </c>
      <c r="E21" t="s">
        <v>296</v>
      </c>
      <c r="F21" t="s">
        <v>38</v>
      </c>
      <c r="G21" s="17">
        <v>2</v>
      </c>
      <c r="H21" s="18">
        <v>22000</v>
      </c>
      <c r="I21" s="18">
        <v>100</v>
      </c>
      <c r="J21" s="17">
        <f t="shared" si="1"/>
        <v>0.02</v>
      </c>
      <c r="K21" s="18">
        <f t="shared" si="2"/>
        <v>440</v>
      </c>
      <c r="L21" s="102"/>
    </row>
    <row r="22" spans="1:15" hidden="1" x14ac:dyDescent="0.35">
      <c r="A22" s="24" t="s">
        <v>233</v>
      </c>
      <c r="B22" s="24" t="str">
        <f t="shared" si="0"/>
        <v>Mỳ Quảng Tôm ThịtSu trắng</v>
      </c>
      <c r="C22" s="24" t="s">
        <v>8</v>
      </c>
      <c r="D22" t="s">
        <v>20</v>
      </c>
      <c r="E22" t="s">
        <v>296</v>
      </c>
      <c r="F22" t="s">
        <v>39</v>
      </c>
      <c r="G22" s="17">
        <v>1</v>
      </c>
      <c r="H22" s="18">
        <v>10000</v>
      </c>
      <c r="I22" s="18">
        <v>100</v>
      </c>
      <c r="J22" s="17">
        <f t="shared" si="1"/>
        <v>0.01</v>
      </c>
      <c r="K22" s="18">
        <f t="shared" si="2"/>
        <v>100</v>
      </c>
      <c r="L22" s="102"/>
      <c r="N22" s="30"/>
    </row>
    <row r="23" spans="1:15" hidden="1" x14ac:dyDescent="0.35">
      <c r="A23" s="24" t="s">
        <v>233</v>
      </c>
      <c r="B23" s="24" t="str">
        <f t="shared" si="0"/>
        <v>Mỳ Quảng Tôm ThịtGiá</v>
      </c>
      <c r="C23" s="24" t="s">
        <v>8</v>
      </c>
      <c r="D23" t="s">
        <v>20</v>
      </c>
      <c r="E23" t="s">
        <v>296</v>
      </c>
      <c r="F23" s="24" t="s">
        <v>26</v>
      </c>
      <c r="G23" s="17">
        <v>2.5</v>
      </c>
      <c r="H23" s="18">
        <v>10000</v>
      </c>
      <c r="I23" s="18">
        <v>100</v>
      </c>
      <c r="J23" s="17">
        <f t="shared" si="1"/>
        <v>2.5000000000000001E-2</v>
      </c>
      <c r="K23" s="18">
        <f t="shared" si="2"/>
        <v>250</v>
      </c>
      <c r="L23" s="102"/>
    </row>
    <row r="24" spans="1:15" hidden="1" x14ac:dyDescent="0.35">
      <c r="A24" s="24" t="s">
        <v>233</v>
      </c>
      <c r="B24" s="24" t="str">
        <f t="shared" si="0"/>
        <v>Mỳ Quảng Tôm ThịtHành lá</v>
      </c>
      <c r="C24" s="24" t="s">
        <v>8</v>
      </c>
      <c r="D24" t="s">
        <v>20</v>
      </c>
      <c r="E24" t="s">
        <v>296</v>
      </c>
      <c r="F24" t="s">
        <v>24</v>
      </c>
      <c r="G24" s="17">
        <v>0.4</v>
      </c>
      <c r="H24" s="18">
        <v>20000</v>
      </c>
      <c r="I24" s="18">
        <v>100</v>
      </c>
      <c r="J24" s="17">
        <f t="shared" si="1"/>
        <v>4.0000000000000001E-3</v>
      </c>
      <c r="K24" s="18">
        <f t="shared" si="2"/>
        <v>80</v>
      </c>
      <c r="L24" s="102"/>
    </row>
    <row r="25" spans="1:15" hidden="1" x14ac:dyDescent="0.35">
      <c r="A25" s="24" t="s">
        <v>233</v>
      </c>
      <c r="B25" s="24" t="str">
        <f t="shared" si="0"/>
        <v>Mỳ Quảng Tôm ThịtNgò gai</v>
      </c>
      <c r="C25" s="24" t="s">
        <v>8</v>
      </c>
      <c r="D25" t="s">
        <v>20</v>
      </c>
      <c r="E25" t="s">
        <v>296</v>
      </c>
      <c r="F25" t="s">
        <v>101</v>
      </c>
      <c r="G25" s="17">
        <v>0.2</v>
      </c>
      <c r="H25" s="18">
        <v>35000</v>
      </c>
      <c r="I25" s="18">
        <v>100</v>
      </c>
      <c r="J25" s="17">
        <f t="shared" si="1"/>
        <v>2E-3</v>
      </c>
      <c r="K25" s="18">
        <f t="shared" si="2"/>
        <v>70</v>
      </c>
      <c r="L25" s="102"/>
    </row>
    <row r="26" spans="1:15" hidden="1" x14ac:dyDescent="0.35">
      <c r="A26" s="24" t="s">
        <v>233</v>
      </c>
      <c r="B26" s="24" t="str">
        <f t="shared" si="0"/>
        <v>Mỳ Quảng Tôm ThịtQuế</v>
      </c>
      <c r="C26" s="24" t="s">
        <v>8</v>
      </c>
      <c r="D26" t="s">
        <v>20</v>
      </c>
      <c r="E26" t="s">
        <v>296</v>
      </c>
      <c r="F26" t="s">
        <v>40</v>
      </c>
      <c r="G26" s="17">
        <v>0.3</v>
      </c>
      <c r="H26" s="18">
        <v>30000</v>
      </c>
      <c r="I26" s="18">
        <v>100</v>
      </c>
      <c r="J26" s="17">
        <f t="shared" si="1"/>
        <v>3.0000000000000001E-3</v>
      </c>
      <c r="K26" s="18">
        <f t="shared" si="2"/>
        <v>90</v>
      </c>
      <c r="L26" s="102"/>
    </row>
    <row r="27" spans="1:15" hidden="1" x14ac:dyDescent="0.35">
      <c r="A27" s="24" t="s">
        <v>233</v>
      </c>
      <c r="B27" s="24" t="str">
        <f t="shared" si="0"/>
        <v>Mỳ Quảng Tôm ThịtChanh</v>
      </c>
      <c r="C27" s="24" t="s">
        <v>8</v>
      </c>
      <c r="D27" t="s">
        <v>20</v>
      </c>
      <c r="E27" t="s">
        <v>296</v>
      </c>
      <c r="F27" t="s">
        <v>25</v>
      </c>
      <c r="G27" s="17">
        <v>0.8</v>
      </c>
      <c r="H27" s="18">
        <v>26000</v>
      </c>
      <c r="I27" s="18">
        <v>100</v>
      </c>
      <c r="J27" s="17">
        <f t="shared" si="1"/>
        <v>8.0000000000000002E-3</v>
      </c>
      <c r="K27" s="18">
        <f t="shared" si="2"/>
        <v>208</v>
      </c>
      <c r="L27" s="102"/>
    </row>
    <row r="28" spans="1:15" hidden="1" x14ac:dyDescent="0.35">
      <c r="A28" s="24" t="s">
        <v>233</v>
      </c>
      <c r="B28" s="24" t="str">
        <f t="shared" si="0"/>
        <v>Mỳ Quảng Tôm ThịtMỳ tươi</v>
      </c>
      <c r="C28" s="24" t="s">
        <v>8</v>
      </c>
      <c r="D28" t="s">
        <v>20</v>
      </c>
      <c r="E28" t="s">
        <v>296</v>
      </c>
      <c r="F28" t="s">
        <v>389</v>
      </c>
      <c r="G28" s="17">
        <v>33</v>
      </c>
      <c r="H28" s="18">
        <v>10000</v>
      </c>
      <c r="I28" s="18">
        <v>100</v>
      </c>
      <c r="J28" s="17">
        <f t="shared" si="1"/>
        <v>0.33</v>
      </c>
      <c r="K28" s="18">
        <f t="shared" si="2"/>
        <v>3300</v>
      </c>
      <c r="L28" s="102"/>
    </row>
    <row r="29" spans="1:15" ht="15.5" hidden="1" x14ac:dyDescent="0.35">
      <c r="A29" s="24" t="s">
        <v>232</v>
      </c>
      <c r="B29" s="24" t="str">
        <f t="shared" si="0"/>
        <v>Mỳ Quảng Tôm Thịtcua đồng</v>
      </c>
      <c r="C29" s="24" t="s">
        <v>8</v>
      </c>
      <c r="D29" t="s">
        <v>20</v>
      </c>
      <c r="E29" t="s">
        <v>296</v>
      </c>
      <c r="F29" t="s">
        <v>476</v>
      </c>
      <c r="G29" s="17">
        <v>0.5</v>
      </c>
      <c r="H29" s="18">
        <v>50000</v>
      </c>
      <c r="I29" s="18">
        <v>100</v>
      </c>
      <c r="J29" s="17">
        <f t="shared" si="1"/>
        <v>5.0000000000000001E-3</v>
      </c>
      <c r="K29" s="18">
        <f t="shared" si="2"/>
        <v>250</v>
      </c>
      <c r="L29" s="100"/>
    </row>
    <row r="30" spans="1:15" hidden="1" x14ac:dyDescent="0.35">
      <c r="A30" s="24" t="s">
        <v>232</v>
      </c>
      <c r="B30" s="24" t="str">
        <f t="shared" si="0"/>
        <v>Cá kình kho thơmCá kình</v>
      </c>
      <c r="C30" s="24" t="s">
        <v>8</v>
      </c>
      <c r="D30" t="s">
        <v>18</v>
      </c>
      <c r="E30" t="s">
        <v>43</v>
      </c>
      <c r="F30" t="s">
        <v>44</v>
      </c>
      <c r="G30" s="17">
        <v>12</v>
      </c>
      <c r="H30" s="18">
        <v>40000</v>
      </c>
      <c r="I30" s="18">
        <v>100</v>
      </c>
      <c r="J30" s="17">
        <f t="shared" si="1"/>
        <v>0.12</v>
      </c>
      <c r="K30" s="18">
        <f t="shared" si="2"/>
        <v>4800</v>
      </c>
      <c r="L30" s="104" t="e">
        <f>SUM(K30:K37,#REF!)</f>
        <v>#REF!</v>
      </c>
      <c r="M30" s="106" t="s">
        <v>65</v>
      </c>
    </row>
    <row r="31" spans="1:15" hidden="1" x14ac:dyDescent="0.35">
      <c r="A31" s="24" t="s">
        <v>233</v>
      </c>
      <c r="B31" s="24" t="str">
        <f t="shared" si="0"/>
        <v>Cá kình kho thơmThơm</v>
      </c>
      <c r="C31" s="24" t="s">
        <v>8</v>
      </c>
      <c r="D31" t="s">
        <v>18</v>
      </c>
      <c r="E31" t="s">
        <v>43</v>
      </c>
      <c r="F31" t="s">
        <v>4</v>
      </c>
      <c r="G31" s="17">
        <v>7</v>
      </c>
      <c r="H31" s="18">
        <v>18000</v>
      </c>
      <c r="I31" s="18">
        <v>300</v>
      </c>
      <c r="J31" s="17">
        <f t="shared" si="1"/>
        <v>2.3333333333333334E-2</v>
      </c>
      <c r="K31" s="18">
        <f t="shared" si="2"/>
        <v>420</v>
      </c>
      <c r="L31" s="105"/>
      <c r="M31" s="106"/>
    </row>
    <row r="32" spans="1:15" hidden="1" x14ac:dyDescent="0.35">
      <c r="A32" s="24" t="s">
        <v>232</v>
      </c>
      <c r="B32" s="24" t="str">
        <f t="shared" si="0"/>
        <v>Thịt heo luộc giá chuaThịt đùi mông</v>
      </c>
      <c r="C32" s="24" t="s">
        <v>8</v>
      </c>
      <c r="D32" t="s">
        <v>45</v>
      </c>
      <c r="E32" t="s">
        <v>176</v>
      </c>
      <c r="F32" t="s">
        <v>46</v>
      </c>
      <c r="G32" s="17">
        <v>4.5</v>
      </c>
      <c r="H32" s="18">
        <v>100000</v>
      </c>
      <c r="I32" s="18">
        <v>100</v>
      </c>
      <c r="J32" s="17">
        <f t="shared" si="1"/>
        <v>4.4999999999999998E-2</v>
      </c>
      <c r="K32" s="18">
        <f t="shared" si="2"/>
        <v>4500</v>
      </c>
      <c r="L32" s="105"/>
      <c r="M32" s="106"/>
      <c r="N32" s="26"/>
      <c r="O32" s="26"/>
    </row>
    <row r="33" spans="1:15" hidden="1" x14ac:dyDescent="0.35">
      <c r="A33" s="24" t="s">
        <v>233</v>
      </c>
      <c r="B33" s="24" t="str">
        <f t="shared" si="0"/>
        <v>Thịt heo luộc giá chuaHành lá</v>
      </c>
      <c r="C33" s="24" t="s">
        <v>8</v>
      </c>
      <c r="D33" t="s">
        <v>45</v>
      </c>
      <c r="E33" t="s">
        <v>176</v>
      </c>
      <c r="F33" t="s">
        <v>24</v>
      </c>
      <c r="G33" s="17">
        <v>0.3</v>
      </c>
      <c r="H33" s="18">
        <v>18000</v>
      </c>
      <c r="I33" s="18">
        <v>100</v>
      </c>
      <c r="J33" s="17">
        <f t="shared" si="1"/>
        <v>3.0000000000000001E-3</v>
      </c>
      <c r="K33" s="18">
        <f t="shared" si="2"/>
        <v>54</v>
      </c>
      <c r="L33" s="105"/>
      <c r="M33" s="106"/>
      <c r="N33" s="26"/>
      <c r="O33" s="26"/>
    </row>
    <row r="34" spans="1:15" hidden="1" x14ac:dyDescent="0.35">
      <c r="A34" s="24" t="s">
        <v>233</v>
      </c>
      <c r="B34" s="24" t="str">
        <f t="shared" si="0"/>
        <v>Thịt heo luộc giá chuaGiá</v>
      </c>
      <c r="C34" s="24" t="s">
        <v>8</v>
      </c>
      <c r="D34" t="s">
        <v>45</v>
      </c>
      <c r="E34" t="s">
        <v>176</v>
      </c>
      <c r="F34" t="s">
        <v>26</v>
      </c>
      <c r="G34" s="17">
        <v>4</v>
      </c>
      <c r="H34" s="18">
        <v>10000</v>
      </c>
      <c r="I34" s="18">
        <v>100</v>
      </c>
      <c r="J34" s="17">
        <f t="shared" si="1"/>
        <v>0.04</v>
      </c>
      <c r="K34" s="18">
        <f t="shared" si="2"/>
        <v>400</v>
      </c>
      <c r="L34" s="105"/>
      <c r="M34" s="106"/>
      <c r="N34" s="79"/>
      <c r="O34" s="26"/>
    </row>
    <row r="35" spans="1:15" hidden="1" x14ac:dyDescent="0.35">
      <c r="A35" s="24" t="s">
        <v>233</v>
      </c>
      <c r="B35" s="24" t="str">
        <f t="shared" si="0"/>
        <v>Thịt heo luộc giá chuaCà rốt</v>
      </c>
      <c r="C35" s="24" t="s">
        <v>8</v>
      </c>
      <c r="D35" t="s">
        <v>45</v>
      </c>
      <c r="E35" t="s">
        <v>176</v>
      </c>
      <c r="F35" t="s">
        <v>78</v>
      </c>
      <c r="G35" s="17">
        <v>1</v>
      </c>
      <c r="H35" s="18">
        <v>15000</v>
      </c>
      <c r="I35" s="18">
        <v>100</v>
      </c>
      <c r="J35" s="17">
        <f t="shared" si="1"/>
        <v>0.01</v>
      </c>
      <c r="K35" s="18">
        <f t="shared" si="2"/>
        <v>150</v>
      </c>
      <c r="L35" s="105"/>
      <c r="M35" s="106"/>
    </row>
    <row r="36" spans="1:15" hidden="1" x14ac:dyDescent="0.35">
      <c r="A36" s="24" t="s">
        <v>233</v>
      </c>
      <c r="B36" s="24" t="str">
        <f t="shared" si="0"/>
        <v>Rau xào thập cẩmRau thập cẩm</v>
      </c>
      <c r="C36" s="24" t="s">
        <v>8</v>
      </c>
      <c r="D36" t="s">
        <v>47</v>
      </c>
      <c r="E36" t="s">
        <v>10</v>
      </c>
      <c r="F36" t="s">
        <v>11</v>
      </c>
      <c r="G36" s="17">
        <v>35</v>
      </c>
      <c r="H36" s="18">
        <v>16000</v>
      </c>
      <c r="I36" s="18">
        <v>438</v>
      </c>
      <c r="J36" s="17">
        <f t="shared" si="1"/>
        <v>7.9908675799086754E-2</v>
      </c>
      <c r="K36" s="18">
        <f t="shared" si="2"/>
        <v>1278.538812785388</v>
      </c>
      <c r="L36" s="105"/>
      <c r="M36" s="106"/>
    </row>
    <row r="37" spans="1:15" hidden="1" x14ac:dyDescent="0.35">
      <c r="A37" s="24" t="s">
        <v>233</v>
      </c>
      <c r="B37" s="24" t="str">
        <f t="shared" si="0"/>
        <v>Sữa chuaSữa chua</v>
      </c>
      <c r="C37" s="24" t="s">
        <v>8</v>
      </c>
      <c r="D37" t="s">
        <v>52</v>
      </c>
      <c r="E37" t="s">
        <v>51</v>
      </c>
      <c r="F37" t="s">
        <v>51</v>
      </c>
      <c r="G37" s="17">
        <v>290</v>
      </c>
      <c r="H37" s="18">
        <v>4620</v>
      </c>
      <c r="I37" s="18">
        <v>290</v>
      </c>
      <c r="J37" s="17">
        <f t="shared" si="1"/>
        <v>1</v>
      </c>
      <c r="K37" s="18">
        <f t="shared" si="2"/>
        <v>4620</v>
      </c>
      <c r="L37" s="105"/>
      <c r="M37" s="106"/>
    </row>
    <row r="38" spans="1:15" hidden="1" x14ac:dyDescent="0.35">
      <c r="A38" s="24" t="s">
        <v>232</v>
      </c>
      <c r="B38" s="24" t="str">
        <f t="shared" si="0"/>
        <v>Cá nục kho xì dầuCá nục</v>
      </c>
      <c r="C38" s="24" t="s">
        <v>8</v>
      </c>
      <c r="D38" t="s">
        <v>53</v>
      </c>
      <c r="E38" t="s">
        <v>54</v>
      </c>
      <c r="F38" t="s">
        <v>55</v>
      </c>
      <c r="G38" s="17">
        <v>10</v>
      </c>
      <c r="H38" s="18">
        <v>43000</v>
      </c>
      <c r="I38" s="18">
        <v>75</v>
      </c>
      <c r="J38" s="17">
        <f t="shared" si="1"/>
        <v>0.13333333333333333</v>
      </c>
      <c r="K38" s="18">
        <f t="shared" si="2"/>
        <v>5733.333333333333</v>
      </c>
      <c r="L38" s="27" t="e">
        <f>SUM(K32:K38,#REF!)</f>
        <v>#REF!</v>
      </c>
      <c r="M38" t="s">
        <v>66</v>
      </c>
    </row>
    <row r="39" spans="1:15" ht="15" hidden="1" customHeight="1" x14ac:dyDescent="0.35">
      <c r="A39" s="24" t="s">
        <v>232</v>
      </c>
      <c r="B39" s="24" t="str">
        <f t="shared" si="0"/>
        <v>Cá chim kho càCá chim</v>
      </c>
      <c r="C39" s="24" t="s">
        <v>8</v>
      </c>
      <c r="D39" t="s">
        <v>18</v>
      </c>
      <c r="E39" t="s">
        <v>56</v>
      </c>
      <c r="F39" t="s">
        <v>57</v>
      </c>
      <c r="G39" s="17">
        <v>23</v>
      </c>
      <c r="H39" s="18">
        <v>37000</v>
      </c>
      <c r="I39" s="18">
        <v>134</v>
      </c>
      <c r="J39" s="17">
        <f t="shared" si="1"/>
        <v>0.17164179104477612</v>
      </c>
      <c r="K39" s="18">
        <f t="shared" si="2"/>
        <v>6350.746268656716</v>
      </c>
      <c r="L39" s="107">
        <f>SUM(K37,K39:K46)</f>
        <v>18183.598770851622</v>
      </c>
      <c r="M39" s="106" t="s">
        <v>67</v>
      </c>
    </row>
    <row r="40" spans="1:15" hidden="1" x14ac:dyDescent="0.35">
      <c r="A40" s="24" t="s">
        <v>233</v>
      </c>
      <c r="B40" s="24" t="str">
        <f t="shared" si="0"/>
        <v>Cá chim kho càCà chua</v>
      </c>
      <c r="C40" s="24" t="s">
        <v>8</v>
      </c>
      <c r="D40" t="s">
        <v>18</v>
      </c>
      <c r="E40" t="s">
        <v>56</v>
      </c>
      <c r="F40" t="s">
        <v>14</v>
      </c>
      <c r="G40" s="17">
        <v>3</v>
      </c>
      <c r="H40" s="18">
        <v>20000</v>
      </c>
      <c r="I40" s="18">
        <v>134</v>
      </c>
      <c r="J40" s="17">
        <f t="shared" si="1"/>
        <v>2.2388059701492536E-2</v>
      </c>
      <c r="K40" s="18">
        <f t="shared" si="2"/>
        <v>447.76119402985074</v>
      </c>
      <c r="L40" s="107"/>
      <c r="M40" s="106"/>
    </row>
    <row r="41" spans="1:15" hidden="1" x14ac:dyDescent="0.35">
      <c r="A41" s="24" t="s">
        <v>232</v>
      </c>
      <c r="B41" s="24" t="str">
        <f t="shared" si="0"/>
        <v>Tôm thịt rimTôm</v>
      </c>
      <c r="C41" s="24" t="s">
        <v>8</v>
      </c>
      <c r="D41" t="s">
        <v>18</v>
      </c>
      <c r="E41" t="s">
        <v>58</v>
      </c>
      <c r="F41" t="s">
        <v>37</v>
      </c>
      <c r="G41" s="17">
        <v>2.5</v>
      </c>
      <c r="H41" s="18">
        <v>115000</v>
      </c>
      <c r="I41" s="18">
        <v>134</v>
      </c>
      <c r="J41" s="17">
        <f t="shared" si="1"/>
        <v>1.8656716417910446E-2</v>
      </c>
      <c r="K41" s="18">
        <f t="shared" si="2"/>
        <v>2145.5223880597014</v>
      </c>
      <c r="L41" s="107"/>
      <c r="M41" s="106"/>
    </row>
    <row r="42" spans="1:15" hidden="1" x14ac:dyDescent="0.35">
      <c r="A42" s="24" t="s">
        <v>232</v>
      </c>
      <c r="B42" s="24" t="str">
        <f t="shared" si="0"/>
        <v>Tôm thịt rimThịt nọng</v>
      </c>
      <c r="C42" s="24" t="s">
        <v>8</v>
      </c>
      <c r="D42" t="s">
        <v>18</v>
      </c>
      <c r="E42" t="s">
        <v>58</v>
      </c>
      <c r="F42" t="s">
        <v>59</v>
      </c>
      <c r="G42" s="17">
        <v>1.5</v>
      </c>
      <c r="H42" s="18">
        <v>60000</v>
      </c>
      <c r="I42" s="18">
        <v>134</v>
      </c>
      <c r="J42" s="17">
        <f t="shared" si="1"/>
        <v>1.1194029850746268E-2</v>
      </c>
      <c r="K42" s="18">
        <f t="shared" si="2"/>
        <v>671.64179104477614</v>
      </c>
      <c r="L42" s="107"/>
      <c r="M42" s="106"/>
    </row>
    <row r="43" spans="1:15" hidden="1" x14ac:dyDescent="0.35">
      <c r="A43" s="24" t="s">
        <v>232</v>
      </c>
      <c r="B43" s="24" t="str">
        <f t="shared" si="0"/>
        <v>Tôm thịt rimNạc vai</v>
      </c>
      <c r="C43" s="24" t="s">
        <v>8</v>
      </c>
      <c r="D43" t="s">
        <v>18</v>
      </c>
      <c r="E43" t="s">
        <v>58</v>
      </c>
      <c r="F43" t="s">
        <v>60</v>
      </c>
      <c r="G43" s="17">
        <v>3.5</v>
      </c>
      <c r="H43" s="18">
        <v>100000</v>
      </c>
      <c r="I43" s="18">
        <v>134</v>
      </c>
      <c r="J43" s="17">
        <f t="shared" si="1"/>
        <v>2.6119402985074626E-2</v>
      </c>
      <c r="K43" s="18">
        <f t="shared" si="2"/>
        <v>2611.9402985074626</v>
      </c>
      <c r="L43" s="107"/>
      <c r="M43" s="106"/>
    </row>
    <row r="44" spans="1:15" hidden="1" x14ac:dyDescent="0.35">
      <c r="A44" s="24" t="s">
        <v>233</v>
      </c>
      <c r="B44" s="24" t="str">
        <f t="shared" si="0"/>
        <v>Bí đao nấu tômBí đao</v>
      </c>
      <c r="C44" s="24" t="s">
        <v>8</v>
      </c>
      <c r="D44" t="s">
        <v>48</v>
      </c>
      <c r="E44" t="s">
        <v>61</v>
      </c>
      <c r="F44" t="s">
        <v>62</v>
      </c>
      <c r="G44" s="17">
        <v>5</v>
      </c>
      <c r="H44" s="18">
        <v>9000</v>
      </c>
      <c r="I44" s="18">
        <v>136</v>
      </c>
      <c r="J44" s="17">
        <f t="shared" si="1"/>
        <v>3.6764705882352942E-2</v>
      </c>
      <c r="K44" s="18">
        <f t="shared" si="2"/>
        <v>330.88235294117646</v>
      </c>
      <c r="L44" s="107"/>
      <c r="M44" s="106"/>
    </row>
    <row r="45" spans="1:15" hidden="1" x14ac:dyDescent="0.35">
      <c r="A45" s="24" t="s">
        <v>232</v>
      </c>
      <c r="B45" s="24" t="str">
        <f t="shared" si="0"/>
        <v>Bí đao nấu tômTôm</v>
      </c>
      <c r="C45" s="24" t="s">
        <v>8</v>
      </c>
      <c r="D45" t="s">
        <v>48</v>
      </c>
      <c r="E45" t="s">
        <v>61</v>
      </c>
      <c r="F45" t="s">
        <v>37</v>
      </c>
      <c r="G45" s="17">
        <v>0.5</v>
      </c>
      <c r="H45" s="18">
        <v>115000</v>
      </c>
      <c r="I45" s="18">
        <v>134</v>
      </c>
      <c r="J45" s="17">
        <f t="shared" si="1"/>
        <v>3.7313432835820895E-3</v>
      </c>
      <c r="K45" s="18">
        <f t="shared" si="2"/>
        <v>429.1044776119403</v>
      </c>
      <c r="L45" s="107"/>
      <c r="M45" s="106"/>
    </row>
    <row r="46" spans="1:15" hidden="1" x14ac:dyDescent="0.35">
      <c r="A46" s="24" t="s">
        <v>233</v>
      </c>
      <c r="B46" s="24" t="str">
        <f t="shared" si="0"/>
        <v>Rau muống xào tỏiRau muống</v>
      </c>
      <c r="C46" s="24" t="s">
        <v>8</v>
      </c>
      <c r="D46" t="s">
        <v>47</v>
      </c>
      <c r="E46" t="s">
        <v>63</v>
      </c>
      <c r="F46" t="s">
        <v>64</v>
      </c>
      <c r="G46" s="17">
        <v>12</v>
      </c>
      <c r="H46" s="18">
        <v>6000</v>
      </c>
      <c r="I46" s="18">
        <v>125</v>
      </c>
      <c r="J46" s="17">
        <f t="shared" si="1"/>
        <v>9.6000000000000002E-2</v>
      </c>
      <c r="K46" s="18">
        <f t="shared" si="2"/>
        <v>576</v>
      </c>
      <c r="L46" s="107"/>
      <c r="M46" s="106"/>
    </row>
    <row r="47" spans="1:15" hidden="1" x14ac:dyDescent="0.35">
      <c r="A47" s="24" t="s">
        <v>232</v>
      </c>
      <c r="B47" s="24" t="str">
        <f t="shared" si="0"/>
        <v>Gỏi gà xéMá đùi gà</v>
      </c>
      <c r="C47" s="24" t="s">
        <v>8</v>
      </c>
      <c r="D47" t="s">
        <v>53</v>
      </c>
      <c r="E47" t="s">
        <v>68</v>
      </c>
      <c r="F47" t="s">
        <v>456</v>
      </c>
      <c r="G47" s="17">
        <v>8.5</v>
      </c>
      <c r="H47" s="18">
        <v>40000</v>
      </c>
      <c r="I47" s="18">
        <v>100</v>
      </c>
      <c r="J47" s="17">
        <f t="shared" si="1"/>
        <v>8.5000000000000006E-2</v>
      </c>
      <c r="K47" s="18">
        <f t="shared" si="2"/>
        <v>3400</v>
      </c>
      <c r="L47" s="104">
        <f>SUM(K47:K53,K56,K57,K58,K59,K60,K61)</f>
        <v>10069.49999032591</v>
      </c>
      <c r="M47" s="108" t="s">
        <v>80</v>
      </c>
    </row>
    <row r="48" spans="1:15" hidden="1" x14ac:dyDescent="0.35">
      <c r="A48" s="24" t="s">
        <v>233</v>
      </c>
      <c r="B48" s="24" t="str">
        <f t="shared" si="0"/>
        <v>Gỏi gà xéSu tím</v>
      </c>
      <c r="C48" s="24" t="s">
        <v>8</v>
      </c>
      <c r="D48" t="s">
        <v>53</v>
      </c>
      <c r="E48" t="s">
        <v>68</v>
      </c>
      <c r="F48" t="s">
        <v>22</v>
      </c>
      <c r="G48" s="17">
        <v>8</v>
      </c>
      <c r="H48" s="18">
        <v>14000</v>
      </c>
      <c r="I48" s="18">
        <v>404</v>
      </c>
      <c r="J48" s="17">
        <f t="shared" si="1"/>
        <v>1.9801980198019802E-2</v>
      </c>
      <c r="K48" s="18">
        <f t="shared" si="2"/>
        <v>277.22772277227722</v>
      </c>
      <c r="L48" s="105"/>
      <c r="M48" s="108"/>
    </row>
    <row r="49" spans="1:13" hidden="1" x14ac:dyDescent="0.35">
      <c r="A49" s="24" t="s">
        <v>233</v>
      </c>
      <c r="B49" s="24" t="str">
        <f t="shared" si="0"/>
        <v>Gỏi gà xéSu trắng</v>
      </c>
      <c r="C49" s="24" t="s">
        <v>8</v>
      </c>
      <c r="D49" t="s">
        <v>53</v>
      </c>
      <c r="E49" t="s">
        <v>68</v>
      </c>
      <c r="F49" t="s">
        <v>39</v>
      </c>
      <c r="G49" s="17">
        <v>10</v>
      </c>
      <c r="H49" s="18">
        <v>10000</v>
      </c>
      <c r="I49" s="18">
        <v>404</v>
      </c>
      <c r="J49" s="17">
        <f t="shared" si="1"/>
        <v>2.4752475247524754E-2</v>
      </c>
      <c r="K49" s="18">
        <f t="shared" si="2"/>
        <v>247.52475247524754</v>
      </c>
      <c r="L49" s="105"/>
      <c r="M49" s="108"/>
    </row>
    <row r="50" spans="1:13" hidden="1" x14ac:dyDescent="0.35">
      <c r="A50" s="24" t="s">
        <v>233</v>
      </c>
      <c r="B50" s="24" t="str">
        <f t="shared" si="0"/>
        <v>Gỏi gà xéRau răm</v>
      </c>
      <c r="C50" s="24" t="s">
        <v>8</v>
      </c>
      <c r="D50" t="s">
        <v>53</v>
      </c>
      <c r="E50" t="s">
        <v>68</v>
      </c>
      <c r="F50" t="s">
        <v>69</v>
      </c>
      <c r="G50" s="17">
        <v>1.5</v>
      </c>
      <c r="H50" s="18">
        <v>20000</v>
      </c>
      <c r="I50" s="18">
        <v>404</v>
      </c>
      <c r="J50" s="17">
        <f t="shared" si="1"/>
        <v>3.7128712871287127E-3</v>
      </c>
      <c r="K50" s="18">
        <f t="shared" si="2"/>
        <v>74.257425742574256</v>
      </c>
      <c r="L50" s="105"/>
      <c r="M50" s="108"/>
    </row>
    <row r="51" spans="1:13" hidden="1" x14ac:dyDescent="0.35">
      <c r="A51" s="24" t="s">
        <v>233</v>
      </c>
      <c r="B51" s="24" t="str">
        <f t="shared" si="0"/>
        <v>Gỏi gà xéCà Rốt</v>
      </c>
      <c r="C51" s="24" t="s">
        <v>8</v>
      </c>
      <c r="D51" t="s">
        <v>53</v>
      </c>
      <c r="E51" t="s">
        <v>68</v>
      </c>
      <c r="F51" t="s">
        <v>70</v>
      </c>
      <c r="G51" s="17">
        <v>10</v>
      </c>
      <c r="H51" s="18">
        <v>15000</v>
      </c>
      <c r="I51" s="18">
        <v>404</v>
      </c>
      <c r="J51" s="17">
        <f t="shared" si="1"/>
        <v>2.4752475247524754E-2</v>
      </c>
      <c r="K51" s="18">
        <f t="shared" si="2"/>
        <v>371.28712871287127</v>
      </c>
      <c r="L51" s="105"/>
      <c r="M51" s="108"/>
    </row>
    <row r="52" spans="1:13" hidden="1" x14ac:dyDescent="0.35">
      <c r="A52" s="24" t="s">
        <v>233</v>
      </c>
      <c r="B52" s="24" t="str">
        <f t="shared" si="0"/>
        <v>Mướp xào giáMướp</v>
      </c>
      <c r="C52" s="24" t="s">
        <v>8</v>
      </c>
      <c r="D52" t="s">
        <v>47</v>
      </c>
      <c r="E52" t="s">
        <v>71</v>
      </c>
      <c r="F52" t="s">
        <v>72</v>
      </c>
      <c r="G52" s="17">
        <v>32</v>
      </c>
      <c r="H52" s="18">
        <v>10000</v>
      </c>
      <c r="I52" s="18">
        <v>433</v>
      </c>
      <c r="J52" s="17">
        <f t="shared" si="1"/>
        <v>7.3903002309468821E-2</v>
      </c>
      <c r="K52" s="18">
        <f t="shared" si="2"/>
        <v>739.0300230946882</v>
      </c>
      <c r="L52" s="105"/>
      <c r="M52" s="108"/>
    </row>
    <row r="53" spans="1:13" hidden="1" x14ac:dyDescent="0.35">
      <c r="A53" s="24" t="s">
        <v>233</v>
      </c>
      <c r="B53" s="24" t="str">
        <f t="shared" si="0"/>
        <v>Mướp xào giáGiá</v>
      </c>
      <c r="C53" s="24" t="s">
        <v>8</v>
      </c>
      <c r="D53" t="s">
        <v>47</v>
      </c>
      <c r="E53" t="s">
        <v>71</v>
      </c>
      <c r="F53" t="s">
        <v>26</v>
      </c>
      <c r="G53" s="17">
        <v>17</v>
      </c>
      <c r="H53" s="18">
        <v>10000</v>
      </c>
      <c r="I53" s="18">
        <v>433</v>
      </c>
      <c r="J53" s="17">
        <f t="shared" si="1"/>
        <v>3.9260969976905313E-2</v>
      </c>
      <c r="K53" s="18">
        <f t="shared" si="2"/>
        <v>392.60969976905312</v>
      </c>
      <c r="L53" s="105"/>
      <c r="M53" s="108"/>
    </row>
    <row r="54" spans="1:13" hidden="1" x14ac:dyDescent="0.35">
      <c r="A54" s="24" t="s">
        <v>232</v>
      </c>
      <c r="B54" s="24" t="str">
        <f t="shared" si="0"/>
        <v>Chả cá sốt càChả cá</v>
      </c>
      <c r="C54" s="24" t="s">
        <v>8</v>
      </c>
      <c r="D54" t="s">
        <v>19</v>
      </c>
      <c r="E54" t="s">
        <v>73</v>
      </c>
      <c r="F54" t="s">
        <v>74</v>
      </c>
      <c r="G54" s="17">
        <v>270</v>
      </c>
      <c r="H54" s="18">
        <v>1000</v>
      </c>
      <c r="I54" s="18">
        <v>113</v>
      </c>
      <c r="J54" s="17">
        <f t="shared" si="1"/>
        <v>2.3893805309734515</v>
      </c>
      <c r="K54" s="18">
        <f t="shared" si="2"/>
        <v>2389.3805309734512</v>
      </c>
      <c r="L54" s="105"/>
      <c r="M54" s="108"/>
    </row>
    <row r="55" spans="1:13" hidden="1" x14ac:dyDescent="0.35">
      <c r="A55" s="24" t="s">
        <v>233</v>
      </c>
      <c r="B55" s="24" t="str">
        <f t="shared" si="0"/>
        <v>Chả cá sốt càCà chua</v>
      </c>
      <c r="C55" s="24" t="s">
        <v>8</v>
      </c>
      <c r="D55" t="s">
        <v>19</v>
      </c>
      <c r="E55" t="s">
        <v>73</v>
      </c>
      <c r="F55" t="s">
        <v>14</v>
      </c>
      <c r="G55" s="17">
        <v>3</v>
      </c>
      <c r="H55" s="18">
        <v>20000</v>
      </c>
      <c r="I55" s="18">
        <v>113</v>
      </c>
      <c r="J55" s="17">
        <f t="shared" si="1"/>
        <v>2.6548672566371681E-2</v>
      </c>
      <c r="K55" s="18">
        <f t="shared" si="2"/>
        <v>530.97345132743362</v>
      </c>
      <c r="L55" s="101">
        <f>SUM(K47:K61)</f>
        <v>12989.853972626797</v>
      </c>
      <c r="M55" s="106" t="s">
        <v>81</v>
      </c>
    </row>
    <row r="56" spans="1:13" hidden="1" x14ac:dyDescent="0.35">
      <c r="A56" s="24" t="s">
        <v>233</v>
      </c>
      <c r="B56" s="24" t="str">
        <f t="shared" si="0"/>
        <v>Dưa mónDưa món</v>
      </c>
      <c r="C56" s="24" t="s">
        <v>8</v>
      </c>
      <c r="D56" t="s">
        <v>157</v>
      </c>
      <c r="E56" t="s">
        <v>75</v>
      </c>
      <c r="F56" t="s">
        <v>75</v>
      </c>
      <c r="G56" s="17">
        <v>3</v>
      </c>
      <c r="H56" s="18">
        <v>18000</v>
      </c>
      <c r="I56" s="18">
        <v>100</v>
      </c>
      <c r="J56" s="17">
        <f t="shared" si="1"/>
        <v>0.03</v>
      </c>
      <c r="K56" s="18">
        <f t="shared" si="2"/>
        <v>540</v>
      </c>
      <c r="L56" s="102"/>
      <c r="M56" s="106"/>
    </row>
    <row r="57" spans="1:13" hidden="1" x14ac:dyDescent="0.35">
      <c r="A57" s="24" t="s">
        <v>233</v>
      </c>
      <c r="B57" s="24" t="str">
        <f t="shared" si="0"/>
        <v>Canh củ quảKhoai tây</v>
      </c>
      <c r="C57" s="24" t="s">
        <v>8</v>
      </c>
      <c r="D57" t="s">
        <v>12</v>
      </c>
      <c r="E57" t="s">
        <v>76</v>
      </c>
      <c r="F57" t="s">
        <v>77</v>
      </c>
      <c r="G57" s="17">
        <v>4</v>
      </c>
      <c r="H57" s="18">
        <v>17000</v>
      </c>
      <c r="I57" s="18">
        <v>433</v>
      </c>
      <c r="J57" s="17">
        <f t="shared" si="1"/>
        <v>9.2378752886836026E-3</v>
      </c>
      <c r="K57" s="18">
        <f t="shared" si="2"/>
        <v>157.04387990762126</v>
      </c>
      <c r="L57" s="102"/>
      <c r="M57" s="106"/>
    </row>
    <row r="58" spans="1:13" hidden="1" x14ac:dyDescent="0.35">
      <c r="A58" s="24" t="s">
        <v>233</v>
      </c>
      <c r="B58" s="24" t="str">
        <f t="shared" si="0"/>
        <v>Canh củ quảCà rốt</v>
      </c>
      <c r="C58" s="24" t="s">
        <v>8</v>
      </c>
      <c r="D58" t="s">
        <v>12</v>
      </c>
      <c r="E58" t="s">
        <v>76</v>
      </c>
      <c r="F58" t="s">
        <v>78</v>
      </c>
      <c r="G58" s="17">
        <v>5.5</v>
      </c>
      <c r="H58" s="18">
        <v>15000</v>
      </c>
      <c r="I58" s="18">
        <v>433</v>
      </c>
      <c r="J58" s="17">
        <f t="shared" si="1"/>
        <v>1.2702078521939953E-2</v>
      </c>
      <c r="K58" s="18">
        <f t="shared" si="2"/>
        <v>190.53117782909931</v>
      </c>
      <c r="L58" s="102"/>
      <c r="M58" s="106"/>
    </row>
    <row r="59" spans="1:13" hidden="1" x14ac:dyDescent="0.35">
      <c r="A59" s="24" t="s">
        <v>232</v>
      </c>
      <c r="B59" s="24" t="str">
        <f t="shared" si="0"/>
        <v>Canh củ quảThịt xay</v>
      </c>
      <c r="C59" s="24" t="s">
        <v>8</v>
      </c>
      <c r="D59" t="s">
        <v>12</v>
      </c>
      <c r="E59" t="s">
        <v>76</v>
      </c>
      <c r="F59" t="s">
        <v>31</v>
      </c>
      <c r="G59" s="17">
        <v>1</v>
      </c>
      <c r="H59" s="18">
        <v>80000</v>
      </c>
      <c r="I59" s="18">
        <v>404</v>
      </c>
      <c r="J59" s="17">
        <f t="shared" si="1"/>
        <v>2.4752475247524753E-3</v>
      </c>
      <c r="K59" s="18">
        <f t="shared" si="2"/>
        <v>198.01980198019803</v>
      </c>
      <c r="L59" s="102"/>
      <c r="M59" s="106"/>
    </row>
    <row r="60" spans="1:13" hidden="1" x14ac:dyDescent="0.35">
      <c r="A60" s="24" t="s">
        <v>233</v>
      </c>
      <c r="B60" s="24" t="str">
        <f t="shared" si="0"/>
        <v>Trái câyChuối</v>
      </c>
      <c r="C60" s="24" t="s">
        <v>8</v>
      </c>
      <c r="D60" t="s">
        <v>52</v>
      </c>
      <c r="E60" t="s">
        <v>17</v>
      </c>
      <c r="F60" t="s">
        <v>79</v>
      </c>
      <c r="G60" s="17">
        <v>450</v>
      </c>
      <c r="H60" s="18">
        <v>1500</v>
      </c>
      <c r="I60" s="18">
        <v>433</v>
      </c>
      <c r="J60" s="17">
        <f t="shared" si="1"/>
        <v>1.0392609699769053</v>
      </c>
      <c r="K60" s="18">
        <f t="shared" si="2"/>
        <v>1558.891454965358</v>
      </c>
      <c r="L60" s="102"/>
      <c r="M60" s="106"/>
    </row>
    <row r="61" spans="1:13" hidden="1" x14ac:dyDescent="0.35">
      <c r="A61" s="24" t="s">
        <v>233</v>
      </c>
      <c r="B61" s="24" t="str">
        <f t="shared" si="0"/>
        <v>CơmGạo</v>
      </c>
      <c r="C61" s="24" t="s">
        <v>8</v>
      </c>
      <c r="D61" t="s">
        <v>15</v>
      </c>
      <c r="E61" t="s">
        <v>15</v>
      </c>
      <c r="F61" t="s">
        <v>16</v>
      </c>
      <c r="G61" s="17">
        <v>10</v>
      </c>
      <c r="H61" s="18">
        <v>12500</v>
      </c>
      <c r="I61" s="18">
        <v>65</v>
      </c>
      <c r="J61" s="17">
        <f t="shared" si="1"/>
        <v>0.15384615384615385</v>
      </c>
      <c r="K61" s="18">
        <f t="shared" si="2"/>
        <v>1923.0769230769231</v>
      </c>
      <c r="L61" s="102"/>
      <c r="M61" s="106"/>
    </row>
    <row r="62" spans="1:13" hidden="1" x14ac:dyDescent="0.35">
      <c r="A62" s="24" t="s">
        <v>232</v>
      </c>
      <c r="B62" s="24" t="str">
        <f t="shared" si="0"/>
        <v>Cá phèn khoCá phèn</v>
      </c>
      <c r="C62" s="24" t="s">
        <v>8</v>
      </c>
      <c r="D62" t="s">
        <v>53</v>
      </c>
      <c r="E62" t="s">
        <v>82</v>
      </c>
      <c r="F62" t="s">
        <v>84</v>
      </c>
      <c r="G62" s="17">
        <v>4.2</v>
      </c>
      <c r="H62" s="18">
        <v>37000</v>
      </c>
      <c r="I62" s="18">
        <v>36</v>
      </c>
      <c r="J62" s="17">
        <f t="shared" si="1"/>
        <v>0.11666666666666667</v>
      </c>
      <c r="K62" s="18">
        <f t="shared" si="2"/>
        <v>4316.666666666667</v>
      </c>
      <c r="L62" s="103" t="e">
        <f>SUM(K62:K67,#REF!)</f>
        <v>#REF!</v>
      </c>
      <c r="M62" s="106" t="s">
        <v>89</v>
      </c>
    </row>
    <row r="63" spans="1:13" hidden="1" x14ac:dyDescent="0.35">
      <c r="A63" s="24" t="s">
        <v>232</v>
      </c>
      <c r="B63" s="24" t="str">
        <f t="shared" si="0"/>
        <v>Thịt heo kho sả ruốcThịt heo nọng nạc</v>
      </c>
      <c r="C63" s="24" t="s">
        <v>8</v>
      </c>
      <c r="D63" t="s">
        <v>53</v>
      </c>
      <c r="E63" t="s">
        <v>83</v>
      </c>
      <c r="F63" t="s">
        <v>281</v>
      </c>
      <c r="G63" s="17">
        <v>5.5</v>
      </c>
      <c r="H63" s="18">
        <v>70000</v>
      </c>
      <c r="I63" s="18">
        <v>100</v>
      </c>
      <c r="J63" s="17">
        <f t="shared" si="1"/>
        <v>5.5E-2</v>
      </c>
      <c r="K63" s="18">
        <f t="shared" si="2"/>
        <v>3850</v>
      </c>
      <c r="L63" s="109"/>
      <c r="M63" s="106"/>
    </row>
    <row r="64" spans="1:13" hidden="1" x14ac:dyDescent="0.35">
      <c r="A64" s="24" t="s">
        <v>232</v>
      </c>
      <c r="B64" s="24" t="str">
        <f t="shared" si="0"/>
        <v>Thịt heo kho sả ruốcSả</v>
      </c>
      <c r="C64" s="24" t="s">
        <v>8</v>
      </c>
      <c r="D64" t="s">
        <v>53</v>
      </c>
      <c r="E64" t="s">
        <v>83</v>
      </c>
      <c r="F64" t="s">
        <v>207</v>
      </c>
      <c r="G64" s="17">
        <v>1</v>
      </c>
      <c r="H64" s="18">
        <v>10000</v>
      </c>
      <c r="I64" s="18">
        <v>100</v>
      </c>
      <c r="J64" s="17">
        <f t="shared" si="1"/>
        <v>0.01</v>
      </c>
      <c r="K64" s="18">
        <f t="shared" si="2"/>
        <v>100</v>
      </c>
      <c r="L64" s="109"/>
      <c r="M64" s="106"/>
    </row>
    <row r="65" spans="1:18" hidden="1" x14ac:dyDescent="0.35">
      <c r="A65" s="24" t="s">
        <v>232</v>
      </c>
      <c r="B65" s="24" t="str">
        <f t="shared" si="0"/>
        <v>Thịt heo kho sả ruốcMắm ruốc</v>
      </c>
      <c r="C65" s="24" t="s">
        <v>8</v>
      </c>
      <c r="D65" t="s">
        <v>53</v>
      </c>
      <c r="E65" t="s">
        <v>83</v>
      </c>
      <c r="F65" t="s">
        <v>282</v>
      </c>
      <c r="G65" s="17">
        <v>0.5</v>
      </c>
      <c r="H65" s="18">
        <v>40000</v>
      </c>
      <c r="I65" s="18">
        <v>100</v>
      </c>
      <c r="J65" s="17">
        <f t="shared" si="1"/>
        <v>5.0000000000000001E-3</v>
      </c>
      <c r="K65" s="18">
        <f t="shared" si="2"/>
        <v>200</v>
      </c>
      <c r="L65" s="109"/>
      <c r="M65" s="106"/>
    </row>
    <row r="66" spans="1:18" hidden="1" x14ac:dyDescent="0.35">
      <c r="A66" s="24" t="s">
        <v>232</v>
      </c>
      <c r="B66" s="24" t="str">
        <f t="shared" si="0"/>
        <v>Canh cải ngọt thịt bằmThịt xay</v>
      </c>
      <c r="C66" s="24" t="s">
        <v>8</v>
      </c>
      <c r="D66" t="s">
        <v>12</v>
      </c>
      <c r="E66" t="s">
        <v>86</v>
      </c>
      <c r="F66" t="s">
        <v>31</v>
      </c>
      <c r="G66" s="17">
        <v>0.3</v>
      </c>
      <c r="H66" s="18">
        <v>80000</v>
      </c>
      <c r="I66" s="18">
        <v>100</v>
      </c>
      <c r="J66" s="17">
        <f t="shared" si="1"/>
        <v>3.0000000000000001E-3</v>
      </c>
      <c r="K66" s="18">
        <f t="shared" si="2"/>
        <v>240</v>
      </c>
      <c r="L66" s="109"/>
      <c r="M66" s="106"/>
    </row>
    <row r="67" spans="1:18" hidden="1" x14ac:dyDescent="0.35">
      <c r="A67" s="24" t="s">
        <v>233</v>
      </c>
      <c r="B67" s="24" t="str">
        <f t="shared" si="0"/>
        <v>Canh cải ngọt thịt bằmCải ngọt</v>
      </c>
      <c r="C67" s="24" t="s">
        <v>8</v>
      </c>
      <c r="D67" t="s">
        <v>12</v>
      </c>
      <c r="E67" t="s">
        <v>86</v>
      </c>
      <c r="F67" t="s">
        <v>49</v>
      </c>
      <c r="G67" s="17">
        <v>3.5</v>
      </c>
      <c r="H67" s="18">
        <v>8000</v>
      </c>
      <c r="I67" s="18">
        <v>100</v>
      </c>
      <c r="J67" s="17">
        <f t="shared" si="1"/>
        <v>3.5000000000000003E-2</v>
      </c>
      <c r="K67" s="18">
        <f t="shared" si="2"/>
        <v>280</v>
      </c>
      <c r="L67" s="110" t="e">
        <f>SUM(K68:K70,#REF!)</f>
        <v>#REF!</v>
      </c>
      <c r="M67" s="106" t="s">
        <v>88</v>
      </c>
    </row>
    <row r="68" spans="1:18" hidden="1" x14ac:dyDescent="0.35">
      <c r="A68" s="24" t="s">
        <v>233</v>
      </c>
      <c r="B68" s="24" t="str">
        <f t="shared" ref="B68:B131" si="3">E68&amp;F68</f>
        <v>cốt lết nướngCốt lết</v>
      </c>
      <c r="C68" s="24" t="s">
        <v>8</v>
      </c>
      <c r="D68" t="s">
        <v>18</v>
      </c>
      <c r="E68" t="s">
        <v>461</v>
      </c>
      <c r="F68" t="s">
        <v>87</v>
      </c>
      <c r="G68" s="17">
        <v>11</v>
      </c>
      <c r="H68" s="18">
        <v>100000</v>
      </c>
      <c r="I68" s="18">
        <v>100</v>
      </c>
      <c r="J68" s="17">
        <f t="shared" ref="J68:J131" si="4">G68/I68</f>
        <v>0.11</v>
      </c>
      <c r="K68" s="18">
        <f t="shared" ref="K68:K131" si="5">(G68*H68)/I68</f>
        <v>11000</v>
      </c>
      <c r="L68" s="111"/>
      <c r="M68" s="106"/>
    </row>
    <row r="69" spans="1:18" hidden="1" x14ac:dyDescent="0.35">
      <c r="A69" s="24" t="s">
        <v>233</v>
      </c>
      <c r="B69" s="24" t="str">
        <f t="shared" si="3"/>
        <v>cốt lết nướngsả</v>
      </c>
      <c r="C69" s="24" t="s">
        <v>8</v>
      </c>
      <c r="D69" t="s">
        <v>18</v>
      </c>
      <c r="E69" t="s">
        <v>461</v>
      </c>
      <c r="F69" t="s">
        <v>452</v>
      </c>
      <c r="G69" s="17">
        <v>0.7</v>
      </c>
      <c r="H69" s="18">
        <v>30000</v>
      </c>
      <c r="I69" s="18">
        <v>100</v>
      </c>
      <c r="J69" s="17">
        <f t="shared" si="4"/>
        <v>6.9999999999999993E-3</v>
      </c>
      <c r="K69" s="18">
        <f t="shared" si="5"/>
        <v>210</v>
      </c>
      <c r="L69" s="111"/>
      <c r="M69" s="106"/>
    </row>
    <row r="70" spans="1:18" ht="15.5" hidden="1" x14ac:dyDescent="0.35">
      <c r="A70" s="24" t="s">
        <v>232</v>
      </c>
      <c r="B70" s="24" t="str">
        <f t="shared" si="3"/>
        <v>trứng ốp laTrứng gà</v>
      </c>
      <c r="C70" s="24" t="s">
        <v>8</v>
      </c>
      <c r="D70" t="s">
        <v>18</v>
      </c>
      <c r="E70" t="s">
        <v>509</v>
      </c>
      <c r="F70" t="s">
        <v>13</v>
      </c>
      <c r="G70" s="17">
        <v>100</v>
      </c>
      <c r="H70" s="18">
        <v>2000</v>
      </c>
      <c r="I70" s="18">
        <v>100</v>
      </c>
      <c r="J70" s="17">
        <f t="shared" si="4"/>
        <v>1</v>
      </c>
      <c r="K70" s="18">
        <f t="shared" si="5"/>
        <v>2000</v>
      </c>
      <c r="L70" s="111"/>
      <c r="M70" s="106"/>
      <c r="P70" t="s">
        <v>444</v>
      </c>
      <c r="Q70">
        <v>1</v>
      </c>
      <c r="R70" s="95" t="s">
        <v>447</v>
      </c>
    </row>
    <row r="71" spans="1:18" ht="15" hidden="1" customHeight="1" x14ac:dyDescent="0.35">
      <c r="A71" s="24" t="s">
        <v>232</v>
      </c>
      <c r="B71" s="24" t="str">
        <f t="shared" si="3"/>
        <v>Cá basa kho nghệCá basa</v>
      </c>
      <c r="C71" s="24" t="s">
        <v>8</v>
      </c>
      <c r="D71" t="s">
        <v>18</v>
      </c>
      <c r="E71" t="s">
        <v>90</v>
      </c>
      <c r="F71" t="s">
        <v>92</v>
      </c>
      <c r="G71" s="17">
        <v>37</v>
      </c>
      <c r="H71" s="18">
        <v>35000</v>
      </c>
      <c r="I71" s="18">
        <v>300</v>
      </c>
      <c r="J71" s="17">
        <f t="shared" si="4"/>
        <v>0.12333333333333334</v>
      </c>
      <c r="K71" s="18">
        <f t="shared" si="5"/>
        <v>4316.666666666667</v>
      </c>
      <c r="L71" s="104"/>
      <c r="M71" s="108"/>
      <c r="Q71">
        <v>1</v>
      </c>
    </row>
    <row r="72" spans="1:18" ht="15" hidden="1" customHeight="1" x14ac:dyDescent="0.35">
      <c r="A72" s="24" t="s">
        <v>232</v>
      </c>
      <c r="B72" s="24" t="str">
        <f t="shared" si="3"/>
        <v>Gỏi tai heoTai mui heo</v>
      </c>
      <c r="C72" s="24" t="s">
        <v>8</v>
      </c>
      <c r="D72" t="s">
        <v>19</v>
      </c>
      <c r="E72" t="s">
        <v>91</v>
      </c>
      <c r="F72" t="s">
        <v>93</v>
      </c>
      <c r="G72" s="17">
        <v>4</v>
      </c>
      <c r="H72" s="18">
        <v>70000</v>
      </c>
      <c r="I72" s="18">
        <v>100</v>
      </c>
      <c r="J72" s="17">
        <f t="shared" si="4"/>
        <v>0.04</v>
      </c>
      <c r="K72" s="18">
        <f t="shared" si="5"/>
        <v>2800</v>
      </c>
      <c r="L72" s="104"/>
      <c r="M72" s="108"/>
      <c r="Q72">
        <v>0.5</v>
      </c>
    </row>
    <row r="73" spans="1:18" ht="15" hidden="1" customHeight="1" x14ac:dyDescent="0.35">
      <c r="A73" s="24" t="s">
        <v>233</v>
      </c>
      <c r="B73" s="24" t="str">
        <f t="shared" si="3"/>
        <v xml:space="preserve">Gỏi tai heoSu tím </v>
      </c>
      <c r="C73" s="24" t="s">
        <v>8</v>
      </c>
      <c r="D73" t="s">
        <v>19</v>
      </c>
      <c r="E73" t="s">
        <v>91</v>
      </c>
      <c r="F73" t="s">
        <v>94</v>
      </c>
      <c r="G73" s="17">
        <v>2</v>
      </c>
      <c r="H73" s="18">
        <v>14000</v>
      </c>
      <c r="I73" s="18">
        <v>100</v>
      </c>
      <c r="J73" s="17">
        <f t="shared" si="4"/>
        <v>0.02</v>
      </c>
      <c r="K73" s="18">
        <f t="shared" si="5"/>
        <v>280</v>
      </c>
      <c r="L73" s="104"/>
      <c r="M73" s="108"/>
      <c r="O73" t="s">
        <v>328</v>
      </c>
      <c r="Q73">
        <v>0.5</v>
      </c>
    </row>
    <row r="74" spans="1:18" ht="15" hidden="1" customHeight="1" x14ac:dyDescent="0.35">
      <c r="A74" s="24" t="s">
        <v>233</v>
      </c>
      <c r="B74" s="24" t="str">
        <f t="shared" si="3"/>
        <v>Gỏi tai heoSu trắng</v>
      </c>
      <c r="C74" s="24" t="s">
        <v>8</v>
      </c>
      <c r="D74" t="s">
        <v>19</v>
      </c>
      <c r="E74" t="s">
        <v>91</v>
      </c>
      <c r="F74" t="s">
        <v>39</v>
      </c>
      <c r="G74" s="17">
        <v>2</v>
      </c>
      <c r="H74" s="18">
        <v>10000</v>
      </c>
      <c r="I74" s="18">
        <v>100</v>
      </c>
      <c r="J74" s="17">
        <f t="shared" si="4"/>
        <v>0.02</v>
      </c>
      <c r="K74" s="18">
        <f t="shared" si="5"/>
        <v>200</v>
      </c>
      <c r="L74" s="104"/>
      <c r="M74" s="108"/>
      <c r="O74" t="s">
        <v>328</v>
      </c>
      <c r="P74" t="s">
        <v>394</v>
      </c>
      <c r="Q74">
        <v>15</v>
      </c>
      <c r="R74" t="s">
        <v>392</v>
      </c>
    </row>
    <row r="75" spans="1:18" ht="15" hidden="1" customHeight="1" x14ac:dyDescent="0.35">
      <c r="A75" s="24" t="s">
        <v>233</v>
      </c>
      <c r="B75" s="24" t="str">
        <f t="shared" si="3"/>
        <v>Gỏi tai heoCà rốt</v>
      </c>
      <c r="C75" s="24" t="s">
        <v>8</v>
      </c>
      <c r="D75" t="s">
        <v>19</v>
      </c>
      <c r="E75" t="s">
        <v>91</v>
      </c>
      <c r="F75" t="s">
        <v>78</v>
      </c>
      <c r="G75" s="17">
        <v>1</v>
      </c>
      <c r="H75" s="18">
        <v>15000</v>
      </c>
      <c r="I75" s="18">
        <v>100</v>
      </c>
      <c r="J75" s="17">
        <f t="shared" si="4"/>
        <v>0.01</v>
      </c>
      <c r="K75" s="18">
        <f t="shared" si="5"/>
        <v>150</v>
      </c>
      <c r="L75" s="104"/>
      <c r="M75" s="108"/>
      <c r="R75" t="s">
        <v>354</v>
      </c>
    </row>
    <row r="76" spans="1:18" ht="15" hidden="1" customHeight="1" x14ac:dyDescent="0.35">
      <c r="A76" s="24" t="s">
        <v>233</v>
      </c>
      <c r="B76" s="24" t="str">
        <f t="shared" si="3"/>
        <v>Gỏi tai heoRau quế</v>
      </c>
      <c r="C76" s="24" t="s">
        <v>8</v>
      </c>
      <c r="D76" t="s">
        <v>19</v>
      </c>
      <c r="E76" t="s">
        <v>91</v>
      </c>
      <c r="F76" t="s">
        <v>23</v>
      </c>
      <c r="G76" s="17">
        <v>0.3</v>
      </c>
      <c r="H76" s="18">
        <v>30000</v>
      </c>
      <c r="I76" s="18">
        <v>100</v>
      </c>
      <c r="J76" s="17">
        <f t="shared" si="4"/>
        <v>3.0000000000000001E-3</v>
      </c>
      <c r="K76" s="18">
        <f t="shared" si="5"/>
        <v>90</v>
      </c>
      <c r="L76" s="104"/>
      <c r="M76" s="108"/>
    </row>
    <row r="77" spans="1:18" ht="15" hidden="1" customHeight="1" x14ac:dyDescent="0.35">
      <c r="A77" s="24" t="s">
        <v>233</v>
      </c>
      <c r="B77" s="24" t="str">
        <f t="shared" si="3"/>
        <v>Bầu xào giáGiá</v>
      </c>
      <c r="C77" s="24" t="s">
        <v>8</v>
      </c>
      <c r="D77" t="s">
        <v>47</v>
      </c>
      <c r="E77" t="s">
        <v>95</v>
      </c>
      <c r="F77" t="s">
        <v>26</v>
      </c>
      <c r="G77" s="17">
        <v>13</v>
      </c>
      <c r="H77" s="18">
        <v>10000</v>
      </c>
      <c r="I77" s="18">
        <v>323</v>
      </c>
      <c r="J77" s="17">
        <f t="shared" si="4"/>
        <v>4.0247678018575851E-2</v>
      </c>
      <c r="K77" s="18">
        <f t="shared" si="5"/>
        <v>402.47678018575851</v>
      </c>
      <c r="L77" s="104"/>
      <c r="M77" s="108"/>
    </row>
    <row r="78" spans="1:18" ht="15" hidden="1" customHeight="1" x14ac:dyDescent="0.35">
      <c r="A78" s="24" t="s">
        <v>233</v>
      </c>
      <c r="B78" s="24" t="str">
        <f t="shared" si="3"/>
        <v>Bầu xào giáBầu</v>
      </c>
      <c r="C78" s="24" t="s">
        <v>8</v>
      </c>
      <c r="D78" t="s">
        <v>47</v>
      </c>
      <c r="E78" t="s">
        <v>95</v>
      </c>
      <c r="F78" t="s">
        <v>96</v>
      </c>
      <c r="G78" s="17">
        <v>15</v>
      </c>
      <c r="H78" s="18">
        <v>11000</v>
      </c>
      <c r="I78" s="18">
        <v>323</v>
      </c>
      <c r="J78" s="17">
        <f t="shared" si="4"/>
        <v>4.6439628482972138E-2</v>
      </c>
      <c r="K78" s="18">
        <f t="shared" si="5"/>
        <v>510.83591331269349</v>
      </c>
      <c r="L78" s="104"/>
      <c r="M78" s="108"/>
    </row>
    <row r="79" spans="1:18" ht="15" hidden="1" customHeight="1" x14ac:dyDescent="0.35">
      <c r="A79" s="24" t="s">
        <v>233</v>
      </c>
      <c r="B79" s="24" t="str">
        <f t="shared" si="3"/>
        <v>Bồ ngốt nấu tômBồ ngót</v>
      </c>
      <c r="C79" s="24" t="s">
        <v>8</v>
      </c>
      <c r="D79" t="s">
        <v>12</v>
      </c>
      <c r="E79" t="s">
        <v>97</v>
      </c>
      <c r="F79" t="s">
        <v>98</v>
      </c>
      <c r="G79" s="17">
        <v>10</v>
      </c>
      <c r="H79" s="18">
        <v>12000</v>
      </c>
      <c r="I79" s="18">
        <v>323</v>
      </c>
      <c r="J79" s="17">
        <f t="shared" si="4"/>
        <v>3.0959752321981424E-2</v>
      </c>
      <c r="K79" s="18">
        <f t="shared" si="5"/>
        <v>371.51702786377712</v>
      </c>
      <c r="L79" s="104"/>
      <c r="M79" s="108"/>
    </row>
    <row r="80" spans="1:18" ht="17.25" hidden="1" customHeight="1" x14ac:dyDescent="0.35">
      <c r="A80" s="24" t="s">
        <v>232</v>
      </c>
      <c r="B80" s="24" t="str">
        <f t="shared" si="3"/>
        <v>Bồ ngốt nấu tômTôm</v>
      </c>
      <c r="C80" s="24" t="s">
        <v>8</v>
      </c>
      <c r="D80" t="s">
        <v>12</v>
      </c>
      <c r="E80" t="s">
        <v>97</v>
      </c>
      <c r="F80" t="s">
        <v>37</v>
      </c>
      <c r="G80" s="17">
        <v>1.5</v>
      </c>
      <c r="H80" s="18">
        <v>115000</v>
      </c>
      <c r="I80" s="18">
        <v>500</v>
      </c>
      <c r="J80" s="17">
        <f t="shared" si="4"/>
        <v>3.0000000000000001E-3</v>
      </c>
      <c r="K80" s="18">
        <f t="shared" si="5"/>
        <v>345</v>
      </c>
      <c r="L80" s="104"/>
      <c r="M80" s="108"/>
    </row>
    <row r="81" spans="1:14" ht="15" hidden="1" customHeight="1" x14ac:dyDescent="0.35">
      <c r="A81" s="24" t="s">
        <v>233</v>
      </c>
      <c r="B81" s="24" t="str">
        <f t="shared" si="3"/>
        <v>Trái câyThanh long</v>
      </c>
      <c r="C81" s="24" t="s">
        <v>8</v>
      </c>
      <c r="D81" t="s">
        <v>52</v>
      </c>
      <c r="E81" t="s">
        <v>17</v>
      </c>
      <c r="F81" t="s">
        <v>27</v>
      </c>
      <c r="G81" s="17">
        <v>35</v>
      </c>
      <c r="H81" s="18">
        <v>20000</v>
      </c>
      <c r="I81" s="18">
        <v>323</v>
      </c>
      <c r="J81" s="17">
        <f t="shared" si="4"/>
        <v>0.10835913312693499</v>
      </c>
      <c r="K81" s="18">
        <f t="shared" si="5"/>
        <v>2167.1826625386998</v>
      </c>
      <c r="L81" s="28">
        <f>SUM(K71:K82)</f>
        <v>15758.679050567598</v>
      </c>
      <c r="M81" t="s">
        <v>81</v>
      </c>
    </row>
    <row r="82" spans="1:14" ht="15" hidden="1" customHeight="1" x14ac:dyDescent="0.35">
      <c r="A82" s="24" t="s">
        <v>233</v>
      </c>
      <c r="B82" s="24" t="str">
        <f t="shared" si="3"/>
        <v>Sữa chuaSữa chua</v>
      </c>
      <c r="C82" s="24" t="s">
        <v>8</v>
      </c>
      <c r="D82" t="s">
        <v>51</v>
      </c>
      <c r="E82" t="s">
        <v>51</v>
      </c>
      <c r="F82" t="s">
        <v>51</v>
      </c>
      <c r="G82" s="17">
        <v>91</v>
      </c>
      <c r="H82" s="18">
        <v>4125</v>
      </c>
      <c r="I82" s="18">
        <v>91</v>
      </c>
      <c r="J82" s="17">
        <f t="shared" si="4"/>
        <v>1</v>
      </c>
      <c r="K82" s="18">
        <f t="shared" si="5"/>
        <v>4125</v>
      </c>
      <c r="L82" s="104">
        <f>SUM(K83:K91)</f>
        <v>17793.401606425701</v>
      </c>
    </row>
    <row r="83" spans="1:14" ht="15" hidden="1" customHeight="1" x14ac:dyDescent="0.35">
      <c r="A83" s="24" t="s">
        <v>232</v>
      </c>
      <c r="B83" s="24" t="str">
        <f t="shared" si="3"/>
        <v>Phở gàGà kiến thùng</v>
      </c>
      <c r="C83" s="24" t="s">
        <v>8</v>
      </c>
      <c r="D83" t="s">
        <v>20</v>
      </c>
      <c r="E83" t="s">
        <v>99</v>
      </c>
      <c r="F83" t="s">
        <v>413</v>
      </c>
      <c r="G83" s="17">
        <v>18</v>
      </c>
      <c r="H83" s="18">
        <v>70000</v>
      </c>
      <c r="I83" s="18">
        <v>100</v>
      </c>
      <c r="J83" s="17">
        <f t="shared" si="4"/>
        <v>0.18</v>
      </c>
      <c r="K83" s="18">
        <f t="shared" si="5"/>
        <v>12600</v>
      </c>
      <c r="L83" s="105"/>
    </row>
    <row r="84" spans="1:14" ht="15" hidden="1" customHeight="1" x14ac:dyDescent="0.35">
      <c r="A84" s="24" t="s">
        <v>233</v>
      </c>
      <c r="B84" s="24" t="str">
        <f t="shared" si="3"/>
        <v>Phở gàPhở</v>
      </c>
      <c r="C84" s="24" t="s">
        <v>8</v>
      </c>
      <c r="D84" t="s">
        <v>20</v>
      </c>
      <c r="E84" t="s">
        <v>99</v>
      </c>
      <c r="F84" t="s">
        <v>100</v>
      </c>
      <c r="G84" s="17">
        <v>33</v>
      </c>
      <c r="H84" s="18">
        <v>12000</v>
      </c>
      <c r="I84" s="18">
        <v>100</v>
      </c>
      <c r="J84" s="17">
        <f t="shared" si="4"/>
        <v>0.33</v>
      </c>
      <c r="K84" s="18">
        <f t="shared" si="5"/>
        <v>3960</v>
      </c>
      <c r="L84" s="105"/>
    </row>
    <row r="85" spans="1:14" ht="15" hidden="1" customHeight="1" x14ac:dyDescent="0.35">
      <c r="A85" s="24" t="s">
        <v>233</v>
      </c>
      <c r="B85" s="24" t="str">
        <f t="shared" si="3"/>
        <v>Phở gàHành tây</v>
      </c>
      <c r="C85" s="24" t="s">
        <v>8</v>
      </c>
      <c r="D85" t="s">
        <v>20</v>
      </c>
      <c r="E85" t="s">
        <v>99</v>
      </c>
      <c r="F85" t="s">
        <v>35</v>
      </c>
      <c r="G85" s="17">
        <v>1.2</v>
      </c>
      <c r="H85" s="18">
        <v>15000</v>
      </c>
      <c r="I85" s="18">
        <v>100</v>
      </c>
      <c r="J85" s="17">
        <f t="shared" si="4"/>
        <v>1.2E-2</v>
      </c>
      <c r="K85" s="18">
        <f t="shared" si="5"/>
        <v>180</v>
      </c>
      <c r="L85" s="105"/>
    </row>
    <row r="86" spans="1:14" ht="15" hidden="1" customHeight="1" x14ac:dyDescent="0.35">
      <c r="A86" s="24" t="s">
        <v>233</v>
      </c>
      <c r="B86" s="24" t="str">
        <f t="shared" si="3"/>
        <v>Phở gàHành lá</v>
      </c>
      <c r="C86" s="24" t="s">
        <v>8</v>
      </c>
      <c r="D86" t="s">
        <v>20</v>
      </c>
      <c r="E86" t="s">
        <v>99</v>
      </c>
      <c r="F86" t="s">
        <v>24</v>
      </c>
      <c r="G86" s="17">
        <v>0.4</v>
      </c>
      <c r="H86" s="18">
        <v>20000</v>
      </c>
      <c r="I86" s="18">
        <v>100</v>
      </c>
      <c r="J86" s="17">
        <f t="shared" si="4"/>
        <v>4.0000000000000001E-3</v>
      </c>
      <c r="K86" s="18">
        <f t="shared" si="5"/>
        <v>80</v>
      </c>
      <c r="L86" s="105"/>
      <c r="M86" t="s">
        <v>80</v>
      </c>
    </row>
    <row r="87" spans="1:14" ht="15" hidden="1" customHeight="1" x14ac:dyDescent="0.35">
      <c r="A87" s="24" t="s">
        <v>233</v>
      </c>
      <c r="B87" s="24" t="str">
        <f t="shared" si="3"/>
        <v>Phở gàChanh</v>
      </c>
      <c r="C87" s="24" t="s">
        <v>8</v>
      </c>
      <c r="D87" t="s">
        <v>20</v>
      </c>
      <c r="E87" t="s">
        <v>99</v>
      </c>
      <c r="F87" t="s">
        <v>25</v>
      </c>
      <c r="G87" s="17">
        <v>0.8</v>
      </c>
      <c r="H87" s="18">
        <v>26000</v>
      </c>
      <c r="I87" s="18">
        <v>100</v>
      </c>
      <c r="J87" s="17">
        <f t="shared" si="4"/>
        <v>8.0000000000000002E-3</v>
      </c>
      <c r="K87" s="18">
        <f t="shared" si="5"/>
        <v>208</v>
      </c>
      <c r="L87" s="105"/>
      <c r="N87" s="30"/>
    </row>
    <row r="88" spans="1:14" ht="15" hidden="1" customHeight="1" x14ac:dyDescent="0.35">
      <c r="A88" s="24" t="s">
        <v>233</v>
      </c>
      <c r="B88" s="24" t="str">
        <f t="shared" si="3"/>
        <v>Phở gàNgò gai</v>
      </c>
      <c r="C88" s="24" t="s">
        <v>8</v>
      </c>
      <c r="D88" t="s">
        <v>20</v>
      </c>
      <c r="E88" t="s">
        <v>99</v>
      </c>
      <c r="F88" t="s">
        <v>101</v>
      </c>
      <c r="G88" s="17">
        <v>0.3</v>
      </c>
      <c r="H88" s="18">
        <v>35000</v>
      </c>
      <c r="I88" s="18">
        <v>100</v>
      </c>
      <c r="J88" s="17">
        <f t="shared" si="4"/>
        <v>3.0000000000000001E-3</v>
      </c>
      <c r="K88" s="18">
        <f t="shared" si="5"/>
        <v>105</v>
      </c>
      <c r="L88" s="105"/>
    </row>
    <row r="89" spans="1:14" hidden="1" x14ac:dyDescent="0.35">
      <c r="A89" s="24" t="s">
        <v>233</v>
      </c>
      <c r="B89" s="24" t="str">
        <f t="shared" si="3"/>
        <v>Phở gàRau quế</v>
      </c>
      <c r="C89" s="24" t="s">
        <v>8</v>
      </c>
      <c r="D89" t="s">
        <v>20</v>
      </c>
      <c r="E89" t="s">
        <v>99</v>
      </c>
      <c r="F89" t="s">
        <v>23</v>
      </c>
      <c r="G89" s="17">
        <v>0.4</v>
      </c>
      <c r="H89" s="18">
        <v>30000</v>
      </c>
      <c r="I89" s="18">
        <v>100</v>
      </c>
      <c r="J89" s="17">
        <f t="shared" si="4"/>
        <v>4.0000000000000001E-3</v>
      </c>
      <c r="K89" s="18">
        <f t="shared" si="5"/>
        <v>120</v>
      </c>
      <c r="L89" s="105"/>
    </row>
    <row r="90" spans="1:14" hidden="1" x14ac:dyDescent="0.35">
      <c r="A90" s="24" t="s">
        <v>233</v>
      </c>
      <c r="B90" s="24" t="str">
        <f t="shared" si="3"/>
        <v xml:space="preserve">Phở gàXà lách </v>
      </c>
      <c r="C90" s="24" t="s">
        <v>8</v>
      </c>
      <c r="D90" t="s">
        <v>20</v>
      </c>
      <c r="E90" t="s">
        <v>99</v>
      </c>
      <c r="F90" t="s">
        <v>38</v>
      </c>
      <c r="G90" s="17">
        <v>2</v>
      </c>
      <c r="H90" s="18">
        <v>22000</v>
      </c>
      <c r="I90" s="18">
        <v>100</v>
      </c>
      <c r="J90" s="17">
        <f t="shared" si="4"/>
        <v>0.02</v>
      </c>
      <c r="K90" s="18">
        <f t="shared" si="5"/>
        <v>440</v>
      </c>
      <c r="L90" s="25"/>
    </row>
    <row r="91" spans="1:14" ht="15" hidden="1" customHeight="1" x14ac:dyDescent="0.35">
      <c r="A91" s="24" t="s">
        <v>233</v>
      </c>
      <c r="B91" s="24" t="str">
        <f t="shared" si="3"/>
        <v>Phở gàGiá</v>
      </c>
      <c r="C91" s="24" t="s">
        <v>8</v>
      </c>
      <c r="D91" t="s">
        <v>20</v>
      </c>
      <c r="E91" t="s">
        <v>99</v>
      </c>
      <c r="F91" t="s">
        <v>26</v>
      </c>
      <c r="G91" s="17">
        <v>2.5</v>
      </c>
      <c r="H91" s="18">
        <v>10000</v>
      </c>
      <c r="I91" s="18">
        <v>249</v>
      </c>
      <c r="J91" s="17">
        <f t="shared" si="4"/>
        <v>1.0040160642570281E-2</v>
      </c>
      <c r="K91" s="18">
        <f t="shared" si="5"/>
        <v>100.40160642570281</v>
      </c>
      <c r="L91" s="115"/>
    </row>
    <row r="92" spans="1:14" ht="15" hidden="1" customHeight="1" x14ac:dyDescent="0.35">
      <c r="A92" s="24" t="s">
        <v>232</v>
      </c>
      <c r="B92" s="24" t="str">
        <f t="shared" si="3"/>
        <v>Cá đù khoCá đù</v>
      </c>
      <c r="C92" s="24" t="s">
        <v>8</v>
      </c>
      <c r="D92" t="s">
        <v>18</v>
      </c>
      <c r="E92" t="s">
        <v>104</v>
      </c>
      <c r="F92" t="s">
        <v>105</v>
      </c>
      <c r="G92" s="17">
        <v>12</v>
      </c>
      <c r="H92" s="18">
        <v>45000</v>
      </c>
      <c r="I92" s="18">
        <v>100</v>
      </c>
      <c r="J92" s="17">
        <f t="shared" si="4"/>
        <v>0.12</v>
      </c>
      <c r="K92" s="18">
        <f t="shared" si="5"/>
        <v>5400</v>
      </c>
      <c r="L92" s="115"/>
    </row>
    <row r="93" spans="1:14" ht="15" hidden="1" customHeight="1" x14ac:dyDescent="0.35">
      <c r="A93" s="24" t="s">
        <v>232</v>
      </c>
      <c r="B93" s="24" t="str">
        <f t="shared" si="3"/>
        <v>Heo xíu xào giáHeo đùi mông</v>
      </c>
      <c r="C93" s="24" t="s">
        <v>8</v>
      </c>
      <c r="D93" t="s">
        <v>19</v>
      </c>
      <c r="E93" t="s">
        <v>106</v>
      </c>
      <c r="F93" t="s">
        <v>30</v>
      </c>
      <c r="G93" s="17">
        <v>3.5</v>
      </c>
      <c r="H93" s="18">
        <v>100000</v>
      </c>
      <c r="I93" s="18">
        <v>100</v>
      </c>
      <c r="J93" s="17">
        <f t="shared" si="4"/>
        <v>3.5000000000000003E-2</v>
      </c>
      <c r="K93" s="18">
        <f t="shared" si="5"/>
        <v>3500</v>
      </c>
      <c r="L93" s="115"/>
    </row>
    <row r="94" spans="1:14" ht="15" hidden="1" customHeight="1" x14ac:dyDescent="0.35">
      <c r="A94" s="24" t="s">
        <v>233</v>
      </c>
      <c r="B94" s="24" t="str">
        <f t="shared" si="3"/>
        <v>Heo xíu xào giáGiá</v>
      </c>
      <c r="C94" s="24" t="s">
        <v>8</v>
      </c>
      <c r="D94" t="s">
        <v>19</v>
      </c>
      <c r="E94" t="s">
        <v>106</v>
      </c>
      <c r="F94" t="s">
        <v>26</v>
      </c>
      <c r="G94" s="17">
        <v>6</v>
      </c>
      <c r="H94" s="18">
        <v>10000</v>
      </c>
      <c r="I94" s="18">
        <v>100</v>
      </c>
      <c r="J94" s="17">
        <f t="shared" si="4"/>
        <v>0.06</v>
      </c>
      <c r="K94" s="18">
        <f t="shared" si="5"/>
        <v>600</v>
      </c>
      <c r="L94" s="115"/>
    </row>
    <row r="95" spans="1:14" ht="15" hidden="1" customHeight="1" x14ac:dyDescent="0.35">
      <c r="A95" s="24" t="s">
        <v>233</v>
      </c>
      <c r="B95" s="24" t="str">
        <f t="shared" si="3"/>
        <v>Củ quả luộcCà rốt</v>
      </c>
      <c r="C95" s="24" t="s">
        <v>8</v>
      </c>
      <c r="D95" t="s">
        <v>47</v>
      </c>
      <c r="E95" t="s">
        <v>107</v>
      </c>
      <c r="F95" t="s">
        <v>78</v>
      </c>
      <c r="G95" s="17">
        <v>3</v>
      </c>
      <c r="H95" s="18">
        <v>15000</v>
      </c>
      <c r="I95" s="18">
        <v>119</v>
      </c>
      <c r="J95" s="17">
        <f t="shared" si="4"/>
        <v>2.5210084033613446E-2</v>
      </c>
      <c r="K95" s="18">
        <f t="shared" si="5"/>
        <v>378.15126050420167</v>
      </c>
      <c r="L95" s="115"/>
      <c r="M95" t="s">
        <v>109</v>
      </c>
    </row>
    <row r="96" spans="1:14" ht="15" hidden="1" customHeight="1" x14ac:dyDescent="0.35">
      <c r="A96" s="24" t="s">
        <v>233</v>
      </c>
      <c r="B96" s="24" t="str">
        <f t="shared" si="3"/>
        <v>Củ quả luộcKhoai tây</v>
      </c>
      <c r="C96" s="24" t="s">
        <v>8</v>
      </c>
      <c r="D96" t="s">
        <v>47</v>
      </c>
      <c r="E96" t="s">
        <v>107</v>
      </c>
      <c r="F96" t="s">
        <v>77</v>
      </c>
      <c r="G96" s="17">
        <v>3</v>
      </c>
      <c r="H96" s="18">
        <v>17000</v>
      </c>
      <c r="I96" s="18">
        <v>119</v>
      </c>
      <c r="J96" s="17">
        <f t="shared" si="4"/>
        <v>2.5210084033613446E-2</v>
      </c>
      <c r="K96" s="18">
        <f t="shared" si="5"/>
        <v>428.57142857142856</v>
      </c>
      <c r="L96" s="115"/>
    </row>
    <row r="97" spans="1:14" ht="15" hidden="1" customHeight="1" x14ac:dyDescent="0.35">
      <c r="A97" s="24" t="s">
        <v>233</v>
      </c>
      <c r="B97" s="24" t="str">
        <f t="shared" si="3"/>
        <v>Củ quả luộcĐậu bắp</v>
      </c>
      <c r="C97" s="24" t="s">
        <v>8</v>
      </c>
      <c r="D97" t="s">
        <v>47</v>
      </c>
      <c r="E97" t="s">
        <v>107</v>
      </c>
      <c r="F97" t="s">
        <v>108</v>
      </c>
      <c r="G97" s="17">
        <v>3.5</v>
      </c>
      <c r="H97" s="18">
        <v>12000</v>
      </c>
      <c r="I97" s="18">
        <v>119</v>
      </c>
      <c r="J97" s="17">
        <f t="shared" si="4"/>
        <v>2.9411764705882353E-2</v>
      </c>
      <c r="K97" s="18">
        <f t="shared" si="5"/>
        <v>352.94117647058823</v>
      </c>
      <c r="L97" s="115"/>
    </row>
    <row r="98" spans="1:14" ht="15" hidden="1" customHeight="1" x14ac:dyDescent="0.35">
      <c r="A98" s="24" t="s">
        <v>233</v>
      </c>
      <c r="B98" s="24" t="str">
        <f t="shared" si="3"/>
        <v>Bí đao nấu tômBí đao</v>
      </c>
      <c r="C98" s="24" t="s">
        <v>8</v>
      </c>
      <c r="D98" t="s">
        <v>48</v>
      </c>
      <c r="E98" t="s">
        <v>61</v>
      </c>
      <c r="F98" t="s">
        <v>62</v>
      </c>
      <c r="G98" s="17">
        <v>4.5</v>
      </c>
      <c r="H98" s="18">
        <v>10000</v>
      </c>
      <c r="I98" s="18">
        <v>119</v>
      </c>
      <c r="J98" s="17">
        <f t="shared" si="4"/>
        <v>3.7815126050420166E-2</v>
      </c>
      <c r="K98" s="18">
        <f t="shared" si="5"/>
        <v>378.15126050420167</v>
      </c>
      <c r="L98" s="115"/>
    </row>
    <row r="99" spans="1:14" ht="17.25" hidden="1" customHeight="1" x14ac:dyDescent="0.35">
      <c r="A99" s="24" t="s">
        <v>232</v>
      </c>
      <c r="B99" s="24" t="str">
        <f t="shared" si="3"/>
        <v>Bí đao nấu tômTôm</v>
      </c>
      <c r="C99" s="24" t="s">
        <v>8</v>
      </c>
      <c r="D99" t="s">
        <v>48</v>
      </c>
      <c r="E99" t="s">
        <v>61</v>
      </c>
      <c r="F99" t="s">
        <v>37</v>
      </c>
      <c r="G99" s="17">
        <v>0.5</v>
      </c>
      <c r="H99" s="18">
        <v>110000</v>
      </c>
      <c r="I99" s="18">
        <v>119</v>
      </c>
      <c r="J99" s="17">
        <f t="shared" si="4"/>
        <v>4.2016806722689074E-3</v>
      </c>
      <c r="K99" s="18">
        <f t="shared" si="5"/>
        <v>462.18487394957981</v>
      </c>
      <c r="L99" s="115"/>
    </row>
    <row r="100" spans="1:14" ht="15" hidden="1" customHeight="1" x14ac:dyDescent="0.35">
      <c r="A100" s="24" t="s">
        <v>233</v>
      </c>
      <c r="B100" s="24" t="str">
        <f t="shared" si="3"/>
        <v>Trái câyDưa hấu</v>
      </c>
      <c r="C100" s="24" t="s">
        <v>8</v>
      </c>
      <c r="D100" t="s">
        <v>52</v>
      </c>
      <c r="E100" t="s">
        <v>17</v>
      </c>
      <c r="F100" t="s">
        <v>102</v>
      </c>
      <c r="G100" s="17">
        <v>12</v>
      </c>
      <c r="H100" s="18">
        <v>12000</v>
      </c>
      <c r="I100" s="18">
        <v>119</v>
      </c>
      <c r="J100" s="17">
        <f t="shared" si="4"/>
        <v>0.10084033613445378</v>
      </c>
      <c r="K100" s="18">
        <f t="shared" si="5"/>
        <v>1210.0840336134454</v>
      </c>
      <c r="L100" s="115"/>
    </row>
    <row r="101" spans="1:14" hidden="1" x14ac:dyDescent="0.35">
      <c r="A101" s="24" t="s">
        <v>233</v>
      </c>
      <c r="B101" s="24" t="str">
        <f t="shared" si="3"/>
        <v>Sữa chuaSữa chua</v>
      </c>
      <c r="C101" s="24" t="s">
        <v>8</v>
      </c>
      <c r="D101" t="s">
        <v>51</v>
      </c>
      <c r="E101" t="s">
        <v>51</v>
      </c>
      <c r="F101" t="s">
        <v>51</v>
      </c>
      <c r="G101" s="17">
        <v>119</v>
      </c>
      <c r="H101" s="18">
        <v>4375</v>
      </c>
      <c r="I101" s="18">
        <v>119</v>
      </c>
      <c r="J101" s="17">
        <f t="shared" si="4"/>
        <v>1</v>
      </c>
      <c r="K101" s="18">
        <f t="shared" si="5"/>
        <v>4375</v>
      </c>
      <c r="L101" s="105"/>
    </row>
    <row r="102" spans="1:14" hidden="1" x14ac:dyDescent="0.35">
      <c r="A102" s="24" t="s">
        <v>232</v>
      </c>
      <c r="B102" s="24" t="str">
        <f t="shared" si="3"/>
        <v>Cá hố khoCá hố</v>
      </c>
      <c r="C102" s="24" t="s">
        <v>8</v>
      </c>
      <c r="D102" t="s">
        <v>18</v>
      </c>
      <c r="E102" t="s">
        <v>115</v>
      </c>
      <c r="F102" t="s">
        <v>116</v>
      </c>
      <c r="G102" s="17">
        <v>40</v>
      </c>
      <c r="H102" s="18">
        <v>60000</v>
      </c>
      <c r="I102" s="18">
        <v>325</v>
      </c>
      <c r="J102" s="17">
        <f t="shared" si="4"/>
        <v>0.12307692307692308</v>
      </c>
      <c r="K102" s="18">
        <f t="shared" si="5"/>
        <v>7384.6153846153848</v>
      </c>
      <c r="L102" s="105"/>
    </row>
    <row r="103" spans="1:14" hidden="1" x14ac:dyDescent="0.35">
      <c r="A103" s="24" t="s">
        <v>233</v>
      </c>
      <c r="B103" s="24" t="str">
        <f t="shared" si="3"/>
        <v>Mướp xào giáMướp</v>
      </c>
      <c r="C103" s="24" t="s">
        <v>8</v>
      </c>
      <c r="D103" t="s">
        <v>47</v>
      </c>
      <c r="E103" t="s">
        <v>71</v>
      </c>
      <c r="F103" t="s">
        <v>72</v>
      </c>
      <c r="G103" s="17">
        <v>20</v>
      </c>
      <c r="H103" s="18">
        <v>10000</v>
      </c>
      <c r="I103" s="18">
        <v>325</v>
      </c>
      <c r="J103" s="17">
        <f t="shared" si="4"/>
        <v>6.1538461538461542E-2</v>
      </c>
      <c r="K103" s="18">
        <f t="shared" si="5"/>
        <v>615.38461538461536</v>
      </c>
      <c r="L103" s="105"/>
    </row>
    <row r="104" spans="1:14" hidden="1" x14ac:dyDescent="0.35">
      <c r="A104" s="24" t="s">
        <v>233</v>
      </c>
      <c r="B104" s="24" t="str">
        <f t="shared" si="3"/>
        <v>Mướp xào giáGiá</v>
      </c>
      <c r="C104" s="24" t="s">
        <v>8</v>
      </c>
      <c r="D104" t="s">
        <v>47</v>
      </c>
      <c r="E104" t="s">
        <v>71</v>
      </c>
      <c r="F104" t="s">
        <v>26</v>
      </c>
      <c r="G104" s="17">
        <v>20</v>
      </c>
      <c r="H104" s="18">
        <v>10000</v>
      </c>
      <c r="I104" s="18">
        <v>325</v>
      </c>
      <c r="J104" s="17">
        <f t="shared" si="4"/>
        <v>6.1538461538461542E-2</v>
      </c>
      <c r="K104" s="18">
        <f t="shared" si="5"/>
        <v>615.38461538461536</v>
      </c>
      <c r="L104" s="105"/>
    </row>
    <row r="105" spans="1:14" ht="15.5" hidden="1" x14ac:dyDescent="0.35">
      <c r="A105" s="24" t="s">
        <v>233</v>
      </c>
      <c r="B105" s="24" t="str">
        <f t="shared" si="3"/>
        <v>Trái câyỔi</v>
      </c>
      <c r="C105" s="24" t="s">
        <v>8</v>
      </c>
      <c r="D105" t="s">
        <v>52</v>
      </c>
      <c r="E105" t="s">
        <v>17</v>
      </c>
      <c r="F105" t="s">
        <v>41</v>
      </c>
      <c r="G105" s="17">
        <v>30</v>
      </c>
      <c r="H105" s="18">
        <v>17000</v>
      </c>
      <c r="I105" s="18">
        <v>415</v>
      </c>
      <c r="J105" s="17">
        <f t="shared" si="4"/>
        <v>7.2289156626506021E-2</v>
      </c>
      <c r="K105" s="18">
        <f t="shared" si="5"/>
        <v>1228.9156626506024</v>
      </c>
      <c r="L105" s="29">
        <f>SUM(K102:K105)</f>
        <v>9844.3002780352181</v>
      </c>
      <c r="M105" t="s">
        <v>121</v>
      </c>
    </row>
    <row r="106" spans="1:14" hidden="1" x14ac:dyDescent="0.35">
      <c r="A106" s="24" t="s">
        <v>232</v>
      </c>
      <c r="B106" s="24" t="str">
        <f t="shared" si="3"/>
        <v>Cơm sườn queSườn</v>
      </c>
      <c r="C106" s="24" t="s">
        <v>8</v>
      </c>
      <c r="D106" t="s">
        <v>18</v>
      </c>
      <c r="E106" t="s">
        <v>122</v>
      </c>
      <c r="F106" t="s">
        <v>123</v>
      </c>
      <c r="G106" s="17">
        <v>9</v>
      </c>
      <c r="H106" s="18">
        <v>95000</v>
      </c>
      <c r="I106" s="18">
        <v>100</v>
      </c>
      <c r="J106" s="17">
        <f t="shared" si="4"/>
        <v>0.09</v>
      </c>
      <c r="K106" s="18">
        <f t="shared" si="5"/>
        <v>8550</v>
      </c>
      <c r="L106" s="113"/>
    </row>
    <row r="107" spans="1:14" hidden="1" x14ac:dyDescent="0.35">
      <c r="A107" s="24" t="s">
        <v>233</v>
      </c>
      <c r="B107" s="24" t="str">
        <f t="shared" si="3"/>
        <v>Cơm sườn queSả</v>
      </c>
      <c r="C107" s="24" t="s">
        <v>8</v>
      </c>
      <c r="D107" t="s">
        <v>18</v>
      </c>
      <c r="E107" t="s">
        <v>122</v>
      </c>
      <c r="F107" t="s">
        <v>207</v>
      </c>
      <c r="G107" s="17">
        <v>0.6</v>
      </c>
      <c r="H107" s="18">
        <v>10000</v>
      </c>
      <c r="I107" s="18">
        <v>100</v>
      </c>
      <c r="J107" s="17">
        <f t="shared" si="4"/>
        <v>6.0000000000000001E-3</v>
      </c>
      <c r="K107" s="18">
        <f t="shared" si="5"/>
        <v>60</v>
      </c>
      <c r="L107" s="113"/>
    </row>
    <row r="108" spans="1:14" hidden="1" x14ac:dyDescent="0.35">
      <c r="A108" s="24" t="s">
        <v>233</v>
      </c>
      <c r="B108" s="24" t="str">
        <f t="shared" si="3"/>
        <v xml:space="preserve">Cơm sườn queCải thảo </v>
      </c>
      <c r="C108" s="24" t="s">
        <v>8</v>
      </c>
      <c r="D108" t="s">
        <v>18</v>
      </c>
      <c r="E108" t="s">
        <v>122</v>
      </c>
      <c r="F108" t="s">
        <v>186</v>
      </c>
      <c r="G108" s="17">
        <v>3</v>
      </c>
      <c r="H108" s="18">
        <v>14000</v>
      </c>
      <c r="I108" s="18">
        <v>100</v>
      </c>
      <c r="J108" s="17">
        <f t="shared" si="4"/>
        <v>0.03</v>
      </c>
      <c r="K108" s="18">
        <f t="shared" si="5"/>
        <v>420</v>
      </c>
      <c r="L108" s="113"/>
    </row>
    <row r="109" spans="1:14" hidden="1" x14ac:dyDescent="0.35">
      <c r="A109" s="24" t="s">
        <v>233</v>
      </c>
      <c r="B109" s="24" t="str">
        <f t="shared" si="3"/>
        <v>Cơm sườn queCà rốt</v>
      </c>
      <c r="C109" s="24" t="s">
        <v>8</v>
      </c>
      <c r="D109" t="s">
        <v>18</v>
      </c>
      <c r="E109" t="s">
        <v>122</v>
      </c>
      <c r="F109" t="s">
        <v>78</v>
      </c>
      <c r="G109" s="17">
        <v>2</v>
      </c>
      <c r="H109" s="18">
        <v>15000</v>
      </c>
      <c r="I109" s="18">
        <v>100</v>
      </c>
      <c r="J109" s="17">
        <f t="shared" si="4"/>
        <v>0.02</v>
      </c>
      <c r="K109" s="18">
        <f t="shared" si="5"/>
        <v>300</v>
      </c>
      <c r="L109" s="114">
        <f>SUM(K115:K123)</f>
        <v>15929.91525423729</v>
      </c>
      <c r="N109" s="30"/>
    </row>
    <row r="110" spans="1:14" hidden="1" x14ac:dyDescent="0.35">
      <c r="A110" s="24" t="s">
        <v>233</v>
      </c>
      <c r="B110" s="24" t="str">
        <f t="shared" si="3"/>
        <v>Cơm sườn quecủ cải</v>
      </c>
      <c r="C110" s="24" t="s">
        <v>8</v>
      </c>
      <c r="D110" t="s">
        <v>18</v>
      </c>
      <c r="E110" t="s">
        <v>122</v>
      </c>
      <c r="F110" t="s">
        <v>175</v>
      </c>
      <c r="G110" s="17">
        <v>3</v>
      </c>
      <c r="H110" s="18">
        <v>8000</v>
      </c>
      <c r="I110" s="18">
        <v>100</v>
      </c>
      <c r="J110" s="17">
        <f t="shared" si="4"/>
        <v>0.03</v>
      </c>
      <c r="K110" s="18">
        <f t="shared" si="5"/>
        <v>240</v>
      </c>
      <c r="L110" s="115"/>
    </row>
    <row r="111" spans="1:14" hidden="1" x14ac:dyDescent="0.35">
      <c r="A111" s="24" t="s">
        <v>233</v>
      </c>
      <c r="B111" s="24" t="str">
        <f t="shared" si="3"/>
        <v>Cơm sườn queỚt sừng</v>
      </c>
      <c r="C111" s="24" t="s">
        <v>8</v>
      </c>
      <c r="D111" t="s">
        <v>18</v>
      </c>
      <c r="E111" t="s">
        <v>122</v>
      </c>
      <c r="F111" t="s">
        <v>203</v>
      </c>
      <c r="G111" s="17">
        <v>0.5</v>
      </c>
      <c r="H111" s="18">
        <v>40000</v>
      </c>
      <c r="I111" s="18">
        <v>100</v>
      </c>
      <c r="J111" s="17">
        <f t="shared" si="4"/>
        <v>5.0000000000000001E-3</v>
      </c>
      <c r="K111" s="18">
        <f t="shared" si="5"/>
        <v>200</v>
      </c>
      <c r="L111" s="115"/>
    </row>
    <row r="112" spans="1:14" hidden="1" x14ac:dyDescent="0.35">
      <c r="A112" s="24" t="s">
        <v>232</v>
      </c>
      <c r="B112" s="24" t="str">
        <f t="shared" si="3"/>
        <v>Trứng xào cà chuaTrứng gà</v>
      </c>
      <c r="C112" s="24" t="s">
        <v>8</v>
      </c>
      <c r="D112" t="s">
        <v>19</v>
      </c>
      <c r="E112" t="s">
        <v>124</v>
      </c>
      <c r="F112" t="s">
        <v>13</v>
      </c>
      <c r="G112" s="17">
        <v>230</v>
      </c>
      <c r="H112" s="18">
        <v>2400</v>
      </c>
      <c r="I112" s="18">
        <v>262</v>
      </c>
      <c r="J112" s="17">
        <f t="shared" si="4"/>
        <v>0.87786259541984735</v>
      </c>
      <c r="K112" s="18">
        <f t="shared" si="5"/>
        <v>2106.8702290076335</v>
      </c>
      <c r="L112" s="115"/>
    </row>
    <row r="113" spans="1:14" hidden="1" x14ac:dyDescent="0.35">
      <c r="A113" s="24" t="s">
        <v>233</v>
      </c>
      <c r="B113" s="24" t="str">
        <f t="shared" si="3"/>
        <v>Trứng xào cà chuaCà chua</v>
      </c>
      <c r="C113" s="24" t="s">
        <v>8</v>
      </c>
      <c r="D113" t="s">
        <v>19</v>
      </c>
      <c r="E113" t="s">
        <v>124</v>
      </c>
      <c r="F113" t="s">
        <v>14</v>
      </c>
      <c r="G113" s="17">
        <v>5</v>
      </c>
      <c r="H113" s="18">
        <v>20000</v>
      </c>
      <c r="I113" s="18">
        <v>262</v>
      </c>
      <c r="J113" s="17">
        <f t="shared" si="4"/>
        <v>1.9083969465648856E-2</v>
      </c>
      <c r="K113" s="18">
        <f t="shared" si="5"/>
        <v>381.67938931297709</v>
      </c>
      <c r="L113" s="115"/>
    </row>
    <row r="114" spans="1:14" hidden="1" x14ac:dyDescent="0.35">
      <c r="A114" s="24" t="s">
        <v>233</v>
      </c>
      <c r="B114" s="24" t="str">
        <f t="shared" si="3"/>
        <v>Trái câyChuối</v>
      </c>
      <c r="C114" s="24" t="s">
        <v>8</v>
      </c>
      <c r="D114" t="s">
        <v>52</v>
      </c>
      <c r="E114" t="s">
        <v>17</v>
      </c>
      <c r="F114" t="s">
        <v>79</v>
      </c>
      <c r="G114" s="17">
        <v>262</v>
      </c>
      <c r="H114" s="18">
        <v>1500</v>
      </c>
      <c r="I114" s="18">
        <v>262</v>
      </c>
      <c r="J114" s="17">
        <f t="shared" si="4"/>
        <v>1</v>
      </c>
      <c r="K114" s="18">
        <f t="shared" si="5"/>
        <v>1500</v>
      </c>
      <c r="L114" s="115"/>
    </row>
    <row r="115" spans="1:14" hidden="1" x14ac:dyDescent="0.35">
      <c r="A115" s="24" t="s">
        <v>232</v>
      </c>
      <c r="B115" s="24" t="str">
        <f t="shared" si="3"/>
        <v>Cá lóc khoCá lóc</v>
      </c>
      <c r="C115" s="24" t="s">
        <v>8</v>
      </c>
      <c r="D115" t="s">
        <v>53</v>
      </c>
      <c r="E115" t="s">
        <v>110</v>
      </c>
      <c r="F115" t="s">
        <v>111</v>
      </c>
      <c r="G115" s="17">
        <v>15</v>
      </c>
      <c r="H115" s="18">
        <v>58000</v>
      </c>
      <c r="I115" s="18">
        <v>125</v>
      </c>
      <c r="J115" s="17">
        <f t="shared" si="4"/>
        <v>0.12</v>
      </c>
      <c r="K115" s="18">
        <f t="shared" si="5"/>
        <v>6960</v>
      </c>
      <c r="L115" s="115"/>
      <c r="M115" t="s">
        <v>121</v>
      </c>
    </row>
    <row r="116" spans="1:14" hidden="1" x14ac:dyDescent="0.35">
      <c r="A116" s="24" t="s">
        <v>233</v>
      </c>
      <c r="B116" s="24" t="str">
        <f t="shared" si="3"/>
        <v>Đậu khuôn thịt bằmĐậu khuôn</v>
      </c>
      <c r="C116" s="24" t="s">
        <v>8</v>
      </c>
      <c r="D116" t="s">
        <v>19</v>
      </c>
      <c r="E116" t="s">
        <v>128</v>
      </c>
      <c r="F116" t="s">
        <v>114</v>
      </c>
      <c r="G116" s="17">
        <v>118</v>
      </c>
      <c r="H116" s="18">
        <v>1600</v>
      </c>
      <c r="I116" s="18">
        <v>118</v>
      </c>
      <c r="J116" s="17">
        <f t="shared" si="4"/>
        <v>1</v>
      </c>
      <c r="K116" s="18">
        <f t="shared" si="5"/>
        <v>1600</v>
      </c>
      <c r="L116" s="115"/>
    </row>
    <row r="117" spans="1:14" hidden="1" x14ac:dyDescent="0.35">
      <c r="A117" s="24" t="s">
        <v>232</v>
      </c>
      <c r="B117" s="24" t="str">
        <f t="shared" si="3"/>
        <v>Đậu khuôn thịt bằmThịt bằm</v>
      </c>
      <c r="C117" s="24" t="s">
        <v>8</v>
      </c>
      <c r="D117" t="s">
        <v>19</v>
      </c>
      <c r="E117" t="s">
        <v>128</v>
      </c>
      <c r="F117" t="s">
        <v>50</v>
      </c>
      <c r="G117" s="17">
        <v>1</v>
      </c>
      <c r="H117" s="18">
        <v>80000</v>
      </c>
      <c r="I117" s="18">
        <v>100</v>
      </c>
      <c r="J117" s="17">
        <f t="shared" si="4"/>
        <v>0.01</v>
      </c>
      <c r="K117" s="18">
        <f t="shared" si="5"/>
        <v>800</v>
      </c>
      <c r="L117" s="115"/>
    </row>
    <row r="118" spans="1:14" hidden="1" x14ac:dyDescent="0.35">
      <c r="A118" s="24" t="s">
        <v>298</v>
      </c>
      <c r="B118" s="24" t="str">
        <f t="shared" si="3"/>
        <v>Đậu khuôn thịt bằmNấm mèo</v>
      </c>
      <c r="C118" s="24" t="s">
        <v>8</v>
      </c>
      <c r="D118" t="s">
        <v>19</v>
      </c>
      <c r="E118" t="s">
        <v>128</v>
      </c>
      <c r="F118" t="s">
        <v>28</v>
      </c>
      <c r="G118" s="17">
        <v>0.2</v>
      </c>
      <c r="H118" s="18">
        <v>110000</v>
      </c>
      <c r="I118" s="18">
        <v>118</v>
      </c>
      <c r="J118" s="17">
        <f t="shared" si="4"/>
        <v>1.6949152542372883E-3</v>
      </c>
      <c r="K118" s="18">
        <f t="shared" si="5"/>
        <v>186.4406779661017</v>
      </c>
      <c r="L118" s="112"/>
    </row>
    <row r="119" spans="1:14" hidden="1" x14ac:dyDescent="0.35">
      <c r="A119" s="24" t="s">
        <v>298</v>
      </c>
      <c r="B119" s="24" t="str">
        <f t="shared" si="3"/>
        <v>Đậu khuôn thịt bằmCà rốt</v>
      </c>
      <c r="C119" s="24" t="s">
        <v>8</v>
      </c>
      <c r="D119" t="s">
        <v>19</v>
      </c>
      <c r="E119" t="s">
        <v>128</v>
      </c>
      <c r="F119" t="s">
        <v>78</v>
      </c>
      <c r="G119" s="17">
        <v>2</v>
      </c>
      <c r="H119" s="18">
        <v>15000</v>
      </c>
      <c r="I119" s="18">
        <v>118</v>
      </c>
      <c r="J119" s="17">
        <f t="shared" si="4"/>
        <v>1.6949152542372881E-2</v>
      </c>
      <c r="K119" s="18">
        <f t="shared" si="5"/>
        <v>254.23728813559322</v>
      </c>
      <c r="L119" s="112"/>
    </row>
    <row r="120" spans="1:14" hidden="1" x14ac:dyDescent="0.35">
      <c r="A120" s="24" t="s">
        <v>233</v>
      </c>
      <c r="B120" s="24" t="str">
        <f t="shared" si="3"/>
        <v>Dưa cải xàoDưa cải</v>
      </c>
      <c r="C120" s="24" t="s">
        <v>8</v>
      </c>
      <c r="D120" t="s">
        <v>47</v>
      </c>
      <c r="E120" t="s">
        <v>112</v>
      </c>
      <c r="F120" t="s">
        <v>113</v>
      </c>
      <c r="G120" s="17">
        <v>9</v>
      </c>
      <c r="H120" s="18">
        <v>15000</v>
      </c>
      <c r="I120" s="18">
        <v>118</v>
      </c>
      <c r="J120" s="17">
        <f t="shared" si="4"/>
        <v>7.6271186440677971E-2</v>
      </c>
      <c r="K120" s="18">
        <f t="shared" si="5"/>
        <v>1144.0677966101696</v>
      </c>
      <c r="L120" s="112"/>
      <c r="N120" s="30"/>
    </row>
    <row r="121" spans="1:14" hidden="1" x14ac:dyDescent="0.35">
      <c r="A121" s="24" t="s">
        <v>233</v>
      </c>
      <c r="B121" s="24" t="str">
        <f t="shared" si="3"/>
        <v>Bí đỏ thịt bằmBí đỏ</v>
      </c>
      <c r="C121" s="24" t="s">
        <v>8</v>
      </c>
      <c r="D121" t="s">
        <v>48</v>
      </c>
      <c r="E121" t="s">
        <v>127</v>
      </c>
      <c r="F121" t="s">
        <v>103</v>
      </c>
      <c r="G121" s="17">
        <v>4</v>
      </c>
      <c r="H121" s="18">
        <v>12000</v>
      </c>
      <c r="I121" s="18">
        <v>118</v>
      </c>
      <c r="J121" s="17">
        <f t="shared" si="4"/>
        <v>3.3898305084745763E-2</v>
      </c>
      <c r="K121" s="18">
        <f t="shared" si="5"/>
        <v>406.77966101694915</v>
      </c>
      <c r="L121" s="112"/>
      <c r="N121" s="30">
        <f>SUM(K124:K128)</f>
        <v>3611.3360323886641</v>
      </c>
    </row>
    <row r="122" spans="1:14" hidden="1" x14ac:dyDescent="0.35">
      <c r="A122" s="24" t="s">
        <v>232</v>
      </c>
      <c r="B122" s="24" t="str">
        <f t="shared" si="3"/>
        <v>Bí đỏ thịt bằmThịt bằm</v>
      </c>
      <c r="C122" s="24" t="s">
        <v>8</v>
      </c>
      <c r="D122" t="s">
        <v>48</v>
      </c>
      <c r="E122" t="s">
        <v>127</v>
      </c>
      <c r="F122" t="s">
        <v>50</v>
      </c>
      <c r="G122" s="17">
        <v>0.3</v>
      </c>
      <c r="H122" s="18">
        <v>80000</v>
      </c>
      <c r="I122" s="18">
        <v>118</v>
      </c>
      <c r="J122" s="17">
        <f t="shared" si="4"/>
        <v>2.542372881355932E-3</v>
      </c>
      <c r="K122" s="18">
        <f t="shared" si="5"/>
        <v>203.38983050847457</v>
      </c>
      <c r="L122" s="112"/>
      <c r="M122" t="s">
        <v>120</v>
      </c>
    </row>
    <row r="123" spans="1:14" hidden="1" x14ac:dyDescent="0.35">
      <c r="A123" s="24" t="s">
        <v>233</v>
      </c>
      <c r="B123" s="24" t="str">
        <f t="shared" si="3"/>
        <v>Sữa chuaSữa chua</v>
      </c>
      <c r="C123" s="24" t="s">
        <v>51</v>
      </c>
      <c r="D123" t="s">
        <v>51</v>
      </c>
      <c r="E123" t="s">
        <v>51</v>
      </c>
      <c r="F123" t="s">
        <v>51</v>
      </c>
      <c r="G123" s="17">
        <v>118</v>
      </c>
      <c r="H123" s="18">
        <v>4375</v>
      </c>
      <c r="I123" s="18">
        <v>118</v>
      </c>
      <c r="J123" s="17">
        <f t="shared" si="4"/>
        <v>1</v>
      </c>
      <c r="K123" s="18">
        <f t="shared" si="5"/>
        <v>4375</v>
      </c>
      <c r="L123" s="112"/>
    </row>
    <row r="124" spans="1:14" hidden="1" x14ac:dyDescent="0.35">
      <c r="A124" s="24" t="s">
        <v>232</v>
      </c>
      <c r="B124" s="24" t="str">
        <f t="shared" si="3"/>
        <v xml:space="preserve">Gỏi bòBò </v>
      </c>
      <c r="C124" t="s">
        <v>8</v>
      </c>
      <c r="D124" t="s">
        <v>19</v>
      </c>
      <c r="E124" t="s">
        <v>129</v>
      </c>
      <c r="F124" t="s">
        <v>130</v>
      </c>
      <c r="G124" s="17">
        <v>8</v>
      </c>
      <c r="H124" s="18">
        <v>80000</v>
      </c>
      <c r="I124" s="18">
        <v>247</v>
      </c>
      <c r="J124" s="17">
        <f t="shared" si="4"/>
        <v>3.2388663967611336E-2</v>
      </c>
      <c r="K124" s="18">
        <f t="shared" si="5"/>
        <v>2591.0931174089069</v>
      </c>
      <c r="L124" s="112"/>
    </row>
    <row r="125" spans="1:14" hidden="1" x14ac:dyDescent="0.35">
      <c r="A125" s="24" t="s">
        <v>233</v>
      </c>
      <c r="B125" s="24" t="str">
        <f t="shared" si="3"/>
        <v>Gỏi bòSu trắng</v>
      </c>
      <c r="C125" t="s">
        <v>8</v>
      </c>
      <c r="D125" t="s">
        <v>19</v>
      </c>
      <c r="E125" t="s">
        <v>129</v>
      </c>
      <c r="F125" t="s">
        <v>39</v>
      </c>
      <c r="G125" s="17">
        <v>6</v>
      </c>
      <c r="H125" s="18">
        <v>10000</v>
      </c>
      <c r="I125" s="18">
        <v>247</v>
      </c>
      <c r="J125" s="17">
        <f t="shared" si="4"/>
        <v>2.4291497975708502E-2</v>
      </c>
      <c r="K125" s="18">
        <f t="shared" si="5"/>
        <v>242.91497975708501</v>
      </c>
      <c r="L125" s="112"/>
    </row>
    <row r="126" spans="1:14" ht="15.75" hidden="1" customHeight="1" x14ac:dyDescent="0.35">
      <c r="A126" s="24" t="s">
        <v>233</v>
      </c>
      <c r="B126" s="24" t="str">
        <f t="shared" si="3"/>
        <v>Gỏi bòSu tím</v>
      </c>
      <c r="C126" t="s">
        <v>8</v>
      </c>
      <c r="D126" t="s">
        <v>19</v>
      </c>
      <c r="E126" t="s">
        <v>129</v>
      </c>
      <c r="F126" t="s">
        <v>22</v>
      </c>
      <c r="G126" s="17">
        <v>6</v>
      </c>
      <c r="H126" s="18">
        <v>14000</v>
      </c>
      <c r="I126" s="18">
        <v>247</v>
      </c>
      <c r="J126" s="17">
        <f t="shared" si="4"/>
        <v>2.4291497975708502E-2</v>
      </c>
      <c r="K126" s="18">
        <f t="shared" si="5"/>
        <v>340.08097165991904</v>
      </c>
      <c r="L126" s="29">
        <f>SUM(K124:K132)</f>
        <v>9314.2712550607284</v>
      </c>
      <c r="M126" t="s">
        <v>121</v>
      </c>
    </row>
    <row r="127" spans="1:14" hidden="1" x14ac:dyDescent="0.35">
      <c r="A127" s="24" t="s">
        <v>233</v>
      </c>
      <c r="B127" s="24" t="str">
        <f t="shared" si="3"/>
        <v>Gỏi bòCà rốt</v>
      </c>
      <c r="C127" t="s">
        <v>8</v>
      </c>
      <c r="D127" t="s">
        <v>19</v>
      </c>
      <c r="E127" t="s">
        <v>129</v>
      </c>
      <c r="F127" t="s">
        <v>78</v>
      </c>
      <c r="G127" s="17">
        <v>4</v>
      </c>
      <c r="H127" s="18">
        <v>18000</v>
      </c>
      <c r="I127" s="18">
        <v>247</v>
      </c>
      <c r="J127" s="17">
        <f t="shared" si="4"/>
        <v>1.6194331983805668E-2</v>
      </c>
      <c r="K127" s="18">
        <f t="shared" si="5"/>
        <v>291.497975708502</v>
      </c>
      <c r="L127" s="104">
        <f>SUM(K133:K141)</f>
        <v>14494.827586206895</v>
      </c>
    </row>
    <row r="128" spans="1:14" hidden="1" x14ac:dyDescent="0.35">
      <c r="A128" s="24" t="s">
        <v>233</v>
      </c>
      <c r="B128" s="24" t="str">
        <f t="shared" si="3"/>
        <v>Gỏi bòQuế</v>
      </c>
      <c r="C128" t="s">
        <v>8</v>
      </c>
      <c r="D128" t="s">
        <v>19</v>
      </c>
      <c r="E128" t="s">
        <v>129</v>
      </c>
      <c r="F128" t="s">
        <v>40</v>
      </c>
      <c r="G128" s="17">
        <v>1.2</v>
      </c>
      <c r="H128" s="18">
        <v>30000</v>
      </c>
      <c r="I128" s="18">
        <v>247</v>
      </c>
      <c r="J128" s="17">
        <f t="shared" si="4"/>
        <v>4.8582995951417006E-3</v>
      </c>
      <c r="K128" s="18">
        <f t="shared" si="5"/>
        <v>145.748987854251</v>
      </c>
      <c r="L128" s="105"/>
    </row>
    <row r="129" spans="1:14" hidden="1" x14ac:dyDescent="0.35">
      <c r="A129" s="24" t="s">
        <v>233</v>
      </c>
      <c r="B129" s="24" t="str">
        <f t="shared" si="3"/>
        <v>Đậu bắp hấpĐậu bắp</v>
      </c>
      <c r="C129" t="s">
        <v>8</v>
      </c>
      <c r="D129" t="s">
        <v>47</v>
      </c>
      <c r="E129" t="s">
        <v>131</v>
      </c>
      <c r="F129" t="s">
        <v>108</v>
      </c>
      <c r="G129" s="17">
        <v>16</v>
      </c>
      <c r="H129" s="18">
        <v>12000</v>
      </c>
      <c r="I129" s="18">
        <v>247</v>
      </c>
      <c r="J129" s="17">
        <f t="shared" si="4"/>
        <v>6.4777327935222673E-2</v>
      </c>
      <c r="K129" s="18">
        <f t="shared" si="5"/>
        <v>777.32793522267207</v>
      </c>
      <c r="L129" s="105"/>
    </row>
    <row r="130" spans="1:14" hidden="1" x14ac:dyDescent="0.35">
      <c r="A130" s="24" t="s">
        <v>233</v>
      </c>
      <c r="B130" s="24" t="str">
        <f t="shared" si="3"/>
        <v>Su thịt bằmSu trắng</v>
      </c>
      <c r="C130" t="s">
        <v>8</v>
      </c>
      <c r="D130" t="s">
        <v>48</v>
      </c>
      <c r="E130" t="s">
        <v>132</v>
      </c>
      <c r="F130" t="s">
        <v>39</v>
      </c>
      <c r="G130" s="17">
        <v>8</v>
      </c>
      <c r="H130" s="18">
        <v>10000</v>
      </c>
      <c r="I130" s="18">
        <v>247</v>
      </c>
      <c r="J130" s="17">
        <f t="shared" si="4"/>
        <v>3.2388663967611336E-2</v>
      </c>
      <c r="K130" s="18">
        <f t="shared" si="5"/>
        <v>323.88663967611336</v>
      </c>
      <c r="L130" s="105"/>
    </row>
    <row r="131" spans="1:14" hidden="1" x14ac:dyDescent="0.35">
      <c r="A131" s="24" t="s">
        <v>232</v>
      </c>
      <c r="B131" s="24" t="str">
        <f t="shared" si="3"/>
        <v>Su thịt bằmThịt bằm</v>
      </c>
      <c r="C131" t="s">
        <v>8</v>
      </c>
      <c r="D131" t="s">
        <v>48</v>
      </c>
      <c r="E131" t="s">
        <v>132</v>
      </c>
      <c r="F131" t="s">
        <v>50</v>
      </c>
      <c r="G131" s="17">
        <v>0.7</v>
      </c>
      <c r="H131" s="18">
        <v>80000</v>
      </c>
      <c r="I131" s="18">
        <v>247</v>
      </c>
      <c r="J131" s="17">
        <f t="shared" si="4"/>
        <v>2.8340080971659917E-3</v>
      </c>
      <c r="K131" s="18">
        <f t="shared" si="5"/>
        <v>226.72064777327935</v>
      </c>
      <c r="L131" s="105"/>
      <c r="M131" t="s">
        <v>88</v>
      </c>
    </row>
    <row r="132" spans="1:14" hidden="1" x14ac:dyDescent="0.35">
      <c r="A132" s="24" t="s">
        <v>233</v>
      </c>
      <c r="B132" s="24" t="str">
        <f t="shared" ref="B132:B209" si="6">E132&amp;F132</f>
        <v>Sữa chuaSữa chua</v>
      </c>
      <c r="C132" t="s">
        <v>8</v>
      </c>
      <c r="D132" t="s">
        <v>51</v>
      </c>
      <c r="E132" t="s">
        <v>51</v>
      </c>
      <c r="F132" t="s">
        <v>51</v>
      </c>
      <c r="G132" s="17">
        <v>247</v>
      </c>
      <c r="H132" s="18">
        <v>4375</v>
      </c>
      <c r="I132" s="18">
        <v>247</v>
      </c>
      <c r="J132" s="17">
        <f t="shared" ref="J132:J209" si="7">G132/I132</f>
        <v>1</v>
      </c>
      <c r="K132" s="18">
        <f t="shared" ref="K132:K210" si="8">(G132*H132)/I132</f>
        <v>4375</v>
      </c>
      <c r="L132" s="105"/>
    </row>
    <row r="133" spans="1:14" hidden="1" x14ac:dyDescent="0.35">
      <c r="A133" s="24" t="s">
        <v>232</v>
      </c>
      <c r="B133" s="24" t="str">
        <f t="shared" si="6"/>
        <v>Cá hố khoCá hố</v>
      </c>
      <c r="C133" t="s">
        <v>8</v>
      </c>
      <c r="D133" t="s">
        <v>18</v>
      </c>
      <c r="E133" t="s">
        <v>115</v>
      </c>
      <c r="F133" t="s">
        <v>116</v>
      </c>
      <c r="G133" s="17">
        <v>12</v>
      </c>
      <c r="H133" s="18">
        <v>60000</v>
      </c>
      <c r="I133" s="18">
        <v>116</v>
      </c>
      <c r="J133" s="17">
        <f t="shared" si="7"/>
        <v>0.10344827586206896</v>
      </c>
      <c r="K133" s="18">
        <f t="shared" si="8"/>
        <v>6206.8965517241377</v>
      </c>
      <c r="L133" s="105"/>
    </row>
    <row r="134" spans="1:14" hidden="1" x14ac:dyDescent="0.35">
      <c r="A134" s="24" t="s">
        <v>232</v>
      </c>
      <c r="B134" s="24" t="str">
        <f t="shared" si="6"/>
        <v>Heo xào măngba chỉ lóc sườn</v>
      </c>
      <c r="C134" t="s">
        <v>8</v>
      </c>
      <c r="D134" t="s">
        <v>491</v>
      </c>
      <c r="E134" t="s">
        <v>134</v>
      </c>
      <c r="F134" t="s">
        <v>460</v>
      </c>
      <c r="G134" s="17">
        <v>1.5</v>
      </c>
      <c r="H134" s="18">
        <v>85000</v>
      </c>
      <c r="I134" s="18">
        <v>100</v>
      </c>
      <c r="J134" s="17">
        <f t="shared" si="7"/>
        <v>1.4999999999999999E-2</v>
      </c>
      <c r="K134" s="18">
        <f t="shared" si="8"/>
        <v>1275</v>
      </c>
      <c r="L134" s="105"/>
    </row>
    <row r="135" spans="1:14" hidden="1" x14ac:dyDescent="0.35">
      <c r="A135" s="24" t="s">
        <v>232</v>
      </c>
      <c r="B135" s="24" t="str">
        <f t="shared" si="6"/>
        <v>Heo xào măngNạc vai</v>
      </c>
      <c r="C135" t="s">
        <v>8</v>
      </c>
      <c r="D135" t="s">
        <v>491</v>
      </c>
      <c r="E135" t="s">
        <v>134</v>
      </c>
      <c r="F135" t="s">
        <v>60</v>
      </c>
      <c r="G135" s="17">
        <v>2</v>
      </c>
      <c r="H135" s="18">
        <v>100000</v>
      </c>
      <c r="I135" s="18">
        <v>100</v>
      </c>
      <c r="J135" s="17">
        <f t="shared" si="7"/>
        <v>0.02</v>
      </c>
      <c r="K135" s="18">
        <f t="shared" si="8"/>
        <v>2000</v>
      </c>
      <c r="L135" s="25"/>
    </row>
    <row r="136" spans="1:14" ht="15.5" hidden="1" x14ac:dyDescent="0.35">
      <c r="A136" s="24" t="s">
        <v>233</v>
      </c>
      <c r="B136" s="24" t="str">
        <f t="shared" si="6"/>
        <v>Heo xào măngMăng vàng</v>
      </c>
      <c r="C136" t="s">
        <v>8</v>
      </c>
      <c r="D136" t="s">
        <v>491</v>
      </c>
      <c r="E136" t="s">
        <v>134</v>
      </c>
      <c r="F136" t="s">
        <v>136</v>
      </c>
      <c r="G136" s="17">
        <v>4.5</v>
      </c>
      <c r="H136" s="18">
        <v>25000</v>
      </c>
      <c r="I136" s="18">
        <v>100</v>
      </c>
      <c r="J136" s="17">
        <f t="shared" si="7"/>
        <v>4.4999999999999998E-2</v>
      </c>
      <c r="K136" s="18">
        <f t="shared" si="8"/>
        <v>1125</v>
      </c>
      <c r="L136" s="29">
        <f>SUM(K133:K142)</f>
        <v>18869.827586206895</v>
      </c>
      <c r="M136" t="s">
        <v>89</v>
      </c>
    </row>
    <row r="137" spans="1:14" hidden="1" x14ac:dyDescent="0.35">
      <c r="A137" s="24" t="s">
        <v>233</v>
      </c>
      <c r="B137" s="24" t="str">
        <f t="shared" si="6"/>
        <v>Mướp xào giáMướp</v>
      </c>
      <c r="C137" t="s">
        <v>8</v>
      </c>
      <c r="D137" t="s">
        <v>47</v>
      </c>
      <c r="E137" t="s">
        <v>71</v>
      </c>
      <c r="F137" t="s">
        <v>72</v>
      </c>
      <c r="G137" s="17">
        <v>7</v>
      </c>
      <c r="H137" s="18">
        <v>10000</v>
      </c>
      <c r="I137" s="18">
        <v>116</v>
      </c>
      <c r="J137" s="17">
        <f t="shared" si="7"/>
        <v>6.0344827586206899E-2</v>
      </c>
      <c r="K137" s="18">
        <f t="shared" si="8"/>
        <v>603.44827586206895</v>
      </c>
      <c r="L137" s="104">
        <f>SUM(K143:K159)</f>
        <v>19524.538461538461</v>
      </c>
    </row>
    <row r="138" spans="1:14" hidden="1" x14ac:dyDescent="0.35">
      <c r="A138" s="24" t="s">
        <v>233</v>
      </c>
      <c r="B138" s="24" t="str">
        <f t="shared" si="6"/>
        <v>Mướp xào giáGiá</v>
      </c>
      <c r="C138" t="s">
        <v>8</v>
      </c>
      <c r="D138" t="s">
        <v>47</v>
      </c>
      <c r="E138" t="s">
        <v>71</v>
      </c>
      <c r="F138" t="s">
        <v>26</v>
      </c>
      <c r="G138" s="17">
        <v>6</v>
      </c>
      <c r="H138" s="18">
        <v>10000</v>
      </c>
      <c r="I138" s="18">
        <v>116</v>
      </c>
      <c r="J138" s="17">
        <f t="shared" si="7"/>
        <v>5.1724137931034482E-2</v>
      </c>
      <c r="K138" s="18">
        <f t="shared" si="8"/>
        <v>517.24137931034488</v>
      </c>
      <c r="L138" s="104"/>
    </row>
    <row r="139" spans="1:14" hidden="1" x14ac:dyDescent="0.35">
      <c r="A139" s="24" t="s">
        <v>233</v>
      </c>
      <c r="B139" s="24" t="str">
        <f t="shared" si="6"/>
        <v>Rau má thịt bằmRau má</v>
      </c>
      <c r="C139" t="s">
        <v>8</v>
      </c>
      <c r="D139" t="s">
        <v>48</v>
      </c>
      <c r="E139" t="s">
        <v>118</v>
      </c>
      <c r="F139" t="s">
        <v>119</v>
      </c>
      <c r="G139" s="17">
        <v>4</v>
      </c>
      <c r="H139" s="18">
        <v>18000</v>
      </c>
      <c r="I139" s="18">
        <v>116</v>
      </c>
      <c r="J139" s="17">
        <f t="shared" si="7"/>
        <v>3.4482758620689655E-2</v>
      </c>
      <c r="K139" s="18">
        <f t="shared" si="8"/>
        <v>620.68965517241384</v>
      </c>
      <c r="L139" s="104"/>
    </row>
    <row r="140" spans="1:14" hidden="1" x14ac:dyDescent="0.35">
      <c r="A140" s="24" t="s">
        <v>232</v>
      </c>
      <c r="B140" s="24" t="str">
        <f t="shared" si="6"/>
        <v>Rau má thịt bằmThịt bằm</v>
      </c>
      <c r="C140" t="s">
        <v>8</v>
      </c>
      <c r="D140" t="s">
        <v>48</v>
      </c>
      <c r="E140" t="s">
        <v>118</v>
      </c>
      <c r="F140" t="s">
        <v>50</v>
      </c>
      <c r="G140" s="17">
        <v>0.3</v>
      </c>
      <c r="H140" s="18">
        <v>80000</v>
      </c>
      <c r="I140" s="18">
        <v>116</v>
      </c>
      <c r="J140" s="17">
        <f t="shared" si="7"/>
        <v>2.5862068965517241E-3</v>
      </c>
      <c r="K140" s="18">
        <f t="shared" si="8"/>
        <v>206.89655172413794</v>
      </c>
      <c r="L140" s="105"/>
    </row>
    <row r="141" spans="1:14" hidden="1" x14ac:dyDescent="0.35">
      <c r="A141" s="24" t="s">
        <v>233</v>
      </c>
      <c r="B141" s="24" t="str">
        <f t="shared" si="6"/>
        <v>Trái câyChôm chôm</v>
      </c>
      <c r="C141" t="s">
        <v>8</v>
      </c>
      <c r="D141" t="s">
        <v>52</v>
      </c>
      <c r="E141" t="s">
        <v>17</v>
      </c>
      <c r="F141" t="s">
        <v>133</v>
      </c>
      <c r="G141" s="17">
        <v>9</v>
      </c>
      <c r="H141" s="18">
        <v>25000</v>
      </c>
      <c r="I141" s="18">
        <v>116</v>
      </c>
      <c r="J141" s="17">
        <f t="shared" si="7"/>
        <v>7.7586206896551727E-2</v>
      </c>
      <c r="K141" s="18">
        <f t="shared" si="8"/>
        <v>1939.655172413793</v>
      </c>
      <c r="L141" s="105"/>
    </row>
    <row r="142" spans="1:14" hidden="1" x14ac:dyDescent="0.35">
      <c r="A142" s="24" t="s">
        <v>233</v>
      </c>
      <c r="B142" s="24" t="str">
        <f t="shared" si="6"/>
        <v>Sữa chuaSữa chua</v>
      </c>
      <c r="C142" t="s">
        <v>8</v>
      </c>
      <c r="D142" t="s">
        <v>51</v>
      </c>
      <c r="E142" t="s">
        <v>51</v>
      </c>
      <c r="F142" t="s">
        <v>51</v>
      </c>
      <c r="G142" s="17">
        <v>40</v>
      </c>
      <c r="H142" s="18">
        <v>4375</v>
      </c>
      <c r="I142" s="18">
        <v>40</v>
      </c>
      <c r="J142" s="17">
        <f t="shared" si="7"/>
        <v>1</v>
      </c>
      <c r="K142" s="18">
        <f t="shared" si="8"/>
        <v>4375</v>
      </c>
      <c r="L142" s="105"/>
    </row>
    <row r="143" spans="1:14" hidden="1" x14ac:dyDescent="0.35">
      <c r="A143" s="24" t="s">
        <v>232</v>
      </c>
      <c r="B143" s="24" t="str">
        <f t="shared" si="6"/>
        <v xml:space="preserve">Bún bò chả cuaChanh </v>
      </c>
      <c r="C143" s="24" t="s">
        <v>8</v>
      </c>
      <c r="D143" t="s">
        <v>20</v>
      </c>
      <c r="E143" t="s">
        <v>478</v>
      </c>
      <c r="F143" t="s">
        <v>36</v>
      </c>
      <c r="G143" s="17">
        <v>0.8</v>
      </c>
      <c r="H143" s="18">
        <v>26000</v>
      </c>
      <c r="I143" s="18">
        <v>100</v>
      </c>
      <c r="J143" s="17">
        <f t="shared" si="7"/>
        <v>8.0000000000000002E-3</v>
      </c>
      <c r="K143" s="18">
        <f t="shared" si="8"/>
        <v>208</v>
      </c>
      <c r="L143" s="105"/>
      <c r="M143" t="s">
        <v>150</v>
      </c>
    </row>
    <row r="144" spans="1:14" hidden="1" x14ac:dyDescent="0.35">
      <c r="A144" s="24" t="s">
        <v>232</v>
      </c>
      <c r="B144" s="24" t="str">
        <f t="shared" si="6"/>
        <v>Bún bò chả cuaHành lá</v>
      </c>
      <c r="C144" s="24" t="s">
        <v>8</v>
      </c>
      <c r="D144" t="s">
        <v>20</v>
      </c>
      <c r="E144" t="s">
        <v>478</v>
      </c>
      <c r="F144" t="s">
        <v>24</v>
      </c>
      <c r="G144" s="17">
        <v>0.4</v>
      </c>
      <c r="H144" s="18">
        <v>20000</v>
      </c>
      <c r="I144" s="18">
        <v>100</v>
      </c>
      <c r="J144" s="17">
        <f t="shared" si="7"/>
        <v>4.0000000000000001E-3</v>
      </c>
      <c r="K144" s="18">
        <f t="shared" si="8"/>
        <v>80</v>
      </c>
      <c r="L144" s="105"/>
      <c r="N144" s="30"/>
    </row>
    <row r="145" spans="1:12" hidden="1" x14ac:dyDescent="0.35">
      <c r="A145" s="24" t="s">
        <v>232</v>
      </c>
      <c r="B145" s="24" t="str">
        <f t="shared" si="6"/>
        <v>Bún bò chả cuaHành tây</v>
      </c>
      <c r="C145" s="24" t="s">
        <v>8</v>
      </c>
      <c r="D145" t="s">
        <v>20</v>
      </c>
      <c r="E145" t="s">
        <v>478</v>
      </c>
      <c r="F145" t="s">
        <v>35</v>
      </c>
      <c r="G145" s="17">
        <v>1.5</v>
      </c>
      <c r="H145" s="2">
        <v>15000</v>
      </c>
      <c r="I145" s="18">
        <v>100</v>
      </c>
      <c r="J145" s="17">
        <f t="shared" si="7"/>
        <v>1.4999999999999999E-2</v>
      </c>
      <c r="K145" s="18">
        <f t="shared" si="8"/>
        <v>225</v>
      </c>
      <c r="L145" s="105"/>
    </row>
    <row r="146" spans="1:12" hidden="1" x14ac:dyDescent="0.35">
      <c r="A146" s="24" t="s">
        <v>233</v>
      </c>
      <c r="B146" s="24" t="str">
        <f t="shared" si="6"/>
        <v xml:space="preserve">Bún bò chả cuaGiá </v>
      </c>
      <c r="C146" s="24" t="s">
        <v>8</v>
      </c>
      <c r="D146" t="s">
        <v>20</v>
      </c>
      <c r="E146" t="s">
        <v>478</v>
      </c>
      <c r="F146" t="s">
        <v>148</v>
      </c>
      <c r="G146" s="17">
        <v>2.5</v>
      </c>
      <c r="H146" s="18">
        <v>10000</v>
      </c>
      <c r="I146" s="18">
        <v>100</v>
      </c>
      <c r="J146" s="17">
        <f t="shared" si="7"/>
        <v>2.5000000000000001E-2</v>
      </c>
      <c r="K146" s="18">
        <f t="shared" si="8"/>
        <v>250</v>
      </c>
      <c r="L146" s="105"/>
    </row>
    <row r="147" spans="1:12" hidden="1" x14ac:dyDescent="0.35">
      <c r="A147" s="24" t="s">
        <v>233</v>
      </c>
      <c r="B147" s="24" t="str">
        <f t="shared" si="6"/>
        <v>Bún bò chả cuaỚt xanh huế</v>
      </c>
      <c r="C147" s="24" t="s">
        <v>8</v>
      </c>
      <c r="D147" t="s">
        <v>20</v>
      </c>
      <c r="E147" t="s">
        <v>478</v>
      </c>
      <c r="F147" t="s">
        <v>270</v>
      </c>
      <c r="G147" s="17">
        <v>0.3</v>
      </c>
      <c r="H147" s="18">
        <v>30000</v>
      </c>
      <c r="I147" s="18">
        <v>100</v>
      </c>
      <c r="J147" s="17">
        <f t="shared" si="7"/>
        <v>3.0000000000000001E-3</v>
      </c>
      <c r="K147" s="18">
        <f t="shared" si="8"/>
        <v>90</v>
      </c>
      <c r="L147" s="105"/>
    </row>
    <row r="148" spans="1:12" ht="15.5" hidden="1" x14ac:dyDescent="0.35">
      <c r="A148" s="24" t="s">
        <v>233</v>
      </c>
      <c r="B148" s="24" t="str">
        <f t="shared" si="6"/>
        <v>Bún bò chả cuaRau quế</v>
      </c>
      <c r="C148" s="24" t="s">
        <v>8</v>
      </c>
      <c r="D148" t="s">
        <v>20</v>
      </c>
      <c r="E148" t="s">
        <v>478</v>
      </c>
      <c r="F148" t="s">
        <v>23</v>
      </c>
      <c r="G148" s="17">
        <v>0.4</v>
      </c>
      <c r="H148" s="18">
        <v>30000</v>
      </c>
      <c r="I148" s="18">
        <v>100</v>
      </c>
      <c r="J148" s="17">
        <f t="shared" si="7"/>
        <v>4.0000000000000001E-3</v>
      </c>
      <c r="K148" s="18">
        <f t="shared" si="8"/>
        <v>120</v>
      </c>
      <c r="L148" s="25"/>
    </row>
    <row r="149" spans="1:12" ht="15.5" hidden="1" x14ac:dyDescent="0.35">
      <c r="A149" s="24" t="s">
        <v>233</v>
      </c>
      <c r="B149" s="24" t="str">
        <f t="shared" si="6"/>
        <v>Bún bò chả cuaXà lách</v>
      </c>
      <c r="C149" s="24" t="s">
        <v>8</v>
      </c>
      <c r="D149" t="s">
        <v>20</v>
      </c>
      <c r="E149" t="s">
        <v>478</v>
      </c>
      <c r="F149" t="s">
        <v>197</v>
      </c>
      <c r="G149" s="17">
        <v>2.2000000000000002</v>
      </c>
      <c r="H149" s="18">
        <v>22000</v>
      </c>
      <c r="I149" s="18">
        <v>100</v>
      </c>
      <c r="J149" s="17">
        <f t="shared" si="7"/>
        <v>2.2000000000000002E-2</v>
      </c>
      <c r="K149" s="18">
        <f t="shared" si="8"/>
        <v>484.00000000000006</v>
      </c>
      <c r="L149" s="25"/>
    </row>
    <row r="150" spans="1:12" ht="15.5" hidden="1" x14ac:dyDescent="0.35">
      <c r="A150" s="24" t="s">
        <v>232</v>
      </c>
      <c r="B150" s="24" t="str">
        <f t="shared" si="6"/>
        <v>Bún bò chả cuaNạm bò M19</v>
      </c>
      <c r="C150" s="24" t="s">
        <v>8</v>
      </c>
      <c r="D150" t="s">
        <v>20</v>
      </c>
      <c r="E150" t="s">
        <v>478</v>
      </c>
      <c r="F150" t="s">
        <v>405</v>
      </c>
      <c r="G150" s="17">
        <v>10</v>
      </c>
      <c r="H150" s="18">
        <v>90000</v>
      </c>
      <c r="I150" s="18">
        <v>100</v>
      </c>
      <c r="J150" s="17">
        <f t="shared" si="7"/>
        <v>0.1</v>
      </c>
      <c r="K150" s="18">
        <f t="shared" si="8"/>
        <v>9000</v>
      </c>
      <c r="L150" s="25"/>
    </row>
    <row r="151" spans="1:12" ht="15.5" hidden="1" x14ac:dyDescent="0.35">
      <c r="A151" s="24" t="s">
        <v>232</v>
      </c>
      <c r="B151" s="24" t="str">
        <f t="shared" si="6"/>
        <v>Bún bò chả cuaChả cua</v>
      </c>
      <c r="C151" s="24" t="s">
        <v>8</v>
      </c>
      <c r="D151" t="s">
        <v>20</v>
      </c>
      <c r="E151" t="s">
        <v>478</v>
      </c>
      <c r="F151" t="s">
        <v>376</v>
      </c>
      <c r="G151" s="17">
        <v>2.7</v>
      </c>
      <c r="H151" s="18">
        <v>110000</v>
      </c>
      <c r="I151" s="18">
        <v>100</v>
      </c>
      <c r="J151" s="17">
        <f t="shared" si="7"/>
        <v>2.7000000000000003E-2</v>
      </c>
      <c r="K151" s="18">
        <f t="shared" si="8"/>
        <v>2970</v>
      </c>
      <c r="L151" s="25"/>
    </row>
    <row r="152" spans="1:12" ht="15.5" hidden="1" x14ac:dyDescent="0.35">
      <c r="A152" s="24" t="s">
        <v>232</v>
      </c>
      <c r="B152" s="24" t="str">
        <f t="shared" si="6"/>
        <v>Bún bò chả cuaXương ống bò</v>
      </c>
      <c r="C152" s="24" t="s">
        <v>8</v>
      </c>
      <c r="D152" t="s">
        <v>20</v>
      </c>
      <c r="E152" t="s">
        <v>478</v>
      </c>
      <c r="F152" t="s">
        <v>381</v>
      </c>
      <c r="G152" s="17">
        <v>2</v>
      </c>
      <c r="H152" s="18">
        <v>30000</v>
      </c>
      <c r="I152" s="18">
        <v>100</v>
      </c>
      <c r="J152" s="17">
        <f t="shared" si="7"/>
        <v>0.02</v>
      </c>
      <c r="K152" s="18">
        <f t="shared" si="8"/>
        <v>600</v>
      </c>
      <c r="L152" s="25"/>
    </row>
    <row r="153" spans="1:12" ht="15.5" hidden="1" x14ac:dyDescent="0.35">
      <c r="A153" s="24" t="s">
        <v>232</v>
      </c>
      <c r="B153" s="24" t="str">
        <f t="shared" si="6"/>
        <v>Bún bò chả cuaHuyết bò</v>
      </c>
      <c r="C153" s="24" t="s">
        <v>8</v>
      </c>
      <c r="D153" t="s">
        <v>20</v>
      </c>
      <c r="E153" t="s">
        <v>478</v>
      </c>
      <c r="F153" t="s">
        <v>167</v>
      </c>
      <c r="G153" s="17">
        <v>2.5</v>
      </c>
      <c r="H153" s="18">
        <v>30000</v>
      </c>
      <c r="I153" s="18">
        <v>100</v>
      </c>
      <c r="J153" s="17">
        <f t="shared" si="7"/>
        <v>2.5000000000000001E-2</v>
      </c>
      <c r="K153" s="18">
        <f t="shared" si="8"/>
        <v>750</v>
      </c>
      <c r="L153" s="25"/>
    </row>
    <row r="154" spans="1:12" ht="15.5" hidden="1" x14ac:dyDescent="0.35">
      <c r="A154" s="24" t="s">
        <v>233</v>
      </c>
      <c r="B154" s="24" t="str">
        <f t="shared" si="6"/>
        <v>Bún bò chả cuaĐu đủ</v>
      </c>
      <c r="C154" s="24" t="s">
        <v>8</v>
      </c>
      <c r="D154" t="s">
        <v>20</v>
      </c>
      <c r="E154" t="s">
        <v>478</v>
      </c>
      <c r="F154" t="s">
        <v>367</v>
      </c>
      <c r="G154" s="17">
        <v>0.8</v>
      </c>
      <c r="H154" s="18">
        <v>12000</v>
      </c>
      <c r="I154" s="18">
        <v>100</v>
      </c>
      <c r="J154" s="17">
        <f t="shared" si="7"/>
        <v>8.0000000000000002E-3</v>
      </c>
      <c r="K154" s="18">
        <f t="shared" si="8"/>
        <v>96</v>
      </c>
      <c r="L154" s="25"/>
    </row>
    <row r="155" spans="1:12" ht="15.5" hidden="1" x14ac:dyDescent="0.35">
      <c r="A155" s="24" t="s">
        <v>233</v>
      </c>
      <c r="B155" s="24" t="str">
        <f t="shared" si="6"/>
        <v>Bún bò chả cuaHành tái</v>
      </c>
      <c r="C155" s="24" t="s">
        <v>8</v>
      </c>
      <c r="D155" t="s">
        <v>20</v>
      </c>
      <c r="E155" t="s">
        <v>478</v>
      </c>
      <c r="F155" t="s">
        <v>371</v>
      </c>
      <c r="G155" s="17">
        <v>0.3</v>
      </c>
      <c r="H155" s="18">
        <v>40000</v>
      </c>
      <c r="I155" s="18">
        <v>100</v>
      </c>
      <c r="J155" s="17">
        <f t="shared" si="7"/>
        <v>3.0000000000000001E-3</v>
      </c>
      <c r="K155" s="18">
        <f t="shared" si="8"/>
        <v>120</v>
      </c>
      <c r="L155" s="25"/>
    </row>
    <row r="156" spans="1:12" ht="15.5" hidden="1" x14ac:dyDescent="0.35">
      <c r="A156" s="24" t="s">
        <v>233</v>
      </c>
      <c r="B156" s="24" t="str">
        <f t="shared" si="6"/>
        <v>Bún bò chả cuaCà rốt</v>
      </c>
      <c r="C156" s="24" t="s">
        <v>8</v>
      </c>
      <c r="D156" t="s">
        <v>20</v>
      </c>
      <c r="E156" t="s">
        <v>478</v>
      </c>
      <c r="F156" t="s">
        <v>78</v>
      </c>
      <c r="G156" s="17">
        <v>0.8</v>
      </c>
      <c r="H156" s="18">
        <v>15000</v>
      </c>
      <c r="I156" s="18">
        <v>100</v>
      </c>
      <c r="J156" s="17">
        <f t="shared" si="7"/>
        <v>8.0000000000000002E-3</v>
      </c>
      <c r="K156" s="18">
        <f t="shared" si="8"/>
        <v>120</v>
      </c>
      <c r="L156" s="25"/>
    </row>
    <row r="157" spans="1:12" ht="15.5" hidden="1" x14ac:dyDescent="0.35">
      <c r="A157" s="24" t="s">
        <v>232</v>
      </c>
      <c r="B157" s="24" t="str">
        <f t="shared" si="6"/>
        <v>Bún bò chả cuabún tươi</v>
      </c>
      <c r="C157" s="24" t="s">
        <v>8</v>
      </c>
      <c r="D157" t="s">
        <v>20</v>
      </c>
      <c r="E157" t="s">
        <v>478</v>
      </c>
      <c r="F157" t="s">
        <v>467</v>
      </c>
      <c r="G157" s="17">
        <v>33</v>
      </c>
      <c r="H157" s="18">
        <v>10000</v>
      </c>
      <c r="I157" s="18">
        <v>100</v>
      </c>
      <c r="J157" s="17">
        <f t="shared" si="7"/>
        <v>0.33</v>
      </c>
      <c r="K157" s="18">
        <f t="shared" si="8"/>
        <v>3300</v>
      </c>
      <c r="L157" s="25"/>
    </row>
    <row r="158" spans="1:12" ht="15.5" hidden="1" x14ac:dyDescent="0.35">
      <c r="A158" s="24" t="s">
        <v>233</v>
      </c>
      <c r="B158" s="24" t="str">
        <f t="shared" si="6"/>
        <v>Bún bò chả cuaSả</v>
      </c>
      <c r="C158" s="24" t="s">
        <v>8</v>
      </c>
      <c r="D158" t="s">
        <v>20</v>
      </c>
      <c r="E158" t="s">
        <v>478</v>
      </c>
      <c r="F158" t="s">
        <v>207</v>
      </c>
      <c r="G158" s="17">
        <v>0.5</v>
      </c>
      <c r="H158" s="18">
        <v>30000</v>
      </c>
      <c r="I158" s="18">
        <v>100</v>
      </c>
      <c r="J158" s="17">
        <f t="shared" si="7"/>
        <v>5.0000000000000001E-3</v>
      </c>
      <c r="K158" s="18">
        <f t="shared" si="8"/>
        <v>150</v>
      </c>
      <c r="L158" s="25"/>
    </row>
    <row r="159" spans="1:12" hidden="1" x14ac:dyDescent="0.35">
      <c r="A159" s="24" t="s">
        <v>233</v>
      </c>
      <c r="B159" s="24" t="str">
        <f t="shared" si="6"/>
        <v>Trái câyTáo</v>
      </c>
      <c r="C159" s="24" t="s">
        <v>8</v>
      </c>
      <c r="D159" t="s">
        <v>52</v>
      </c>
      <c r="E159" t="s">
        <v>17</v>
      </c>
      <c r="F159" t="s">
        <v>149</v>
      </c>
      <c r="G159" s="17">
        <v>9</v>
      </c>
      <c r="H159" s="18">
        <v>25000</v>
      </c>
      <c r="I159" s="18">
        <v>234</v>
      </c>
      <c r="J159" s="17">
        <f t="shared" si="7"/>
        <v>3.8461538461538464E-2</v>
      </c>
      <c r="K159" s="18">
        <f t="shared" si="8"/>
        <v>961.53846153846155</v>
      </c>
    </row>
    <row r="160" spans="1:12" hidden="1" x14ac:dyDescent="0.35">
      <c r="A160" s="24" t="s">
        <v>232</v>
      </c>
      <c r="B160" s="24" t="str">
        <f t="shared" si="6"/>
        <v>Mỳ cá lócChanh</v>
      </c>
      <c r="C160" s="24" t="s">
        <v>8</v>
      </c>
      <c r="D160" t="s">
        <v>20</v>
      </c>
      <c r="E160" t="s">
        <v>286</v>
      </c>
      <c r="F160" s="24" t="s">
        <v>25</v>
      </c>
      <c r="G160" s="17">
        <v>0.8</v>
      </c>
      <c r="H160" s="18">
        <v>26000</v>
      </c>
      <c r="I160" s="18">
        <v>100</v>
      </c>
      <c r="J160" s="17">
        <f t="shared" si="7"/>
        <v>8.0000000000000002E-3</v>
      </c>
      <c r="K160" s="18">
        <f t="shared" si="8"/>
        <v>208</v>
      </c>
    </row>
    <row r="161" spans="1:11" hidden="1" x14ac:dyDescent="0.35">
      <c r="A161" s="24" t="s">
        <v>233</v>
      </c>
      <c r="B161" s="24" t="str">
        <f t="shared" si="6"/>
        <v>Mỳ cá lócGiá</v>
      </c>
      <c r="C161" s="24" t="s">
        <v>8</v>
      </c>
      <c r="D161" t="s">
        <v>20</v>
      </c>
      <c r="E161" t="s">
        <v>286</v>
      </c>
      <c r="F161" s="24" t="s">
        <v>26</v>
      </c>
      <c r="G161" s="17">
        <v>2.5</v>
      </c>
      <c r="H161" s="18">
        <v>10000</v>
      </c>
      <c r="I161" s="18">
        <v>100</v>
      </c>
      <c r="J161" s="17">
        <f t="shared" si="7"/>
        <v>2.5000000000000001E-2</v>
      </c>
      <c r="K161" s="18">
        <f t="shared" si="8"/>
        <v>250</v>
      </c>
    </row>
    <row r="162" spans="1:11" hidden="1" x14ac:dyDescent="0.35">
      <c r="A162" s="24" t="s">
        <v>233</v>
      </c>
      <c r="B162" s="24" t="str">
        <f t="shared" si="6"/>
        <v>Mỳ cá lócHành lá</v>
      </c>
      <c r="C162" s="24" t="s">
        <v>8</v>
      </c>
      <c r="D162" t="s">
        <v>20</v>
      </c>
      <c r="E162" t="s">
        <v>286</v>
      </c>
      <c r="F162" s="24" t="s">
        <v>24</v>
      </c>
      <c r="G162" s="17">
        <v>0.4</v>
      </c>
      <c r="H162" s="18">
        <v>20000</v>
      </c>
      <c r="I162" s="18">
        <v>100</v>
      </c>
      <c r="J162" s="17">
        <f t="shared" si="7"/>
        <v>4.0000000000000001E-3</v>
      </c>
      <c r="K162" s="18">
        <f t="shared" si="8"/>
        <v>80</v>
      </c>
    </row>
    <row r="163" spans="1:11" hidden="1" x14ac:dyDescent="0.35">
      <c r="A163" s="24" t="s">
        <v>233</v>
      </c>
      <c r="B163" s="24" t="str">
        <f t="shared" si="6"/>
        <v>Mỳ cá lócXà lách</v>
      </c>
      <c r="C163" s="24" t="s">
        <v>8</v>
      </c>
      <c r="D163" t="s">
        <v>20</v>
      </c>
      <c r="E163" t="s">
        <v>286</v>
      </c>
      <c r="F163" s="24" t="s">
        <v>197</v>
      </c>
      <c r="G163" s="17">
        <v>2</v>
      </c>
      <c r="H163" s="18">
        <v>22000</v>
      </c>
      <c r="I163" s="18">
        <v>100</v>
      </c>
      <c r="J163" s="17">
        <f t="shared" si="7"/>
        <v>0.02</v>
      </c>
      <c r="K163" s="18">
        <f t="shared" si="8"/>
        <v>440</v>
      </c>
    </row>
    <row r="164" spans="1:11" hidden="1" x14ac:dyDescent="0.35">
      <c r="A164" s="24" t="s">
        <v>233</v>
      </c>
      <c r="B164" s="24" t="str">
        <f t="shared" si="6"/>
        <v>Mỳ cá lócĐậu phộng rang</v>
      </c>
      <c r="C164" s="24" t="s">
        <v>8</v>
      </c>
      <c r="D164" t="s">
        <v>20</v>
      </c>
      <c r="E164" t="s">
        <v>286</v>
      </c>
      <c r="F164" s="24" t="s">
        <v>303</v>
      </c>
      <c r="G164" s="17">
        <v>0.7</v>
      </c>
      <c r="H164" s="18">
        <v>50000</v>
      </c>
      <c r="I164" s="18">
        <v>100</v>
      </c>
      <c r="J164" s="17">
        <f t="shared" si="7"/>
        <v>6.9999999999999993E-3</v>
      </c>
      <c r="K164" s="18">
        <f t="shared" si="8"/>
        <v>350</v>
      </c>
    </row>
    <row r="165" spans="1:11" hidden="1" x14ac:dyDescent="0.35">
      <c r="A165" s="24" t="s">
        <v>233</v>
      </c>
      <c r="B165" s="24" t="str">
        <f t="shared" si="6"/>
        <v>Mỳ cá lócNgò gai</v>
      </c>
      <c r="C165" s="24" t="s">
        <v>8</v>
      </c>
      <c r="D165" t="s">
        <v>20</v>
      </c>
      <c r="E165" t="s">
        <v>286</v>
      </c>
      <c r="F165" s="24" t="s">
        <v>101</v>
      </c>
      <c r="G165" s="17">
        <v>10</v>
      </c>
      <c r="H165" s="18">
        <v>35000</v>
      </c>
      <c r="I165" s="18">
        <v>100</v>
      </c>
      <c r="J165" s="17">
        <f t="shared" si="7"/>
        <v>0.1</v>
      </c>
      <c r="K165" s="18">
        <f t="shared" si="8"/>
        <v>3500</v>
      </c>
    </row>
    <row r="166" spans="1:11" hidden="1" x14ac:dyDescent="0.35">
      <c r="A166" s="24" t="s">
        <v>233</v>
      </c>
      <c r="B166" s="24" t="str">
        <f t="shared" si="6"/>
        <v>Mỳ cá lócỚt xanh</v>
      </c>
      <c r="C166" s="24" t="s">
        <v>8</v>
      </c>
      <c r="D166" t="s">
        <v>20</v>
      </c>
      <c r="E166" t="s">
        <v>286</v>
      </c>
      <c r="F166" s="24" t="s">
        <v>400</v>
      </c>
      <c r="G166" s="17">
        <v>0.2</v>
      </c>
      <c r="H166" s="18">
        <v>30000</v>
      </c>
      <c r="I166" s="18">
        <v>100</v>
      </c>
      <c r="J166" s="17">
        <f t="shared" si="7"/>
        <v>2E-3</v>
      </c>
      <c r="K166" s="18">
        <f t="shared" si="8"/>
        <v>60</v>
      </c>
    </row>
    <row r="167" spans="1:11" hidden="1" x14ac:dyDescent="0.35">
      <c r="A167" s="24" t="s">
        <v>233</v>
      </c>
      <c r="B167" s="24" t="str">
        <f t="shared" si="6"/>
        <v>Mỳ cá lócRau quế</v>
      </c>
      <c r="C167" s="24" t="s">
        <v>8</v>
      </c>
      <c r="D167" t="s">
        <v>20</v>
      </c>
      <c r="E167" t="s">
        <v>286</v>
      </c>
      <c r="F167" s="24" t="s">
        <v>23</v>
      </c>
      <c r="G167" s="17">
        <v>0.3</v>
      </c>
      <c r="H167" s="18">
        <v>30000</v>
      </c>
      <c r="I167" s="18">
        <v>100</v>
      </c>
      <c r="J167" s="17">
        <f t="shared" si="7"/>
        <v>3.0000000000000001E-3</v>
      </c>
      <c r="K167" s="18">
        <f t="shared" si="8"/>
        <v>90</v>
      </c>
    </row>
    <row r="168" spans="1:11" hidden="1" x14ac:dyDescent="0.35">
      <c r="A168" s="24" t="s">
        <v>233</v>
      </c>
      <c r="B168" s="24" t="str">
        <f t="shared" si="6"/>
        <v>Mỳ cá lócSu trắng</v>
      </c>
      <c r="C168" s="24" t="s">
        <v>8</v>
      </c>
      <c r="D168" t="s">
        <v>20</v>
      </c>
      <c r="E168" t="s">
        <v>286</v>
      </c>
      <c r="F168" s="24" t="s">
        <v>39</v>
      </c>
      <c r="G168" s="17">
        <v>1</v>
      </c>
      <c r="H168" s="18">
        <v>10000</v>
      </c>
      <c r="I168" s="18">
        <v>100</v>
      </c>
      <c r="J168" s="17">
        <f t="shared" si="7"/>
        <v>0.01</v>
      </c>
      <c r="K168" s="18">
        <f t="shared" si="8"/>
        <v>100</v>
      </c>
    </row>
    <row r="169" spans="1:11" hidden="1" x14ac:dyDescent="0.35">
      <c r="A169" s="24" t="s">
        <v>232</v>
      </c>
      <c r="B169" s="24" t="str">
        <f t="shared" si="6"/>
        <v>Mỳ cá lócCá lóc</v>
      </c>
      <c r="C169" s="24" t="s">
        <v>8</v>
      </c>
      <c r="D169" t="s">
        <v>20</v>
      </c>
      <c r="E169" t="s">
        <v>286</v>
      </c>
      <c r="F169" s="24" t="s">
        <v>111</v>
      </c>
      <c r="G169" s="17">
        <v>15</v>
      </c>
      <c r="H169" s="18">
        <v>70000</v>
      </c>
      <c r="I169" s="18">
        <v>100</v>
      </c>
      <c r="J169" s="17">
        <f t="shared" si="7"/>
        <v>0.15</v>
      </c>
      <c r="K169" s="18">
        <f t="shared" si="8"/>
        <v>10500</v>
      </c>
    </row>
    <row r="170" spans="1:11" hidden="1" x14ac:dyDescent="0.35">
      <c r="A170" s="24" t="s">
        <v>233</v>
      </c>
      <c r="B170" s="24" t="str">
        <f t="shared" si="6"/>
        <v>Mỳ cá lócMỳ tươi</v>
      </c>
      <c r="C170" s="24" t="s">
        <v>8</v>
      </c>
      <c r="D170" t="s">
        <v>20</v>
      </c>
      <c r="E170" t="s">
        <v>286</v>
      </c>
      <c r="F170" t="s">
        <v>389</v>
      </c>
      <c r="G170" s="17">
        <v>33</v>
      </c>
      <c r="H170" s="18">
        <v>9500</v>
      </c>
      <c r="I170" s="18">
        <v>100</v>
      </c>
      <c r="J170" s="17">
        <f t="shared" si="7"/>
        <v>0.33</v>
      </c>
      <c r="K170" s="18">
        <f t="shared" si="8"/>
        <v>3135</v>
      </c>
    </row>
    <row r="171" spans="1:11" hidden="1" x14ac:dyDescent="0.35">
      <c r="A171" s="24" t="s">
        <v>233</v>
      </c>
      <c r="B171" s="24" t="str">
        <f t="shared" si="6"/>
        <v>Mỳ cá lócchuối cây cắt sẵn</v>
      </c>
      <c r="C171" s="24" t="s">
        <v>8</v>
      </c>
      <c r="D171" t="s">
        <v>20</v>
      </c>
      <c r="E171" t="s">
        <v>286</v>
      </c>
      <c r="F171" t="s">
        <v>462</v>
      </c>
      <c r="G171" s="17">
        <v>0.5</v>
      </c>
      <c r="H171" s="18">
        <v>15000</v>
      </c>
      <c r="I171" s="18">
        <v>100</v>
      </c>
      <c r="J171" s="17">
        <f t="shared" si="7"/>
        <v>5.0000000000000001E-3</v>
      </c>
      <c r="K171" s="18">
        <f t="shared" si="8"/>
        <v>75</v>
      </c>
    </row>
    <row r="172" spans="1:11" hidden="1" x14ac:dyDescent="0.35">
      <c r="A172" s="24" t="s">
        <v>232</v>
      </c>
      <c r="B172" s="24" t="str">
        <f t="shared" si="6"/>
        <v>Cá nhói kho nghệCá nhói</v>
      </c>
      <c r="C172" t="s">
        <v>8</v>
      </c>
      <c r="D172" t="s">
        <v>18</v>
      </c>
      <c r="E172" t="s">
        <v>151</v>
      </c>
      <c r="F172" t="s">
        <v>152</v>
      </c>
      <c r="G172" s="17">
        <v>12</v>
      </c>
      <c r="H172" s="18">
        <v>48000</v>
      </c>
      <c r="I172" s="18">
        <v>120</v>
      </c>
      <c r="J172" s="17">
        <f t="shared" si="7"/>
        <v>0.1</v>
      </c>
      <c r="K172" s="18">
        <f t="shared" si="8"/>
        <v>4800</v>
      </c>
    </row>
    <row r="173" spans="1:11" hidden="1" x14ac:dyDescent="0.35">
      <c r="A173" s="24" t="s">
        <v>233</v>
      </c>
      <c r="B173" s="24" t="str">
        <f t="shared" si="6"/>
        <v xml:space="preserve">Cá nhói kho nghệNén </v>
      </c>
      <c r="C173" t="s">
        <v>8</v>
      </c>
      <c r="D173" t="s">
        <v>18</v>
      </c>
      <c r="E173" t="s">
        <v>151</v>
      </c>
      <c r="F173" t="s">
        <v>153</v>
      </c>
      <c r="G173" s="17">
        <v>1</v>
      </c>
      <c r="H173" s="18">
        <v>60000</v>
      </c>
      <c r="I173" s="18">
        <v>120</v>
      </c>
      <c r="J173" s="17">
        <f t="shared" si="7"/>
        <v>8.3333333333333332E-3</v>
      </c>
      <c r="K173" s="18">
        <f t="shared" si="8"/>
        <v>500</v>
      </c>
    </row>
    <row r="174" spans="1:11" hidden="1" x14ac:dyDescent="0.35">
      <c r="A174" s="24" t="s">
        <v>233</v>
      </c>
      <c r="B174" s="24" t="str">
        <f t="shared" si="6"/>
        <v>Cá nhói kho nghệNghệ</v>
      </c>
      <c r="C174" t="s">
        <v>8</v>
      </c>
      <c r="D174" t="s">
        <v>18</v>
      </c>
      <c r="E174" t="s">
        <v>151</v>
      </c>
      <c r="F174" t="s">
        <v>154</v>
      </c>
      <c r="G174" s="17">
        <v>1</v>
      </c>
      <c r="H174" s="18">
        <v>22000</v>
      </c>
      <c r="I174" s="18">
        <v>120</v>
      </c>
      <c r="J174" s="17">
        <f t="shared" si="7"/>
        <v>8.3333333333333332E-3</v>
      </c>
      <c r="K174" s="18">
        <f t="shared" si="8"/>
        <v>183.33333333333334</v>
      </c>
    </row>
    <row r="175" spans="1:11" hidden="1" x14ac:dyDescent="0.35">
      <c r="A175" s="24" t="s">
        <v>233</v>
      </c>
      <c r="B175" s="24" t="str">
        <f t="shared" si="6"/>
        <v>Cà tím mỡ hànhCà tím</v>
      </c>
      <c r="C175" t="s">
        <v>8</v>
      </c>
      <c r="D175" t="s">
        <v>47</v>
      </c>
      <c r="E175" t="s">
        <v>155</v>
      </c>
      <c r="F175" t="s">
        <v>156</v>
      </c>
      <c r="G175" s="17">
        <v>9.5</v>
      </c>
      <c r="H175" s="18">
        <v>11000</v>
      </c>
      <c r="I175" s="18">
        <v>100</v>
      </c>
      <c r="J175" s="17">
        <f t="shared" si="7"/>
        <v>9.5000000000000001E-2</v>
      </c>
      <c r="K175" s="18">
        <f t="shared" si="8"/>
        <v>1045</v>
      </c>
    </row>
    <row r="176" spans="1:11" hidden="1" x14ac:dyDescent="0.35">
      <c r="A176" s="24" t="s">
        <v>233</v>
      </c>
      <c r="B176" s="24" t="str">
        <f t="shared" si="6"/>
        <v>Sườn honSườn</v>
      </c>
      <c r="C176" t="s">
        <v>8</v>
      </c>
      <c r="D176" t="s">
        <v>18</v>
      </c>
      <c r="E176" t="s">
        <v>158</v>
      </c>
      <c r="F176" t="s">
        <v>123</v>
      </c>
      <c r="G176" s="17">
        <v>3</v>
      </c>
      <c r="H176" s="18">
        <v>95000</v>
      </c>
      <c r="I176" s="18">
        <v>40</v>
      </c>
      <c r="J176" s="17">
        <f t="shared" si="7"/>
        <v>7.4999999999999997E-2</v>
      </c>
      <c r="K176" s="18">
        <f t="shared" si="8"/>
        <v>7125</v>
      </c>
    </row>
    <row r="177" spans="1:11" hidden="1" x14ac:dyDescent="0.35">
      <c r="A177" s="24" t="s">
        <v>233</v>
      </c>
      <c r="B177" s="24" t="str">
        <f t="shared" si="6"/>
        <v>Su trắng xàoSu trắng</v>
      </c>
      <c r="C177" t="s">
        <v>8</v>
      </c>
      <c r="D177" t="s">
        <v>47</v>
      </c>
      <c r="E177" t="s">
        <v>159</v>
      </c>
      <c r="F177" t="s">
        <v>39</v>
      </c>
      <c r="G177" s="17">
        <v>9</v>
      </c>
      <c r="H177" s="18">
        <v>10000</v>
      </c>
      <c r="I177" s="18">
        <v>100</v>
      </c>
      <c r="J177" s="17">
        <f t="shared" si="7"/>
        <v>0.09</v>
      </c>
      <c r="K177" s="18">
        <f t="shared" si="8"/>
        <v>900</v>
      </c>
    </row>
    <row r="178" spans="1:11" hidden="1" x14ac:dyDescent="0.35">
      <c r="A178" s="24" t="s">
        <v>232</v>
      </c>
      <c r="B178" s="24" t="str">
        <f t="shared" si="6"/>
        <v>Cá diêu hồng kho tiêuCá diêu hồng</v>
      </c>
      <c r="C178" t="s">
        <v>8</v>
      </c>
      <c r="D178" t="s">
        <v>18</v>
      </c>
      <c r="E178" t="s">
        <v>160</v>
      </c>
      <c r="F178" t="s">
        <v>161</v>
      </c>
      <c r="G178" s="17">
        <v>50</v>
      </c>
      <c r="H178" s="18">
        <v>65000</v>
      </c>
      <c r="I178" s="18">
        <v>378</v>
      </c>
      <c r="J178" s="17">
        <f t="shared" si="7"/>
        <v>0.13227513227513227</v>
      </c>
      <c r="K178" s="18">
        <f t="shared" si="8"/>
        <v>8597.8835978835978</v>
      </c>
    </row>
    <row r="179" spans="1:11" hidden="1" x14ac:dyDescent="0.35">
      <c r="A179" s="24" t="s">
        <v>232</v>
      </c>
      <c r="B179" s="24" t="str">
        <f t="shared" si="6"/>
        <v>Vịt kho măngVịt</v>
      </c>
      <c r="C179" t="s">
        <v>8</v>
      </c>
      <c r="D179" t="s">
        <v>18</v>
      </c>
      <c r="E179" t="s">
        <v>162</v>
      </c>
      <c r="F179" t="s">
        <v>163</v>
      </c>
      <c r="G179" s="17">
        <v>8.5</v>
      </c>
      <c r="H179" s="18">
        <v>65000</v>
      </c>
      <c r="I179" s="18">
        <v>103</v>
      </c>
      <c r="J179" s="17">
        <f t="shared" si="7"/>
        <v>8.2524271844660199E-2</v>
      </c>
      <c r="K179" s="18">
        <f t="shared" si="8"/>
        <v>5364.0776699029129</v>
      </c>
    </row>
    <row r="180" spans="1:11" hidden="1" x14ac:dyDescent="0.35">
      <c r="A180" s="24" t="s">
        <v>233</v>
      </c>
      <c r="B180" s="24" t="str">
        <f t="shared" si="6"/>
        <v>Vịt kho măngMăng</v>
      </c>
      <c r="C180" t="s">
        <v>8</v>
      </c>
      <c r="D180" t="s">
        <v>18</v>
      </c>
      <c r="E180" t="s">
        <v>162</v>
      </c>
      <c r="F180" t="s">
        <v>117</v>
      </c>
      <c r="G180" s="17">
        <v>2</v>
      </c>
      <c r="H180" s="18">
        <v>25000</v>
      </c>
      <c r="I180" s="18">
        <v>103</v>
      </c>
      <c r="J180" s="17">
        <f t="shared" si="7"/>
        <v>1.9417475728155338E-2</v>
      </c>
      <c r="K180" s="18">
        <f t="shared" si="8"/>
        <v>485.43689320388347</v>
      </c>
    </row>
    <row r="181" spans="1:11" hidden="1" x14ac:dyDescent="0.35">
      <c r="A181" s="24" t="s">
        <v>232</v>
      </c>
      <c r="B181" s="24" t="str">
        <f t="shared" si="6"/>
        <v>Chả lá lốtChả quết</v>
      </c>
      <c r="C181" t="s">
        <v>8</v>
      </c>
      <c r="D181" t="s">
        <v>19</v>
      </c>
      <c r="E181" t="s">
        <v>164</v>
      </c>
      <c r="F181" t="s">
        <v>166</v>
      </c>
      <c r="G181" s="17">
        <v>1.5</v>
      </c>
      <c r="H181" s="18">
        <v>120000</v>
      </c>
      <c r="I181" s="18">
        <v>100</v>
      </c>
      <c r="J181" s="17">
        <f t="shared" si="7"/>
        <v>1.4999999999999999E-2</v>
      </c>
      <c r="K181" s="18">
        <f t="shared" si="8"/>
        <v>1800</v>
      </c>
    </row>
    <row r="182" spans="1:11" hidden="1" x14ac:dyDescent="0.35">
      <c r="A182" s="24" t="s">
        <v>233</v>
      </c>
      <c r="B182" s="24" t="str">
        <f t="shared" si="6"/>
        <v>Chả lá lốtLá lốt</v>
      </c>
      <c r="C182" t="s">
        <v>8</v>
      </c>
      <c r="D182" t="s">
        <v>19</v>
      </c>
      <c r="E182" t="s">
        <v>164</v>
      </c>
      <c r="F182" t="s">
        <v>165</v>
      </c>
      <c r="G182" s="16">
        <v>4</v>
      </c>
      <c r="H182" s="2">
        <v>12000</v>
      </c>
      <c r="I182" s="18">
        <v>774</v>
      </c>
      <c r="J182" s="17">
        <f t="shared" si="7"/>
        <v>5.1679586563307496E-3</v>
      </c>
      <c r="K182" s="18">
        <f t="shared" si="8"/>
        <v>62.015503875968989</v>
      </c>
    </row>
    <row r="183" spans="1:11" hidden="1" x14ac:dyDescent="0.35">
      <c r="A183" s="24" t="s">
        <v>232</v>
      </c>
      <c r="B183" s="24" t="str">
        <f t="shared" si="6"/>
        <v>Chả lá lốtBột nở</v>
      </c>
      <c r="C183" t="s">
        <v>8</v>
      </c>
      <c r="D183" t="s">
        <v>19</v>
      </c>
      <c r="E183" t="s">
        <v>164</v>
      </c>
      <c r="F183" t="s">
        <v>348</v>
      </c>
      <c r="G183" s="16">
        <v>2.5</v>
      </c>
      <c r="H183" s="2">
        <v>25000</v>
      </c>
      <c r="I183" s="18">
        <v>774</v>
      </c>
      <c r="J183" s="17">
        <f t="shared" si="7"/>
        <v>3.2299741602067182E-3</v>
      </c>
      <c r="K183" s="18">
        <f t="shared" si="8"/>
        <v>80.749354005167959</v>
      </c>
    </row>
    <row r="184" spans="1:11" hidden="1" x14ac:dyDescent="0.35">
      <c r="A184" s="24" t="s">
        <v>232</v>
      </c>
      <c r="B184" s="24" t="str">
        <f t="shared" si="6"/>
        <v>Chả lá lốtThịt xay</v>
      </c>
      <c r="C184" t="s">
        <v>8</v>
      </c>
      <c r="D184" t="s">
        <v>19</v>
      </c>
      <c r="E184" t="s">
        <v>164</v>
      </c>
      <c r="F184" t="s">
        <v>31</v>
      </c>
      <c r="G184" s="16">
        <v>2</v>
      </c>
      <c r="H184" s="2">
        <v>80000</v>
      </c>
      <c r="I184" s="18">
        <v>100</v>
      </c>
      <c r="J184" s="17">
        <f t="shared" si="7"/>
        <v>0.02</v>
      </c>
      <c r="K184" s="18">
        <f t="shared" si="8"/>
        <v>1600</v>
      </c>
    </row>
    <row r="185" spans="1:11" hidden="1" x14ac:dyDescent="0.35">
      <c r="A185" s="24" t="s">
        <v>232</v>
      </c>
      <c r="B185" s="24" t="str">
        <f t="shared" si="6"/>
        <v>Tôm rim trứng cútTôm</v>
      </c>
      <c r="C185" t="s">
        <v>8</v>
      </c>
      <c r="D185" t="s">
        <v>18</v>
      </c>
      <c r="E185" t="s">
        <v>168</v>
      </c>
      <c r="F185" t="s">
        <v>37</v>
      </c>
      <c r="G185" s="17">
        <v>6.5</v>
      </c>
      <c r="H185" s="18">
        <v>115000</v>
      </c>
      <c r="I185" s="18">
        <v>250</v>
      </c>
      <c r="J185" s="17">
        <f t="shared" si="7"/>
        <v>2.5999999999999999E-2</v>
      </c>
      <c r="K185" s="18">
        <f t="shared" si="8"/>
        <v>2990</v>
      </c>
    </row>
    <row r="186" spans="1:11" hidden="1" x14ac:dyDescent="0.35">
      <c r="A186" s="24" t="s">
        <v>232</v>
      </c>
      <c r="B186" s="24" t="str">
        <f t="shared" si="6"/>
        <v>Tôm rim trứng cútTrứng cút</v>
      </c>
      <c r="C186" t="s">
        <v>8</v>
      </c>
      <c r="D186" t="s">
        <v>18</v>
      </c>
      <c r="E186" t="s">
        <v>168</v>
      </c>
      <c r="F186" t="s">
        <v>169</v>
      </c>
      <c r="G186" s="17">
        <v>770</v>
      </c>
      <c r="H186" s="18">
        <v>550</v>
      </c>
      <c r="I186" s="18">
        <v>250</v>
      </c>
      <c r="J186" s="17">
        <f t="shared" si="7"/>
        <v>3.08</v>
      </c>
      <c r="K186" s="18">
        <f t="shared" si="8"/>
        <v>1694</v>
      </c>
    </row>
    <row r="187" spans="1:11" hidden="1" x14ac:dyDescent="0.35">
      <c r="A187" s="24" t="s">
        <v>233</v>
      </c>
      <c r="B187" s="24" t="str">
        <f t="shared" si="6"/>
        <v>Rau lang luộc Rau lang</v>
      </c>
      <c r="C187" s="24" t="s">
        <v>8</v>
      </c>
      <c r="D187" t="s">
        <v>47</v>
      </c>
      <c r="E187" t="s">
        <v>171</v>
      </c>
      <c r="F187" t="s">
        <v>170</v>
      </c>
      <c r="G187" s="17">
        <v>8.5</v>
      </c>
      <c r="H187" s="18">
        <v>19000</v>
      </c>
      <c r="I187" s="18">
        <v>100</v>
      </c>
      <c r="J187" s="17">
        <f t="shared" si="7"/>
        <v>8.5000000000000006E-2</v>
      </c>
      <c r="K187" s="18">
        <f t="shared" si="8"/>
        <v>1615</v>
      </c>
    </row>
    <row r="188" spans="1:11" hidden="1" x14ac:dyDescent="0.35">
      <c r="A188" s="24" t="s">
        <v>232</v>
      </c>
      <c r="B188" s="24" t="str">
        <f t="shared" si="6"/>
        <v>Cá bạc má khoCá bạc má</v>
      </c>
      <c r="C188" t="s">
        <v>8</v>
      </c>
      <c r="D188" t="s">
        <v>18</v>
      </c>
      <c r="E188" t="s">
        <v>172</v>
      </c>
      <c r="F188" t="s">
        <v>173</v>
      </c>
      <c r="G188" s="17">
        <v>10</v>
      </c>
      <c r="H188" s="18">
        <v>42000</v>
      </c>
      <c r="I188" s="18">
        <v>109</v>
      </c>
      <c r="J188" s="17">
        <f t="shared" si="7"/>
        <v>9.1743119266055051E-2</v>
      </c>
      <c r="K188" s="18">
        <f t="shared" si="8"/>
        <v>3853.211009174312</v>
      </c>
    </row>
    <row r="189" spans="1:11" hidden="1" x14ac:dyDescent="0.35">
      <c r="A189" s="24" t="s">
        <v>233</v>
      </c>
      <c r="B189" s="24" t="str">
        <f t="shared" si="6"/>
        <v>Củ cải xàocủ cải</v>
      </c>
      <c r="C189" t="s">
        <v>8</v>
      </c>
      <c r="D189" t="s">
        <v>47</v>
      </c>
      <c r="E189" t="s">
        <v>174</v>
      </c>
      <c r="F189" t="s">
        <v>175</v>
      </c>
      <c r="G189" s="17">
        <v>10.5</v>
      </c>
      <c r="H189" s="18">
        <v>8000</v>
      </c>
      <c r="I189" s="18">
        <v>110</v>
      </c>
      <c r="J189" s="17">
        <f t="shared" si="7"/>
        <v>9.5454545454545459E-2</v>
      </c>
      <c r="K189" s="18">
        <f t="shared" si="8"/>
        <v>763.63636363636363</v>
      </c>
    </row>
    <row r="190" spans="1:11" hidden="1" x14ac:dyDescent="0.35">
      <c r="A190" s="24" t="s">
        <v>233</v>
      </c>
      <c r="B190" s="24" t="str">
        <f t="shared" si="6"/>
        <v>Khổ qua thịt bằmKhổ qua</v>
      </c>
      <c r="C190" s="24" t="s">
        <v>8</v>
      </c>
      <c r="D190" t="s">
        <v>48</v>
      </c>
      <c r="E190" t="s">
        <v>177</v>
      </c>
      <c r="F190" t="s">
        <v>178</v>
      </c>
      <c r="G190" s="17">
        <v>4</v>
      </c>
      <c r="H190" s="18">
        <v>16000</v>
      </c>
      <c r="I190" s="18">
        <v>109</v>
      </c>
      <c r="J190" s="17">
        <f t="shared" si="7"/>
        <v>3.669724770642202E-2</v>
      </c>
      <c r="K190" s="18">
        <f t="shared" si="8"/>
        <v>587.1559633027523</v>
      </c>
    </row>
    <row r="191" spans="1:11" hidden="1" x14ac:dyDescent="0.35">
      <c r="A191" s="24" t="s">
        <v>232</v>
      </c>
      <c r="B191" s="24" t="str">
        <f t="shared" si="6"/>
        <v>Khổ qua thịt bằmThịt bằm</v>
      </c>
      <c r="C191" s="24" t="s">
        <v>8</v>
      </c>
      <c r="D191" t="s">
        <v>48</v>
      </c>
      <c r="E191" t="s">
        <v>177</v>
      </c>
      <c r="F191" t="s">
        <v>50</v>
      </c>
      <c r="G191" s="17">
        <v>0.3</v>
      </c>
      <c r="H191" s="18">
        <v>80000</v>
      </c>
      <c r="I191" s="18">
        <v>109</v>
      </c>
      <c r="J191" s="17">
        <f t="shared" si="7"/>
        <v>2.7522935779816511E-3</v>
      </c>
      <c r="K191" s="18">
        <f t="shared" si="8"/>
        <v>220.18348623853211</v>
      </c>
    </row>
    <row r="192" spans="1:11" hidden="1" x14ac:dyDescent="0.35">
      <c r="A192" s="24" t="s">
        <v>233</v>
      </c>
      <c r="B192" s="24" t="str">
        <f>E192&amp;F192</f>
        <v>Khổ qua nấu tômKhổ qua</v>
      </c>
      <c r="C192" s="24" t="s">
        <v>8</v>
      </c>
      <c r="D192" t="s">
        <v>12</v>
      </c>
      <c r="E192" t="s">
        <v>335</v>
      </c>
      <c r="F192" t="s">
        <v>178</v>
      </c>
      <c r="G192" s="17">
        <v>4</v>
      </c>
      <c r="H192" s="18">
        <v>16000</v>
      </c>
      <c r="I192" s="18">
        <v>109</v>
      </c>
      <c r="J192" s="17">
        <f>G192/I192</f>
        <v>3.669724770642202E-2</v>
      </c>
      <c r="K192" s="18">
        <f>(G192*H192)/I192</f>
        <v>587.1559633027523</v>
      </c>
    </row>
    <row r="193" spans="1:14" hidden="1" x14ac:dyDescent="0.35">
      <c r="A193" s="24" t="s">
        <v>232</v>
      </c>
      <c r="B193" s="24" t="str">
        <f>E193&amp;F193</f>
        <v>Khổ qua nấu tômTôm</v>
      </c>
      <c r="C193" s="24" t="s">
        <v>8</v>
      </c>
      <c r="D193" t="s">
        <v>12</v>
      </c>
      <c r="E193" t="s">
        <v>335</v>
      </c>
      <c r="F193" t="s">
        <v>37</v>
      </c>
      <c r="G193" s="17">
        <v>0.4</v>
      </c>
      <c r="H193" s="18">
        <v>130000</v>
      </c>
      <c r="I193" s="18">
        <v>120</v>
      </c>
      <c r="J193" s="17">
        <f>G193/I193</f>
        <v>3.3333333333333335E-3</v>
      </c>
      <c r="K193" s="18">
        <f>(G193*H193)/I193</f>
        <v>433.33333333333331</v>
      </c>
    </row>
    <row r="194" spans="1:14" hidden="1" x14ac:dyDescent="0.35">
      <c r="A194" s="24" t="s">
        <v>232</v>
      </c>
      <c r="B194" s="24" t="str">
        <f t="shared" si="6"/>
        <v xml:space="preserve">Bầu nấu tômTôm </v>
      </c>
      <c r="C194" s="24" t="s">
        <v>8</v>
      </c>
      <c r="D194" t="s">
        <v>48</v>
      </c>
      <c r="E194" t="s">
        <v>179</v>
      </c>
      <c r="F194" t="s">
        <v>180</v>
      </c>
      <c r="G194" s="17">
        <v>0.4</v>
      </c>
      <c r="H194" s="18">
        <v>115000</v>
      </c>
      <c r="I194" s="18">
        <v>120</v>
      </c>
      <c r="J194" s="17">
        <f t="shared" si="7"/>
        <v>3.3333333333333335E-3</v>
      </c>
      <c r="K194" s="18">
        <f t="shared" si="8"/>
        <v>383.33333333333331</v>
      </c>
    </row>
    <row r="195" spans="1:14" hidden="1" x14ac:dyDescent="0.35">
      <c r="A195" s="24" t="s">
        <v>233</v>
      </c>
      <c r="B195" s="24" t="str">
        <f t="shared" si="6"/>
        <v>Bầu nấu tômBầu</v>
      </c>
      <c r="C195" s="24" t="s">
        <v>8</v>
      </c>
      <c r="D195" t="s">
        <v>48</v>
      </c>
      <c r="E195" t="s">
        <v>179</v>
      </c>
      <c r="F195" t="s">
        <v>96</v>
      </c>
      <c r="G195" s="17">
        <v>4</v>
      </c>
      <c r="H195" s="18">
        <v>12000</v>
      </c>
      <c r="I195" s="18">
        <v>120</v>
      </c>
      <c r="J195" s="17">
        <f t="shared" si="7"/>
        <v>3.3333333333333333E-2</v>
      </c>
      <c r="K195" s="18">
        <f t="shared" si="8"/>
        <v>400</v>
      </c>
    </row>
    <row r="196" spans="1:14" hidden="1" x14ac:dyDescent="0.35">
      <c r="A196" s="24" t="s">
        <v>232</v>
      </c>
      <c r="B196" s="24" t="str">
        <f t="shared" si="6"/>
        <v>Cơm gà chiên mắmGà</v>
      </c>
      <c r="C196" s="24" t="s">
        <v>8</v>
      </c>
      <c r="D196" t="s">
        <v>18</v>
      </c>
      <c r="E196" t="s">
        <v>181</v>
      </c>
      <c r="F196" t="s">
        <v>21</v>
      </c>
      <c r="G196" s="17">
        <v>30</v>
      </c>
      <c r="H196" s="18">
        <v>47000</v>
      </c>
      <c r="I196" s="18">
        <v>238</v>
      </c>
      <c r="J196" s="17">
        <f t="shared" si="7"/>
        <v>0.12605042016806722</v>
      </c>
      <c r="K196" s="18">
        <f t="shared" si="8"/>
        <v>5924.3697478991598</v>
      </c>
    </row>
    <row r="197" spans="1:14" hidden="1" x14ac:dyDescent="0.35">
      <c r="A197" s="24" t="s">
        <v>232</v>
      </c>
      <c r="B197" s="24" t="str">
        <f t="shared" si="6"/>
        <v>Trứng luộcTrứng gà</v>
      </c>
      <c r="C197" s="24" t="s">
        <v>8</v>
      </c>
      <c r="D197" t="s">
        <v>19</v>
      </c>
      <c r="E197" t="s">
        <v>182</v>
      </c>
      <c r="F197" t="s">
        <v>13</v>
      </c>
      <c r="G197" s="17">
        <v>238</v>
      </c>
      <c r="H197" s="18">
        <v>2200</v>
      </c>
      <c r="I197" s="18">
        <v>238</v>
      </c>
      <c r="J197" s="17">
        <f t="shared" si="7"/>
        <v>1</v>
      </c>
      <c r="K197" s="18">
        <f t="shared" si="8"/>
        <v>2200</v>
      </c>
    </row>
    <row r="198" spans="1:14" hidden="1" x14ac:dyDescent="0.35">
      <c r="A198" s="24" t="s">
        <v>232</v>
      </c>
      <c r="B198" s="24" t="str">
        <f t="shared" si="6"/>
        <v>Cơm sườn kim chiCốt lết</v>
      </c>
      <c r="C198" s="24" t="s">
        <v>8</v>
      </c>
      <c r="D198" t="s">
        <v>18</v>
      </c>
      <c r="E198" t="s">
        <v>184</v>
      </c>
      <c r="F198" t="s">
        <v>87</v>
      </c>
      <c r="G198" s="17">
        <v>11</v>
      </c>
      <c r="H198" s="18">
        <v>100000</v>
      </c>
      <c r="I198" s="18">
        <v>100</v>
      </c>
      <c r="J198" s="17">
        <f t="shared" si="7"/>
        <v>0.11</v>
      </c>
      <c r="K198" s="18">
        <f t="shared" si="8"/>
        <v>11000</v>
      </c>
    </row>
    <row r="199" spans="1:14" hidden="1" x14ac:dyDescent="0.35">
      <c r="A199" s="24" t="s">
        <v>233</v>
      </c>
      <c r="B199" s="24" t="str">
        <f t="shared" si="6"/>
        <v>Cơm sườn kim chiSả</v>
      </c>
      <c r="C199" s="24" t="s">
        <v>8</v>
      </c>
      <c r="D199" t="s">
        <v>18</v>
      </c>
      <c r="E199" t="s">
        <v>184</v>
      </c>
      <c r="F199" t="s">
        <v>207</v>
      </c>
      <c r="G199" s="17">
        <v>0.6</v>
      </c>
      <c r="H199" s="18">
        <v>10000</v>
      </c>
      <c r="I199" s="18">
        <v>100</v>
      </c>
      <c r="J199" s="17">
        <f t="shared" si="7"/>
        <v>6.0000000000000001E-3</v>
      </c>
      <c r="K199" s="18">
        <f t="shared" si="8"/>
        <v>60</v>
      </c>
    </row>
    <row r="200" spans="1:14" hidden="1" x14ac:dyDescent="0.35">
      <c r="A200" s="24" t="s">
        <v>233</v>
      </c>
      <c r="B200" s="24" t="str">
        <f t="shared" si="6"/>
        <v xml:space="preserve">Cơm sườn kim chiCải thảo </v>
      </c>
      <c r="C200" s="24" t="s">
        <v>8</v>
      </c>
      <c r="D200" t="s">
        <v>18</v>
      </c>
      <c r="E200" t="s">
        <v>184</v>
      </c>
      <c r="F200" t="s">
        <v>186</v>
      </c>
      <c r="G200" s="17">
        <v>3</v>
      </c>
      <c r="H200" s="18">
        <v>14000</v>
      </c>
      <c r="I200" s="18">
        <v>100</v>
      </c>
      <c r="J200" s="17">
        <f t="shared" si="7"/>
        <v>0.03</v>
      </c>
      <c r="K200" s="18">
        <f t="shared" si="8"/>
        <v>420</v>
      </c>
    </row>
    <row r="201" spans="1:14" hidden="1" x14ac:dyDescent="0.35">
      <c r="A201" s="24" t="s">
        <v>233</v>
      </c>
      <c r="B201" s="24" t="str">
        <f t="shared" si="6"/>
        <v>Cơm sườn kim chiCà rốt</v>
      </c>
      <c r="C201" s="24" t="s">
        <v>8</v>
      </c>
      <c r="D201" t="s">
        <v>18</v>
      </c>
      <c r="E201" t="s">
        <v>184</v>
      </c>
      <c r="F201" t="s">
        <v>78</v>
      </c>
      <c r="G201" s="17">
        <v>3</v>
      </c>
      <c r="H201" s="18">
        <v>15000</v>
      </c>
      <c r="I201" s="18">
        <v>100</v>
      </c>
      <c r="J201" s="17">
        <f t="shared" si="7"/>
        <v>0.03</v>
      </c>
      <c r="K201" s="18">
        <f t="shared" si="8"/>
        <v>450</v>
      </c>
    </row>
    <row r="202" spans="1:14" hidden="1" x14ac:dyDescent="0.35">
      <c r="A202" s="24" t="s">
        <v>233</v>
      </c>
      <c r="B202" s="24" t="str">
        <f t="shared" si="6"/>
        <v>Cơm sườn kim chicủ cải</v>
      </c>
      <c r="C202" s="24" t="s">
        <v>8</v>
      </c>
      <c r="D202" t="s">
        <v>18</v>
      </c>
      <c r="E202" t="s">
        <v>184</v>
      </c>
      <c r="F202" t="s">
        <v>175</v>
      </c>
      <c r="G202" s="17">
        <v>3</v>
      </c>
      <c r="H202" s="18">
        <v>8000</v>
      </c>
      <c r="I202" s="18">
        <v>100</v>
      </c>
      <c r="J202" s="17">
        <f t="shared" si="7"/>
        <v>0.03</v>
      </c>
      <c r="K202" s="18">
        <f t="shared" si="8"/>
        <v>240</v>
      </c>
    </row>
    <row r="203" spans="1:14" hidden="1" x14ac:dyDescent="0.35">
      <c r="A203" s="24" t="s">
        <v>233</v>
      </c>
      <c r="B203" s="24" t="str">
        <f t="shared" si="6"/>
        <v>Cơm sườn kim chiỚt sừng</v>
      </c>
      <c r="C203" s="24" t="s">
        <v>8</v>
      </c>
      <c r="D203" t="s">
        <v>18</v>
      </c>
      <c r="E203" t="s">
        <v>184</v>
      </c>
      <c r="F203" t="s">
        <v>203</v>
      </c>
      <c r="G203" s="17">
        <v>0.5</v>
      </c>
      <c r="H203" s="18">
        <v>40000</v>
      </c>
      <c r="I203" s="18">
        <v>100</v>
      </c>
      <c r="J203" s="17">
        <f t="shared" si="7"/>
        <v>5.0000000000000001E-3</v>
      </c>
      <c r="K203" s="18">
        <f t="shared" si="8"/>
        <v>200</v>
      </c>
    </row>
    <row r="204" spans="1:14" hidden="1" x14ac:dyDescent="0.35">
      <c r="A204" s="24" t="s">
        <v>232</v>
      </c>
      <c r="B204" s="24" t="str">
        <f t="shared" si="6"/>
        <v>Trứng ốp laTrứng gà (cái)</v>
      </c>
      <c r="C204" s="24" t="s">
        <v>8</v>
      </c>
      <c r="D204" t="s">
        <v>19</v>
      </c>
      <c r="E204" t="s">
        <v>185</v>
      </c>
      <c r="F204" t="s">
        <v>183</v>
      </c>
      <c r="G204" s="17">
        <v>74</v>
      </c>
      <c r="H204" s="18">
        <v>2200</v>
      </c>
      <c r="I204" s="18">
        <v>74</v>
      </c>
      <c r="J204" s="17">
        <f t="shared" si="7"/>
        <v>1</v>
      </c>
      <c r="K204" s="18">
        <f t="shared" si="8"/>
        <v>2200</v>
      </c>
    </row>
    <row r="205" spans="1:14" hidden="1" x14ac:dyDescent="0.35">
      <c r="A205" s="24" t="s">
        <v>233</v>
      </c>
      <c r="B205" s="24" t="str">
        <f t="shared" si="6"/>
        <v>Canh chua trứngTrứng</v>
      </c>
      <c r="C205" t="s">
        <v>8</v>
      </c>
      <c r="D205" t="s">
        <v>48</v>
      </c>
      <c r="E205" t="s">
        <v>187</v>
      </c>
      <c r="F205" t="s">
        <v>188</v>
      </c>
      <c r="G205" s="17">
        <v>10</v>
      </c>
      <c r="H205" s="18">
        <v>2200</v>
      </c>
      <c r="I205" s="18">
        <v>74</v>
      </c>
      <c r="J205" s="17">
        <f t="shared" si="7"/>
        <v>0.13513513513513514</v>
      </c>
      <c r="K205" s="18">
        <f t="shared" si="8"/>
        <v>297.29729729729729</v>
      </c>
    </row>
    <row r="206" spans="1:14" hidden="1" x14ac:dyDescent="0.35">
      <c r="A206" s="24" t="s">
        <v>233</v>
      </c>
      <c r="B206" s="24" t="str">
        <f t="shared" si="6"/>
        <v>Canh chua trứngMăng chua</v>
      </c>
      <c r="C206" t="s">
        <v>8</v>
      </c>
      <c r="D206" t="s">
        <v>48</v>
      </c>
      <c r="E206" t="s">
        <v>187</v>
      </c>
      <c r="F206" t="s">
        <v>189</v>
      </c>
      <c r="G206" s="17">
        <v>1</v>
      </c>
      <c r="H206" s="18">
        <v>25000</v>
      </c>
      <c r="I206" s="18">
        <v>74</v>
      </c>
      <c r="J206" s="17">
        <f t="shared" si="7"/>
        <v>1.3513513513513514E-2</v>
      </c>
      <c r="K206" s="18">
        <f t="shared" si="8"/>
        <v>337.83783783783781</v>
      </c>
    </row>
    <row r="207" spans="1:14" hidden="1" x14ac:dyDescent="0.35">
      <c r="A207" s="24" t="s">
        <v>232</v>
      </c>
      <c r="B207" s="24" t="str">
        <f t="shared" si="6"/>
        <v xml:space="preserve">Bò lúc lắcBò </v>
      </c>
      <c r="C207" s="24" t="s">
        <v>8</v>
      </c>
      <c r="D207" t="s">
        <v>18</v>
      </c>
      <c r="E207" t="s">
        <v>195</v>
      </c>
      <c r="F207" t="s">
        <v>130</v>
      </c>
      <c r="G207" s="17">
        <v>14</v>
      </c>
      <c r="H207" s="18">
        <v>120000</v>
      </c>
      <c r="I207" s="18">
        <v>115</v>
      </c>
      <c r="J207" s="17">
        <f t="shared" si="7"/>
        <v>0.12173913043478261</v>
      </c>
      <c r="K207" s="18">
        <f t="shared" si="8"/>
        <v>14608.695652173914</v>
      </c>
      <c r="N207" s="36"/>
    </row>
    <row r="208" spans="1:14" hidden="1" x14ac:dyDescent="0.35">
      <c r="A208" s="24" t="s">
        <v>233</v>
      </c>
      <c r="B208" s="24" t="str">
        <f t="shared" si="6"/>
        <v>Bò lúc lắcỚt chuông</v>
      </c>
      <c r="C208" s="24" t="s">
        <v>8</v>
      </c>
      <c r="D208" t="s">
        <v>18</v>
      </c>
      <c r="E208" t="s">
        <v>195</v>
      </c>
      <c r="F208" t="s">
        <v>196</v>
      </c>
      <c r="G208" s="17">
        <v>10</v>
      </c>
      <c r="H208" s="18">
        <v>40000</v>
      </c>
      <c r="I208" s="18">
        <v>120</v>
      </c>
      <c r="J208" s="17">
        <f t="shared" si="7"/>
        <v>8.3333333333333329E-2</v>
      </c>
      <c r="K208" s="18">
        <f t="shared" si="8"/>
        <v>3333.3333333333335</v>
      </c>
    </row>
    <row r="209" spans="1:11" hidden="1" x14ac:dyDescent="0.35">
      <c r="A209" s="24" t="s">
        <v>233</v>
      </c>
      <c r="B209" s="24" t="str">
        <f t="shared" si="6"/>
        <v>Bò lúc lắcThơm</v>
      </c>
      <c r="C209" s="24" t="s">
        <v>8</v>
      </c>
      <c r="D209" t="s">
        <v>18</v>
      </c>
      <c r="E209" t="s">
        <v>195</v>
      </c>
      <c r="F209" t="s">
        <v>4</v>
      </c>
      <c r="G209" s="17">
        <v>5</v>
      </c>
      <c r="H209" s="18">
        <v>17000</v>
      </c>
      <c r="I209" s="18">
        <v>120</v>
      </c>
      <c r="J209" s="17">
        <f t="shared" si="7"/>
        <v>4.1666666666666664E-2</v>
      </c>
      <c r="K209" s="18">
        <f t="shared" si="8"/>
        <v>708.33333333333337</v>
      </c>
    </row>
    <row r="210" spans="1:11" hidden="1" x14ac:dyDescent="0.35">
      <c r="A210" s="24" t="s">
        <v>233</v>
      </c>
      <c r="B210" s="24" t="str">
        <f t="shared" ref="B210:B295" si="9">E210&amp;F210</f>
        <v>Bò lúc lắcXà lách</v>
      </c>
      <c r="C210" s="24" t="s">
        <v>8</v>
      </c>
      <c r="D210" t="s">
        <v>18</v>
      </c>
      <c r="E210" t="s">
        <v>195</v>
      </c>
      <c r="F210" t="s">
        <v>197</v>
      </c>
      <c r="G210" s="17">
        <v>3</v>
      </c>
      <c r="H210" s="18">
        <v>22000</v>
      </c>
      <c r="I210" s="18">
        <v>120</v>
      </c>
      <c r="J210" s="17">
        <f t="shared" ref="J210:J295" si="10">G210/I210</f>
        <v>2.5000000000000001E-2</v>
      </c>
      <c r="K210" s="18">
        <f t="shared" si="8"/>
        <v>550</v>
      </c>
    </row>
    <row r="211" spans="1:11" hidden="1" x14ac:dyDescent="0.35">
      <c r="A211" s="24" t="s">
        <v>233</v>
      </c>
      <c r="B211" s="24" t="str">
        <f t="shared" si="9"/>
        <v>Bò lúc lắcCà chua</v>
      </c>
      <c r="C211" s="24" t="s">
        <v>8</v>
      </c>
      <c r="D211" t="s">
        <v>18</v>
      </c>
      <c r="E211" t="s">
        <v>195</v>
      </c>
      <c r="F211" t="s">
        <v>14</v>
      </c>
      <c r="G211" s="17">
        <v>3</v>
      </c>
      <c r="H211" s="18">
        <v>20000</v>
      </c>
      <c r="I211" s="18">
        <v>120</v>
      </c>
      <c r="J211" s="17">
        <f t="shared" si="10"/>
        <v>2.5000000000000001E-2</v>
      </c>
      <c r="K211" s="18">
        <f t="shared" ref="K211:K285" si="11">(G211*H211)/I211</f>
        <v>500</v>
      </c>
    </row>
    <row r="212" spans="1:11" hidden="1" x14ac:dyDescent="0.35">
      <c r="A212" s="24" t="s">
        <v>233</v>
      </c>
      <c r="B212" s="24" t="str">
        <f t="shared" si="9"/>
        <v xml:space="preserve">Khoai tây chiênKhoai tây </v>
      </c>
      <c r="C212" s="24" t="s">
        <v>8</v>
      </c>
      <c r="D212" t="s">
        <v>19</v>
      </c>
      <c r="E212" t="s">
        <v>198</v>
      </c>
      <c r="F212" t="s">
        <v>199</v>
      </c>
      <c r="G212" s="17">
        <v>13</v>
      </c>
      <c r="H212" s="18">
        <v>50000</v>
      </c>
      <c r="I212" s="18">
        <v>120</v>
      </c>
      <c r="J212" s="17">
        <f t="shared" si="10"/>
        <v>0.10833333333333334</v>
      </c>
      <c r="K212" s="18">
        <f t="shared" si="11"/>
        <v>5416.666666666667</v>
      </c>
    </row>
    <row r="213" spans="1:11" hidden="1" x14ac:dyDescent="0.35">
      <c r="A213" s="24" t="s">
        <v>233</v>
      </c>
      <c r="B213" s="24" t="str">
        <f t="shared" si="9"/>
        <v>Canh củ quả đặc biệtBắp</v>
      </c>
      <c r="C213" s="24" t="s">
        <v>8</v>
      </c>
      <c r="D213" t="s">
        <v>12</v>
      </c>
      <c r="E213" t="s">
        <v>287</v>
      </c>
      <c r="F213" t="s">
        <v>200</v>
      </c>
      <c r="G213" s="17">
        <v>11</v>
      </c>
      <c r="H213" s="18">
        <v>7000</v>
      </c>
      <c r="I213" s="18">
        <v>120</v>
      </c>
      <c r="J213" s="17">
        <f t="shared" si="10"/>
        <v>9.166666666666666E-2</v>
      </c>
      <c r="K213" s="18">
        <f t="shared" si="11"/>
        <v>641.66666666666663</v>
      </c>
    </row>
    <row r="214" spans="1:11" hidden="1" x14ac:dyDescent="0.35">
      <c r="A214" s="24" t="s">
        <v>233</v>
      </c>
      <c r="B214" s="24" t="str">
        <f t="shared" si="9"/>
        <v>Canh củ quả đặc biệtKhoai môn</v>
      </c>
      <c r="C214" s="24" t="s">
        <v>8</v>
      </c>
      <c r="D214" t="s">
        <v>12</v>
      </c>
      <c r="E214" t="s">
        <v>287</v>
      </c>
      <c r="F214" t="s">
        <v>201</v>
      </c>
      <c r="G214" s="17">
        <v>3</v>
      </c>
      <c r="H214" s="18">
        <v>35000</v>
      </c>
      <c r="I214" s="18">
        <v>120</v>
      </c>
      <c r="J214" s="17">
        <f t="shared" si="10"/>
        <v>2.5000000000000001E-2</v>
      </c>
      <c r="K214" s="18">
        <f t="shared" si="11"/>
        <v>875</v>
      </c>
    </row>
    <row r="215" spans="1:11" hidden="1" x14ac:dyDescent="0.35">
      <c r="A215" s="24" t="s">
        <v>233</v>
      </c>
      <c r="B215" s="24" t="str">
        <f t="shared" si="9"/>
        <v>Canh củ quả đặc biệtCà rốt</v>
      </c>
      <c r="C215" s="24" t="s">
        <v>8</v>
      </c>
      <c r="D215" t="s">
        <v>12</v>
      </c>
      <c r="E215" t="s">
        <v>287</v>
      </c>
      <c r="F215" t="s">
        <v>78</v>
      </c>
      <c r="G215" s="17">
        <v>1.5</v>
      </c>
      <c r="H215" s="18">
        <v>12000</v>
      </c>
      <c r="I215" s="18">
        <v>120</v>
      </c>
      <c r="J215" s="17">
        <f t="shared" si="10"/>
        <v>1.2500000000000001E-2</v>
      </c>
      <c r="K215" s="18">
        <f t="shared" si="11"/>
        <v>150</v>
      </c>
    </row>
    <row r="216" spans="1:11" hidden="1" x14ac:dyDescent="0.35">
      <c r="A216" s="24" t="s">
        <v>232</v>
      </c>
      <c r="B216" s="24" t="str">
        <f t="shared" si="9"/>
        <v>Canh củ quả đặc biệtThịt bằm</v>
      </c>
      <c r="C216" s="24" t="s">
        <v>8</v>
      </c>
      <c r="D216" t="s">
        <v>12</v>
      </c>
      <c r="E216" t="s">
        <v>287</v>
      </c>
      <c r="F216" t="s">
        <v>50</v>
      </c>
      <c r="G216" s="17">
        <v>0.5</v>
      </c>
      <c r="H216" s="18">
        <v>80000</v>
      </c>
      <c r="I216" s="18">
        <v>120</v>
      </c>
      <c r="J216" s="17">
        <f t="shared" si="10"/>
        <v>4.1666666666666666E-3</v>
      </c>
      <c r="K216" s="18">
        <f t="shared" si="11"/>
        <v>333.33333333333331</v>
      </c>
    </row>
    <row r="217" spans="1:11" hidden="1" x14ac:dyDescent="0.35">
      <c r="A217" s="24" t="s">
        <v>233</v>
      </c>
      <c r="B217" s="24" t="str">
        <f t="shared" si="9"/>
        <v>Kim chiCải thảo</v>
      </c>
      <c r="C217" s="24" t="s">
        <v>8</v>
      </c>
      <c r="D217" t="s">
        <v>47</v>
      </c>
      <c r="E217" t="s">
        <v>125</v>
      </c>
      <c r="F217" t="s">
        <v>126</v>
      </c>
      <c r="G217" s="17">
        <v>4</v>
      </c>
      <c r="H217" s="18">
        <v>15000</v>
      </c>
      <c r="I217" s="18">
        <v>120</v>
      </c>
      <c r="J217" s="17">
        <f t="shared" si="10"/>
        <v>3.3333333333333333E-2</v>
      </c>
      <c r="K217" s="18">
        <f t="shared" si="11"/>
        <v>500</v>
      </c>
    </row>
    <row r="218" spans="1:11" hidden="1" x14ac:dyDescent="0.35">
      <c r="A218" s="24" t="s">
        <v>233</v>
      </c>
      <c r="B218" s="24" t="str">
        <f t="shared" si="9"/>
        <v>Kim chiCà rốt</v>
      </c>
      <c r="C218" s="24" t="s">
        <v>8</v>
      </c>
      <c r="D218" t="s">
        <v>47</v>
      </c>
      <c r="E218" t="s">
        <v>125</v>
      </c>
      <c r="F218" t="s">
        <v>78</v>
      </c>
      <c r="G218" s="17">
        <v>3</v>
      </c>
      <c r="H218" s="18">
        <v>16000</v>
      </c>
      <c r="I218" s="18">
        <v>120</v>
      </c>
      <c r="J218" s="17">
        <f t="shared" si="10"/>
        <v>2.5000000000000001E-2</v>
      </c>
      <c r="K218" s="18">
        <f t="shared" si="11"/>
        <v>400</v>
      </c>
    </row>
    <row r="219" spans="1:11" hidden="1" x14ac:dyDescent="0.35">
      <c r="A219" s="24" t="s">
        <v>233</v>
      </c>
      <c r="B219" s="24" t="str">
        <f t="shared" si="9"/>
        <v>Kim chiCủ cải</v>
      </c>
      <c r="C219" s="24" t="s">
        <v>8</v>
      </c>
      <c r="D219" t="s">
        <v>47</v>
      </c>
      <c r="E219" t="s">
        <v>125</v>
      </c>
      <c r="F219" t="s">
        <v>202</v>
      </c>
      <c r="G219" s="17">
        <v>2</v>
      </c>
      <c r="H219" s="18">
        <v>10000</v>
      </c>
      <c r="I219" s="18">
        <v>120</v>
      </c>
      <c r="J219" s="17">
        <f t="shared" si="10"/>
        <v>1.6666666666666666E-2</v>
      </c>
      <c r="K219" s="18">
        <f t="shared" si="11"/>
        <v>166.66666666666666</v>
      </c>
    </row>
    <row r="220" spans="1:11" hidden="1" x14ac:dyDescent="0.35">
      <c r="A220" s="24" t="s">
        <v>233</v>
      </c>
      <c r="B220" s="24" t="str">
        <f t="shared" si="9"/>
        <v>Kim chiỚt sừng</v>
      </c>
      <c r="C220" s="24" t="s">
        <v>8</v>
      </c>
      <c r="D220" t="s">
        <v>47</v>
      </c>
      <c r="E220" t="s">
        <v>125</v>
      </c>
      <c r="F220" t="s">
        <v>203</v>
      </c>
      <c r="G220" s="17">
        <v>0.5</v>
      </c>
      <c r="H220" s="18">
        <v>40000</v>
      </c>
      <c r="I220" s="18">
        <v>120</v>
      </c>
      <c r="J220" s="17">
        <f t="shared" si="10"/>
        <v>4.1666666666666666E-3</v>
      </c>
      <c r="K220" s="18">
        <f t="shared" si="11"/>
        <v>166.66666666666666</v>
      </c>
    </row>
    <row r="221" spans="1:11" hidden="1" x14ac:dyDescent="0.35">
      <c r="A221" s="24" t="s">
        <v>232</v>
      </c>
      <c r="B221" s="24" t="str">
        <f t="shared" si="9"/>
        <v>Cá mối kho nghệCá mối</v>
      </c>
      <c r="C221" s="24" t="s">
        <v>8</v>
      </c>
      <c r="D221" t="s">
        <v>18</v>
      </c>
      <c r="E221" t="s">
        <v>204</v>
      </c>
      <c r="F221" t="s">
        <v>205</v>
      </c>
      <c r="G221" s="17">
        <v>10.5</v>
      </c>
      <c r="H221" s="18">
        <v>55000</v>
      </c>
      <c r="I221" s="18">
        <v>117</v>
      </c>
      <c r="J221" s="17">
        <f t="shared" si="10"/>
        <v>8.9743589743589744E-2</v>
      </c>
      <c r="K221" s="18">
        <f t="shared" si="11"/>
        <v>4935.8974358974356</v>
      </c>
    </row>
    <row r="222" spans="1:11" hidden="1" x14ac:dyDescent="0.35">
      <c r="A222" s="24" t="s">
        <v>233</v>
      </c>
      <c r="B222" s="24" t="str">
        <f t="shared" si="9"/>
        <v>Sườn hon sảSườn</v>
      </c>
      <c r="C222" s="24" t="s">
        <v>8</v>
      </c>
      <c r="D222" t="s">
        <v>18</v>
      </c>
      <c r="E222" t="s">
        <v>206</v>
      </c>
      <c r="F222" t="s">
        <v>123</v>
      </c>
      <c r="G222" s="17">
        <v>7.5</v>
      </c>
      <c r="H222" s="18">
        <v>95000</v>
      </c>
      <c r="I222" s="18">
        <v>100</v>
      </c>
      <c r="J222" s="17">
        <f t="shared" si="10"/>
        <v>7.4999999999999997E-2</v>
      </c>
      <c r="K222" s="18">
        <f t="shared" si="11"/>
        <v>7125</v>
      </c>
    </row>
    <row r="223" spans="1:11" hidden="1" x14ac:dyDescent="0.35">
      <c r="A223" s="24" t="s">
        <v>233</v>
      </c>
      <c r="B223" s="24" t="str">
        <f t="shared" si="9"/>
        <v>Sườn hon sảSả</v>
      </c>
      <c r="C223" s="24" t="s">
        <v>8</v>
      </c>
      <c r="D223" t="s">
        <v>18</v>
      </c>
      <c r="E223" t="s">
        <v>206</v>
      </c>
      <c r="F223" t="s">
        <v>207</v>
      </c>
      <c r="G223" s="17">
        <v>4</v>
      </c>
      <c r="H223" s="18">
        <v>8000</v>
      </c>
      <c r="I223" s="18">
        <v>466</v>
      </c>
      <c r="J223" s="17">
        <f t="shared" si="10"/>
        <v>8.5836909871244635E-3</v>
      </c>
      <c r="K223" s="18">
        <f t="shared" si="11"/>
        <v>68.669527896995703</v>
      </c>
    </row>
    <row r="224" spans="1:11" hidden="1" x14ac:dyDescent="0.35">
      <c r="A224" s="24" t="s">
        <v>232</v>
      </c>
      <c r="B224" s="24" t="str">
        <f t="shared" si="9"/>
        <v>Trứng kho nước dừaTrứng gà</v>
      </c>
      <c r="C224" s="24" t="s">
        <v>8</v>
      </c>
      <c r="D224" t="s">
        <v>19</v>
      </c>
      <c r="E224" t="s">
        <v>208</v>
      </c>
      <c r="F224" t="s">
        <v>13</v>
      </c>
      <c r="G224" s="17">
        <v>1</v>
      </c>
      <c r="H224" s="18">
        <v>2300</v>
      </c>
      <c r="I224" s="18">
        <v>1</v>
      </c>
      <c r="J224" s="17">
        <f t="shared" si="10"/>
        <v>1</v>
      </c>
      <c r="K224" s="18">
        <f t="shared" si="11"/>
        <v>2300</v>
      </c>
    </row>
    <row r="225" spans="1:14" hidden="1" x14ac:dyDescent="0.35">
      <c r="A225" s="24" t="s">
        <v>233</v>
      </c>
      <c r="B225" s="24" t="str">
        <f t="shared" si="9"/>
        <v>Trứng kho nước dừaBột cốt dừa</v>
      </c>
      <c r="C225" s="24" t="s">
        <v>8</v>
      </c>
      <c r="D225" t="s">
        <v>19</v>
      </c>
      <c r="E225" t="s">
        <v>208</v>
      </c>
      <c r="F225" t="s">
        <v>209</v>
      </c>
      <c r="G225" s="17">
        <v>10</v>
      </c>
      <c r="H225" s="18">
        <v>4000</v>
      </c>
      <c r="I225" s="18">
        <v>466</v>
      </c>
      <c r="J225" s="17">
        <f t="shared" si="10"/>
        <v>2.1459227467811159E-2</v>
      </c>
      <c r="K225" s="18">
        <f t="shared" si="11"/>
        <v>85.836909871244629</v>
      </c>
    </row>
    <row r="226" spans="1:14" hidden="1" x14ac:dyDescent="0.35">
      <c r="A226" s="24" t="s">
        <v>233</v>
      </c>
      <c r="B226" s="24" t="str">
        <f t="shared" si="9"/>
        <v>Mồng tơi thịt bằmMồng tơi</v>
      </c>
      <c r="C226" s="24" t="s">
        <v>8</v>
      </c>
      <c r="D226" t="s">
        <v>12</v>
      </c>
      <c r="E226" t="s">
        <v>210</v>
      </c>
      <c r="F226" t="s">
        <v>211</v>
      </c>
      <c r="G226" s="17">
        <v>12</v>
      </c>
      <c r="H226" s="18">
        <v>10000</v>
      </c>
      <c r="I226" s="18">
        <v>250</v>
      </c>
      <c r="J226" s="17">
        <f t="shared" si="10"/>
        <v>4.8000000000000001E-2</v>
      </c>
      <c r="K226" s="18">
        <f t="shared" si="11"/>
        <v>480</v>
      </c>
    </row>
    <row r="227" spans="1:14" hidden="1" x14ac:dyDescent="0.35">
      <c r="A227" s="24" t="s">
        <v>232</v>
      </c>
      <c r="B227" s="24" t="str">
        <f t="shared" si="9"/>
        <v>Mồng tơi thịt bằmThịt bằm</v>
      </c>
      <c r="C227" s="24" t="s">
        <v>8</v>
      </c>
      <c r="D227" t="s">
        <v>12</v>
      </c>
      <c r="E227" t="s">
        <v>210</v>
      </c>
      <c r="F227" t="s">
        <v>50</v>
      </c>
      <c r="G227" s="17">
        <v>0.5</v>
      </c>
      <c r="H227" s="18">
        <v>80000</v>
      </c>
      <c r="I227" s="18">
        <v>150</v>
      </c>
      <c r="J227" s="17">
        <f t="shared" si="10"/>
        <v>3.3333333333333335E-3</v>
      </c>
      <c r="K227" s="18">
        <f t="shared" si="11"/>
        <v>266.66666666666669</v>
      </c>
    </row>
    <row r="228" spans="1:14" hidden="1" x14ac:dyDescent="0.35">
      <c r="A228" s="24" t="s">
        <v>232</v>
      </c>
      <c r="B228" s="24" t="str">
        <f t="shared" si="9"/>
        <v>Cá bạc má kho thơmCá bạc má</v>
      </c>
      <c r="C228" s="24" t="s">
        <v>8</v>
      </c>
      <c r="D228" t="s">
        <v>18</v>
      </c>
      <c r="E228" t="s">
        <v>212</v>
      </c>
      <c r="F228" t="s">
        <v>173</v>
      </c>
      <c r="G228" s="17">
        <v>4.4000000000000004</v>
      </c>
      <c r="H228" s="18">
        <v>42000</v>
      </c>
      <c r="I228" s="18">
        <v>45</v>
      </c>
      <c r="J228" s="17">
        <f t="shared" si="10"/>
        <v>9.7777777777777783E-2</v>
      </c>
      <c r="K228" s="18">
        <f t="shared" si="11"/>
        <v>4106.666666666667</v>
      </c>
    </row>
    <row r="229" spans="1:14" hidden="1" x14ac:dyDescent="0.35">
      <c r="A229" s="24" t="s">
        <v>233</v>
      </c>
      <c r="B229" s="24" t="str">
        <f t="shared" si="9"/>
        <v>Cá bạc má kho thơmThơm</v>
      </c>
      <c r="C229" s="24" t="s">
        <v>8</v>
      </c>
      <c r="D229" t="s">
        <v>18</v>
      </c>
      <c r="E229" t="s">
        <v>212</v>
      </c>
      <c r="F229" t="s">
        <v>4</v>
      </c>
      <c r="G229" s="17">
        <v>1</v>
      </c>
      <c r="H229" s="18">
        <v>17000</v>
      </c>
      <c r="I229" s="18">
        <v>45</v>
      </c>
      <c r="J229" s="17">
        <f t="shared" si="10"/>
        <v>2.2222222222222223E-2</v>
      </c>
      <c r="K229" s="18">
        <f t="shared" si="11"/>
        <v>377.77777777777777</v>
      </c>
    </row>
    <row r="230" spans="1:14" hidden="1" x14ac:dyDescent="0.35">
      <c r="A230" s="24" t="s">
        <v>232</v>
      </c>
      <c r="B230" s="24" t="str">
        <f t="shared" si="9"/>
        <v>Trứng hấp thập cẩmTrứng gà</v>
      </c>
      <c r="C230" s="24" t="s">
        <v>8</v>
      </c>
      <c r="D230" t="s">
        <v>19</v>
      </c>
      <c r="E230" t="s">
        <v>213</v>
      </c>
      <c r="F230" t="s">
        <v>13</v>
      </c>
      <c r="G230" s="17">
        <v>280</v>
      </c>
      <c r="H230" s="18">
        <v>2300</v>
      </c>
      <c r="I230" s="18">
        <v>300</v>
      </c>
      <c r="J230" s="17">
        <f t="shared" si="10"/>
        <v>0.93333333333333335</v>
      </c>
      <c r="K230" s="18">
        <f t="shared" si="11"/>
        <v>2146.6666666666665</v>
      </c>
    </row>
    <row r="231" spans="1:14" hidden="1" x14ac:dyDescent="0.35">
      <c r="A231" s="24" t="s">
        <v>233</v>
      </c>
      <c r="B231" s="24" t="str">
        <f t="shared" si="9"/>
        <v>Trứng hấp thập cẩmHành lá</v>
      </c>
      <c r="C231" s="24" t="s">
        <v>8</v>
      </c>
      <c r="D231" t="s">
        <v>19</v>
      </c>
      <c r="E231" t="s">
        <v>213</v>
      </c>
      <c r="F231" t="s">
        <v>24</v>
      </c>
      <c r="G231" s="17">
        <v>0.5</v>
      </c>
      <c r="H231" s="18">
        <v>18000</v>
      </c>
      <c r="I231" s="18">
        <v>300</v>
      </c>
      <c r="J231" s="17">
        <f t="shared" si="10"/>
        <v>1.6666666666666668E-3</v>
      </c>
      <c r="K231" s="18">
        <f t="shared" si="11"/>
        <v>30</v>
      </c>
    </row>
    <row r="232" spans="1:14" hidden="1" x14ac:dyDescent="0.35">
      <c r="A232" s="24" t="s">
        <v>233</v>
      </c>
      <c r="B232" s="24" t="str">
        <f t="shared" si="9"/>
        <v>Trứng hấp thập cẩmNấm mèo</v>
      </c>
      <c r="C232" s="24" t="s">
        <v>8</v>
      </c>
      <c r="D232" t="s">
        <v>19</v>
      </c>
      <c r="E232" t="s">
        <v>213</v>
      </c>
      <c r="F232" t="s">
        <v>28</v>
      </c>
      <c r="G232" s="17">
        <v>0.4</v>
      </c>
      <c r="H232" s="18">
        <v>55000</v>
      </c>
      <c r="I232" s="18">
        <v>300</v>
      </c>
      <c r="J232" s="17">
        <f t="shared" si="10"/>
        <v>1.3333333333333335E-3</v>
      </c>
      <c r="K232" s="18">
        <f t="shared" si="11"/>
        <v>73.333333333333329</v>
      </c>
    </row>
    <row r="233" spans="1:14" hidden="1" x14ac:dyDescent="0.35">
      <c r="A233" s="24" t="s">
        <v>233</v>
      </c>
      <c r="B233" s="24" t="str">
        <f t="shared" si="9"/>
        <v>Trứng hấp thập cẩmCà rốt</v>
      </c>
      <c r="C233" s="24" t="s">
        <v>8</v>
      </c>
      <c r="D233" t="s">
        <v>19</v>
      </c>
      <c r="E233" t="s">
        <v>213</v>
      </c>
      <c r="F233" t="s">
        <v>78</v>
      </c>
      <c r="G233" s="17">
        <v>3</v>
      </c>
      <c r="H233" s="18">
        <v>16000</v>
      </c>
      <c r="I233" s="18">
        <v>300</v>
      </c>
      <c r="J233" s="17">
        <f t="shared" si="10"/>
        <v>0.01</v>
      </c>
      <c r="K233" s="18">
        <f t="shared" si="11"/>
        <v>160</v>
      </c>
      <c r="N233" s="30"/>
    </row>
    <row r="234" spans="1:14" hidden="1" x14ac:dyDescent="0.35">
      <c r="A234" s="24" t="s">
        <v>232</v>
      </c>
      <c r="B234" s="24" t="str">
        <f t="shared" si="9"/>
        <v>Vịt kho gừngVịt</v>
      </c>
      <c r="C234" s="24" t="s">
        <v>8</v>
      </c>
      <c r="D234" t="s">
        <v>18</v>
      </c>
      <c r="E234" t="s">
        <v>214</v>
      </c>
      <c r="F234" t="s">
        <v>163</v>
      </c>
      <c r="G234" s="17">
        <v>34</v>
      </c>
      <c r="H234" s="18">
        <v>65000</v>
      </c>
      <c r="I234" s="18">
        <v>368</v>
      </c>
      <c r="J234" s="17">
        <f t="shared" si="10"/>
        <v>9.2391304347826081E-2</v>
      </c>
      <c r="K234" s="18">
        <f t="shared" si="11"/>
        <v>6005.434782608696</v>
      </c>
    </row>
    <row r="235" spans="1:14" hidden="1" x14ac:dyDescent="0.35">
      <c r="A235" s="24" t="s">
        <v>233</v>
      </c>
      <c r="B235" s="24" t="str">
        <f t="shared" si="9"/>
        <v>Vịt kho gừngGừng</v>
      </c>
      <c r="C235" s="24" t="s">
        <v>8</v>
      </c>
      <c r="D235" t="s">
        <v>18</v>
      </c>
      <c r="E235" t="s">
        <v>214</v>
      </c>
      <c r="F235" t="s">
        <v>215</v>
      </c>
      <c r="G235" s="17">
        <v>0.5</v>
      </c>
      <c r="H235" s="18">
        <v>30000</v>
      </c>
      <c r="I235" s="18">
        <v>368</v>
      </c>
      <c r="J235" s="17">
        <f t="shared" si="10"/>
        <v>1.358695652173913E-3</v>
      </c>
      <c r="K235" s="18">
        <f t="shared" si="11"/>
        <v>40.760869565217391</v>
      </c>
    </row>
    <row r="236" spans="1:14" hidden="1" x14ac:dyDescent="0.35">
      <c r="A236" s="24" t="s">
        <v>232</v>
      </c>
      <c r="B236" s="24" t="str">
        <f t="shared" si="9"/>
        <v>Bún giò heoChanh</v>
      </c>
      <c r="C236" s="24" t="s">
        <v>8</v>
      </c>
      <c r="D236" t="s">
        <v>20</v>
      </c>
      <c r="E236" t="s">
        <v>216</v>
      </c>
      <c r="F236" t="s">
        <v>25</v>
      </c>
      <c r="G236" s="17">
        <v>0.8</v>
      </c>
      <c r="H236" s="18">
        <v>26000</v>
      </c>
      <c r="I236" s="18">
        <v>100</v>
      </c>
      <c r="J236" s="17">
        <f t="shared" si="10"/>
        <v>8.0000000000000002E-3</v>
      </c>
      <c r="K236" s="18">
        <f t="shared" si="11"/>
        <v>208</v>
      </c>
    </row>
    <row r="237" spans="1:14" hidden="1" x14ac:dyDescent="0.35">
      <c r="A237" s="24" t="s">
        <v>232</v>
      </c>
      <c r="B237" s="24" t="str">
        <f t="shared" si="9"/>
        <v>Bún giò heoGiá</v>
      </c>
      <c r="C237" s="24" t="s">
        <v>8</v>
      </c>
      <c r="D237" t="s">
        <v>20</v>
      </c>
      <c r="E237" t="s">
        <v>216</v>
      </c>
      <c r="F237" t="s">
        <v>26</v>
      </c>
      <c r="G237" s="17">
        <v>2.5</v>
      </c>
      <c r="H237" s="18">
        <v>10000</v>
      </c>
      <c r="I237" s="18">
        <v>100</v>
      </c>
      <c r="J237" s="17">
        <f t="shared" si="10"/>
        <v>2.5000000000000001E-2</v>
      </c>
      <c r="K237" s="18">
        <f t="shared" si="11"/>
        <v>250</v>
      </c>
    </row>
    <row r="238" spans="1:14" hidden="1" x14ac:dyDescent="0.35">
      <c r="A238" s="24" t="s">
        <v>233</v>
      </c>
      <c r="B238" s="24" t="str">
        <f t="shared" si="9"/>
        <v>Bún giò heoHành lá</v>
      </c>
      <c r="C238" s="24" t="s">
        <v>8</v>
      </c>
      <c r="D238" t="s">
        <v>20</v>
      </c>
      <c r="E238" t="s">
        <v>216</v>
      </c>
      <c r="F238" t="s">
        <v>24</v>
      </c>
      <c r="G238" s="17">
        <v>0.4</v>
      </c>
      <c r="H238" s="18">
        <v>20000</v>
      </c>
      <c r="I238" s="18">
        <v>100</v>
      </c>
      <c r="J238" s="17">
        <f t="shared" si="10"/>
        <v>4.0000000000000001E-3</v>
      </c>
      <c r="K238" s="18">
        <f t="shared" si="11"/>
        <v>80</v>
      </c>
    </row>
    <row r="239" spans="1:14" hidden="1" x14ac:dyDescent="0.35">
      <c r="A239" s="24" t="s">
        <v>233</v>
      </c>
      <c r="B239" s="24" t="str">
        <f t="shared" si="9"/>
        <v>Bún giò heoHành tây</v>
      </c>
      <c r="C239" s="24" t="s">
        <v>8</v>
      </c>
      <c r="D239" t="s">
        <v>20</v>
      </c>
      <c r="E239" t="s">
        <v>216</v>
      </c>
      <c r="F239" t="s">
        <v>35</v>
      </c>
      <c r="G239" s="17">
        <v>1.5</v>
      </c>
      <c r="H239" s="18">
        <v>15000</v>
      </c>
      <c r="I239" s="18">
        <v>100</v>
      </c>
      <c r="J239" s="17">
        <f t="shared" si="10"/>
        <v>1.4999999999999999E-2</v>
      </c>
      <c r="K239" s="18">
        <f t="shared" si="11"/>
        <v>225</v>
      </c>
    </row>
    <row r="240" spans="1:14" hidden="1" x14ac:dyDescent="0.35">
      <c r="A240" s="24" t="s">
        <v>233</v>
      </c>
      <c r="B240" s="24" t="str">
        <f t="shared" si="9"/>
        <v>Bún giò heoNgò rí</v>
      </c>
      <c r="C240" s="24" t="s">
        <v>8</v>
      </c>
      <c r="D240" t="s">
        <v>20</v>
      </c>
      <c r="E240" t="s">
        <v>216</v>
      </c>
      <c r="F240" t="s">
        <v>369</v>
      </c>
      <c r="G240" s="17">
        <v>0.2</v>
      </c>
      <c r="H240" s="18">
        <v>35000</v>
      </c>
      <c r="I240" s="18">
        <v>100</v>
      </c>
      <c r="J240" s="17">
        <f t="shared" si="10"/>
        <v>2E-3</v>
      </c>
      <c r="K240" s="18">
        <f t="shared" si="11"/>
        <v>70</v>
      </c>
    </row>
    <row r="241" spans="1:11" hidden="1" x14ac:dyDescent="0.35">
      <c r="A241" s="24" t="s">
        <v>233</v>
      </c>
      <c r="B241" s="24" t="str">
        <f t="shared" si="9"/>
        <v>Bún giò heoRau quế</v>
      </c>
      <c r="C241" s="24" t="s">
        <v>8</v>
      </c>
      <c r="D241" t="s">
        <v>20</v>
      </c>
      <c r="E241" t="s">
        <v>216</v>
      </c>
      <c r="F241" t="s">
        <v>23</v>
      </c>
      <c r="G241" s="17">
        <v>0.3</v>
      </c>
      <c r="H241" s="18">
        <v>30000</v>
      </c>
      <c r="I241" s="18">
        <v>100</v>
      </c>
      <c r="J241" s="17">
        <f t="shared" si="10"/>
        <v>3.0000000000000001E-3</v>
      </c>
      <c r="K241" s="18">
        <f t="shared" si="11"/>
        <v>90</v>
      </c>
    </row>
    <row r="242" spans="1:11" hidden="1" x14ac:dyDescent="0.35">
      <c r="A242" s="24" t="s">
        <v>232</v>
      </c>
      <c r="B242" s="24" t="str">
        <f t="shared" si="9"/>
        <v>Bún giò heogiò heo</v>
      </c>
      <c r="C242" s="24" t="s">
        <v>8</v>
      </c>
      <c r="D242" t="s">
        <v>20</v>
      </c>
      <c r="E242" t="s">
        <v>216</v>
      </c>
      <c r="F242" t="s">
        <v>479</v>
      </c>
      <c r="G242" s="17">
        <v>15.5</v>
      </c>
      <c r="H242" s="18">
        <v>90000</v>
      </c>
      <c r="I242" s="18">
        <v>100</v>
      </c>
      <c r="J242" s="17">
        <f t="shared" si="10"/>
        <v>0.155</v>
      </c>
      <c r="K242" s="18">
        <f t="shared" si="11"/>
        <v>13950</v>
      </c>
    </row>
    <row r="243" spans="1:11" hidden="1" x14ac:dyDescent="0.35">
      <c r="A243" s="24" t="s">
        <v>232</v>
      </c>
      <c r="B243" s="24" t="str">
        <f t="shared" si="9"/>
        <v>Bún giò heochả cua</v>
      </c>
      <c r="C243" s="24" t="s">
        <v>8</v>
      </c>
      <c r="D243" t="s">
        <v>20</v>
      </c>
      <c r="E243" t="s">
        <v>216</v>
      </c>
      <c r="F243" t="s">
        <v>470</v>
      </c>
      <c r="G243" s="17">
        <v>1.8</v>
      </c>
      <c r="H243" s="18">
        <v>110000</v>
      </c>
      <c r="I243" s="18">
        <v>100</v>
      </c>
      <c r="J243" s="17">
        <f t="shared" si="10"/>
        <v>1.8000000000000002E-2</v>
      </c>
      <c r="K243" s="18">
        <f t="shared" si="11"/>
        <v>1980</v>
      </c>
    </row>
    <row r="244" spans="1:11" hidden="1" x14ac:dyDescent="0.35">
      <c r="A244" s="24" t="s">
        <v>233</v>
      </c>
      <c r="B244" s="24" t="str">
        <f t="shared" si="9"/>
        <v>Bún giò heoHuyết bò</v>
      </c>
      <c r="C244" s="24" t="s">
        <v>8</v>
      </c>
      <c r="D244" t="s">
        <v>20</v>
      </c>
      <c r="E244" t="s">
        <v>216</v>
      </c>
      <c r="F244" t="s">
        <v>167</v>
      </c>
      <c r="G244" s="17">
        <v>2.5</v>
      </c>
      <c r="H244" s="18">
        <v>25000</v>
      </c>
      <c r="I244" s="18">
        <v>100</v>
      </c>
      <c r="J244" s="17">
        <f t="shared" si="10"/>
        <v>2.5000000000000001E-2</v>
      </c>
      <c r="K244" s="18">
        <f t="shared" si="11"/>
        <v>625</v>
      </c>
    </row>
    <row r="245" spans="1:11" hidden="1" x14ac:dyDescent="0.35">
      <c r="A245" s="24" t="s">
        <v>233</v>
      </c>
      <c r="B245" s="24" t="str">
        <f t="shared" si="9"/>
        <v>Bún giò heoXà lách</v>
      </c>
      <c r="C245" s="24" t="s">
        <v>8</v>
      </c>
      <c r="D245" t="s">
        <v>20</v>
      </c>
      <c r="E245" t="s">
        <v>216</v>
      </c>
      <c r="F245" t="s">
        <v>197</v>
      </c>
      <c r="G245" s="17">
        <v>2</v>
      </c>
      <c r="H245" s="18">
        <v>22000</v>
      </c>
      <c r="I245" s="18">
        <v>100</v>
      </c>
      <c r="J245" s="17">
        <f t="shared" si="10"/>
        <v>0.02</v>
      </c>
      <c r="K245" s="18">
        <f t="shared" si="11"/>
        <v>440</v>
      </c>
    </row>
    <row r="246" spans="1:11" hidden="1" x14ac:dyDescent="0.35">
      <c r="A246" s="24" t="s">
        <v>233</v>
      </c>
      <c r="B246" s="24" t="str">
        <f t="shared" si="9"/>
        <v>Bún giò heoCủ cải</v>
      </c>
      <c r="C246" s="24" t="s">
        <v>8</v>
      </c>
      <c r="D246" t="s">
        <v>20</v>
      </c>
      <c r="E246" t="s">
        <v>216</v>
      </c>
      <c r="F246" t="s">
        <v>202</v>
      </c>
      <c r="G246" s="17">
        <v>1</v>
      </c>
      <c r="H246" s="18">
        <v>12000</v>
      </c>
      <c r="I246" s="18">
        <v>100</v>
      </c>
      <c r="J246" s="17">
        <f t="shared" si="10"/>
        <v>0.01</v>
      </c>
      <c r="K246" s="18">
        <f t="shared" si="11"/>
        <v>120</v>
      </c>
    </row>
    <row r="247" spans="1:11" hidden="1" x14ac:dyDescent="0.35">
      <c r="A247" s="24" t="s">
        <v>233</v>
      </c>
      <c r="B247" s="24" t="str">
        <f t="shared" si="9"/>
        <v>Bún giò heoĐu đủ xanh</v>
      </c>
      <c r="C247" s="24" t="s">
        <v>8</v>
      </c>
      <c r="D247" t="s">
        <v>20</v>
      </c>
      <c r="E247" t="s">
        <v>216</v>
      </c>
      <c r="F247" t="s">
        <v>302</v>
      </c>
      <c r="G247" s="17">
        <v>0.8</v>
      </c>
      <c r="H247" s="18">
        <v>12000</v>
      </c>
      <c r="I247" s="18">
        <v>100</v>
      </c>
      <c r="J247" s="17">
        <f t="shared" si="10"/>
        <v>8.0000000000000002E-3</v>
      </c>
      <c r="K247" s="18">
        <f t="shared" si="11"/>
        <v>96</v>
      </c>
    </row>
    <row r="248" spans="1:11" hidden="1" x14ac:dyDescent="0.35">
      <c r="A248" s="24" t="s">
        <v>233</v>
      </c>
      <c r="B248" s="24" t="str">
        <f t="shared" si="9"/>
        <v>Bún giò heoHành tái</v>
      </c>
      <c r="C248" s="24" t="s">
        <v>8</v>
      </c>
      <c r="D248" t="s">
        <v>20</v>
      </c>
      <c r="E248" t="s">
        <v>216</v>
      </c>
      <c r="F248" t="s">
        <v>371</v>
      </c>
      <c r="G248" s="17">
        <v>0.3</v>
      </c>
      <c r="H248" s="18">
        <v>20000</v>
      </c>
      <c r="I248" s="18">
        <v>100</v>
      </c>
      <c r="J248" s="17">
        <f t="shared" si="10"/>
        <v>3.0000000000000001E-3</v>
      </c>
      <c r="K248" s="18">
        <f t="shared" si="11"/>
        <v>60</v>
      </c>
    </row>
    <row r="249" spans="1:11" hidden="1" x14ac:dyDescent="0.35">
      <c r="A249" s="24" t="s">
        <v>233</v>
      </c>
      <c r="B249" s="24" t="str">
        <f t="shared" si="9"/>
        <v>Bún giò heoCà rốt</v>
      </c>
      <c r="C249" s="24" t="s">
        <v>8</v>
      </c>
      <c r="D249" t="s">
        <v>20</v>
      </c>
      <c r="E249" t="s">
        <v>216</v>
      </c>
      <c r="F249" t="s">
        <v>78</v>
      </c>
      <c r="G249" s="17">
        <v>0.8</v>
      </c>
      <c r="H249" s="18">
        <v>15000</v>
      </c>
      <c r="I249" s="18">
        <v>100</v>
      </c>
      <c r="J249" s="17">
        <f t="shared" si="10"/>
        <v>8.0000000000000002E-3</v>
      </c>
      <c r="K249" s="18">
        <f t="shared" si="11"/>
        <v>120</v>
      </c>
    </row>
    <row r="250" spans="1:11" hidden="1" x14ac:dyDescent="0.35">
      <c r="A250" s="24" t="s">
        <v>232</v>
      </c>
      <c r="B250" s="24" t="str">
        <f t="shared" si="9"/>
        <v>Bún giò heobún tươi</v>
      </c>
      <c r="C250" s="24" t="s">
        <v>8</v>
      </c>
      <c r="D250" t="s">
        <v>20</v>
      </c>
      <c r="E250" t="s">
        <v>216</v>
      </c>
      <c r="F250" t="s">
        <v>467</v>
      </c>
      <c r="G250" s="17">
        <v>33</v>
      </c>
      <c r="H250" s="18">
        <v>10000</v>
      </c>
      <c r="I250" s="18">
        <v>100</v>
      </c>
      <c r="J250" s="17">
        <f t="shared" si="10"/>
        <v>0.33</v>
      </c>
      <c r="K250" s="18">
        <f t="shared" si="11"/>
        <v>3300</v>
      </c>
    </row>
    <row r="251" spans="1:11" hidden="1" x14ac:dyDescent="0.35">
      <c r="A251" s="24" t="s">
        <v>233</v>
      </c>
      <c r="B251" s="24" t="str">
        <f t="shared" si="9"/>
        <v>Rau muống nấu hếnRau muống</v>
      </c>
      <c r="C251" s="24" t="s">
        <v>8</v>
      </c>
      <c r="D251" t="s">
        <v>12</v>
      </c>
      <c r="E251" t="s">
        <v>218</v>
      </c>
      <c r="F251" t="s">
        <v>64</v>
      </c>
      <c r="G251" s="17">
        <v>4</v>
      </c>
      <c r="H251" s="18">
        <v>9000</v>
      </c>
      <c r="I251" s="18">
        <v>125</v>
      </c>
      <c r="J251" s="17">
        <f t="shared" si="10"/>
        <v>3.2000000000000001E-2</v>
      </c>
      <c r="K251" s="18">
        <f t="shared" si="11"/>
        <v>288</v>
      </c>
    </row>
    <row r="252" spans="1:11" hidden="1" x14ac:dyDescent="0.35">
      <c r="A252" s="24" t="s">
        <v>233</v>
      </c>
      <c r="B252" s="24" t="str">
        <f t="shared" si="9"/>
        <v>Rau muống nấu hếnHến</v>
      </c>
      <c r="C252" s="24" t="s">
        <v>8</v>
      </c>
      <c r="D252" t="s">
        <v>12</v>
      </c>
      <c r="E252" t="s">
        <v>218</v>
      </c>
      <c r="F252" t="s">
        <v>219</v>
      </c>
      <c r="G252" s="17">
        <v>0.3</v>
      </c>
      <c r="H252" s="18">
        <v>110000</v>
      </c>
      <c r="I252" s="18">
        <v>125</v>
      </c>
      <c r="J252" s="17">
        <f t="shared" si="10"/>
        <v>2.3999999999999998E-3</v>
      </c>
      <c r="K252" s="18">
        <f t="shared" si="11"/>
        <v>264</v>
      </c>
    </row>
    <row r="253" spans="1:11" hidden="1" x14ac:dyDescent="0.35">
      <c r="A253" s="24" t="s">
        <v>232</v>
      </c>
      <c r="B253" s="24" t="str">
        <f t="shared" si="9"/>
        <v>Đùi gà rô tyĐùi gà</v>
      </c>
      <c r="C253" s="24" t="s">
        <v>8</v>
      </c>
      <c r="D253" t="s">
        <v>18</v>
      </c>
      <c r="E253" t="s">
        <v>220</v>
      </c>
      <c r="F253" t="s">
        <v>221</v>
      </c>
      <c r="G253" s="17">
        <v>12</v>
      </c>
      <c r="H253" s="18">
        <v>55000</v>
      </c>
      <c r="I253" s="18">
        <v>68</v>
      </c>
      <c r="J253" s="17">
        <f t="shared" si="10"/>
        <v>0.17647058823529413</v>
      </c>
      <c r="K253" s="18">
        <f t="shared" si="11"/>
        <v>9705.8823529411766</v>
      </c>
    </row>
    <row r="254" spans="1:11" hidden="1" x14ac:dyDescent="0.35">
      <c r="A254" s="24" t="s">
        <v>232</v>
      </c>
      <c r="B254" s="24" t="str">
        <f t="shared" si="9"/>
        <v>Gà xé hành rau rămGà</v>
      </c>
      <c r="C254" s="24" t="s">
        <v>8</v>
      </c>
      <c r="D254" t="s">
        <v>18</v>
      </c>
      <c r="E254" t="s">
        <v>222</v>
      </c>
      <c r="F254" t="s">
        <v>21</v>
      </c>
      <c r="G254" s="17">
        <v>3</v>
      </c>
      <c r="H254" s="18">
        <v>75000</v>
      </c>
      <c r="I254" s="18">
        <v>40</v>
      </c>
      <c r="J254" s="17">
        <f t="shared" si="10"/>
        <v>7.4999999999999997E-2</v>
      </c>
      <c r="K254" s="18">
        <f t="shared" si="11"/>
        <v>5625</v>
      </c>
    </row>
    <row r="255" spans="1:11" hidden="1" x14ac:dyDescent="0.35">
      <c r="A255" s="24" t="s">
        <v>233</v>
      </c>
      <c r="B255" s="24" t="str">
        <f t="shared" si="9"/>
        <v>Gà xé hành rau rămRau răm</v>
      </c>
      <c r="C255" s="24" t="s">
        <v>8</v>
      </c>
      <c r="D255" t="s">
        <v>18</v>
      </c>
      <c r="E255" t="s">
        <v>222</v>
      </c>
      <c r="F255" t="s">
        <v>69</v>
      </c>
      <c r="G255" s="17">
        <v>0.3</v>
      </c>
      <c r="H255" s="18">
        <v>20000</v>
      </c>
      <c r="I255" s="18">
        <v>40</v>
      </c>
      <c r="J255" s="17">
        <f t="shared" si="10"/>
        <v>7.4999999999999997E-3</v>
      </c>
      <c r="K255" s="18">
        <f t="shared" si="11"/>
        <v>150</v>
      </c>
    </row>
    <row r="256" spans="1:11" hidden="1" x14ac:dyDescent="0.35">
      <c r="A256" s="24" t="s">
        <v>233</v>
      </c>
      <c r="B256" s="24" t="str">
        <f t="shared" si="9"/>
        <v>Gà xé hành rau rămHành tây</v>
      </c>
      <c r="C256" s="24" t="s">
        <v>8</v>
      </c>
      <c r="D256" t="s">
        <v>18</v>
      </c>
      <c r="E256" t="s">
        <v>222</v>
      </c>
      <c r="F256" t="s">
        <v>35</v>
      </c>
      <c r="G256" s="17">
        <v>2</v>
      </c>
      <c r="H256" s="18">
        <v>10000</v>
      </c>
      <c r="I256" s="18">
        <v>40</v>
      </c>
      <c r="J256" s="17">
        <f t="shared" si="10"/>
        <v>0.05</v>
      </c>
      <c r="K256" s="18">
        <f t="shared" si="11"/>
        <v>500</v>
      </c>
    </row>
    <row r="257" spans="1:14" hidden="1" x14ac:dyDescent="0.35">
      <c r="A257" s="24" t="s">
        <v>233</v>
      </c>
      <c r="B257" s="24" t="str">
        <f t="shared" si="9"/>
        <v>Củ cải xàoCủ cải</v>
      </c>
      <c r="C257" s="24" t="s">
        <v>8</v>
      </c>
      <c r="D257" t="s">
        <v>47</v>
      </c>
      <c r="E257" t="s">
        <v>174</v>
      </c>
      <c r="F257" t="s">
        <v>202</v>
      </c>
      <c r="G257" s="17">
        <v>22</v>
      </c>
      <c r="H257" s="18">
        <v>8000</v>
      </c>
      <c r="I257" s="18">
        <v>231</v>
      </c>
      <c r="J257" s="17">
        <f t="shared" si="10"/>
        <v>9.5238095238095233E-2</v>
      </c>
      <c r="K257" s="18">
        <f t="shared" si="11"/>
        <v>761.90476190476193</v>
      </c>
    </row>
    <row r="258" spans="1:14" hidden="1" x14ac:dyDescent="0.35">
      <c r="A258" s="24" t="s">
        <v>233</v>
      </c>
      <c r="B258" s="24" t="str">
        <f t="shared" si="9"/>
        <v>Đậu đũa xàoĐậu đũa</v>
      </c>
      <c r="C258" s="24" t="s">
        <v>8</v>
      </c>
      <c r="D258" t="s">
        <v>47</v>
      </c>
      <c r="E258" t="s">
        <v>223</v>
      </c>
      <c r="F258" t="s">
        <v>224</v>
      </c>
      <c r="G258" s="17">
        <v>10</v>
      </c>
      <c r="H258" s="18">
        <v>8000</v>
      </c>
      <c r="I258" s="18">
        <v>115</v>
      </c>
      <c r="J258" s="17">
        <f t="shared" si="10"/>
        <v>8.6956521739130432E-2</v>
      </c>
      <c r="K258" s="18">
        <f t="shared" si="11"/>
        <v>695.6521739130435</v>
      </c>
    </row>
    <row r="259" spans="1:14" hidden="1" x14ac:dyDescent="0.35">
      <c r="A259" s="24" t="s">
        <v>233</v>
      </c>
      <c r="B259" s="24" t="str">
        <f t="shared" si="9"/>
        <v>Sắn dây xàoSắn dây</v>
      </c>
      <c r="C259" s="24" t="s">
        <v>8</v>
      </c>
      <c r="D259" t="s">
        <v>47</v>
      </c>
      <c r="E259" t="s">
        <v>225</v>
      </c>
      <c r="F259" t="s">
        <v>226</v>
      </c>
      <c r="G259" s="17">
        <v>3.5</v>
      </c>
      <c r="H259" s="18">
        <v>13000</v>
      </c>
      <c r="I259" s="18">
        <v>43</v>
      </c>
      <c r="J259" s="17">
        <f t="shared" si="10"/>
        <v>8.1395348837209308E-2</v>
      </c>
      <c r="K259" s="18">
        <f t="shared" si="11"/>
        <v>1058.1395348837209</v>
      </c>
    </row>
    <row r="260" spans="1:14" hidden="1" x14ac:dyDescent="0.35">
      <c r="A260" s="24" t="s">
        <v>233</v>
      </c>
      <c r="B260" s="24" t="str">
        <f t="shared" si="9"/>
        <v xml:space="preserve">Tim xào giá hẹTim </v>
      </c>
      <c r="C260" s="24" t="s">
        <v>8</v>
      </c>
      <c r="D260" t="s">
        <v>19</v>
      </c>
      <c r="E260" t="s">
        <v>227</v>
      </c>
      <c r="F260" t="s">
        <v>228</v>
      </c>
      <c r="G260" s="17">
        <v>15.5</v>
      </c>
      <c r="H260" s="18">
        <v>50000</v>
      </c>
      <c r="I260" s="18">
        <v>257</v>
      </c>
      <c r="J260" s="17">
        <f t="shared" si="10"/>
        <v>6.0311284046692608E-2</v>
      </c>
      <c r="K260" s="18">
        <f t="shared" si="11"/>
        <v>3015.5642023346304</v>
      </c>
    </row>
    <row r="261" spans="1:14" hidden="1" x14ac:dyDescent="0.35">
      <c r="A261" s="24" t="s">
        <v>233</v>
      </c>
      <c r="B261" s="24" t="str">
        <f t="shared" si="9"/>
        <v>Tim xào giá hẹlá he</v>
      </c>
      <c r="C261" s="24" t="s">
        <v>8</v>
      </c>
      <c r="D261" t="s">
        <v>19</v>
      </c>
      <c r="E261" t="s">
        <v>227</v>
      </c>
      <c r="F261" t="s">
        <v>229</v>
      </c>
      <c r="G261" s="17">
        <v>1</v>
      </c>
      <c r="H261" s="18">
        <v>50000</v>
      </c>
      <c r="I261" s="18">
        <v>257</v>
      </c>
      <c r="J261" s="17">
        <f t="shared" si="10"/>
        <v>3.8910505836575876E-3</v>
      </c>
      <c r="K261" s="18">
        <f t="shared" si="11"/>
        <v>194.55252918287937</v>
      </c>
      <c r="N261" s="30"/>
    </row>
    <row r="262" spans="1:14" hidden="1" x14ac:dyDescent="0.35">
      <c r="A262" s="24" t="s">
        <v>233</v>
      </c>
      <c r="B262" s="24" t="str">
        <f t="shared" si="9"/>
        <v>Tim xào giá hẹGiá</v>
      </c>
      <c r="C262" s="24" t="s">
        <v>8</v>
      </c>
      <c r="D262" t="s">
        <v>19</v>
      </c>
      <c r="E262" t="s">
        <v>227</v>
      </c>
      <c r="F262" t="s">
        <v>26</v>
      </c>
      <c r="G262" s="17">
        <v>18</v>
      </c>
      <c r="H262" s="18">
        <v>10000</v>
      </c>
      <c r="I262" s="18">
        <v>257</v>
      </c>
      <c r="J262" s="17">
        <f t="shared" si="10"/>
        <v>7.0038910505836577E-2</v>
      </c>
      <c r="K262" s="18">
        <f t="shared" si="11"/>
        <v>700.38910505836577</v>
      </c>
    </row>
    <row r="263" spans="1:14" hidden="1" x14ac:dyDescent="0.35">
      <c r="A263" s="24" t="s">
        <v>232</v>
      </c>
      <c r="B263" s="24" t="str">
        <f t="shared" si="9"/>
        <v>Bún chả cáBí đỏ</v>
      </c>
      <c r="C263" s="24" t="s">
        <v>8</v>
      </c>
      <c r="D263" t="s">
        <v>20</v>
      </c>
      <c r="E263" t="s">
        <v>267</v>
      </c>
      <c r="F263" t="s">
        <v>103</v>
      </c>
      <c r="G263" s="17">
        <v>3.5</v>
      </c>
      <c r="H263" s="18">
        <v>12000</v>
      </c>
      <c r="I263" s="18">
        <v>100</v>
      </c>
      <c r="J263" s="17">
        <f t="shared" si="10"/>
        <v>3.5000000000000003E-2</v>
      </c>
      <c r="K263" s="18">
        <f t="shared" si="11"/>
        <v>420</v>
      </c>
      <c r="N263" s="30"/>
    </row>
    <row r="264" spans="1:14" hidden="1" x14ac:dyDescent="0.35">
      <c r="A264" s="24" t="s">
        <v>232</v>
      </c>
      <c r="B264" s="24" t="str">
        <f t="shared" si="9"/>
        <v>Bún chả cáChanh</v>
      </c>
      <c r="C264" s="24" t="s">
        <v>8</v>
      </c>
      <c r="D264" t="s">
        <v>20</v>
      </c>
      <c r="E264" t="s">
        <v>267</v>
      </c>
      <c r="F264" t="s">
        <v>25</v>
      </c>
      <c r="G264" s="17">
        <v>0.8</v>
      </c>
      <c r="H264" s="18">
        <v>26000</v>
      </c>
      <c r="I264" s="18">
        <v>100</v>
      </c>
      <c r="J264" s="17">
        <f t="shared" si="10"/>
        <v>8.0000000000000002E-3</v>
      </c>
      <c r="K264" s="18">
        <f t="shared" si="11"/>
        <v>208</v>
      </c>
    </row>
    <row r="265" spans="1:14" hidden="1" x14ac:dyDescent="0.35">
      <c r="A265" s="24" t="s">
        <v>232</v>
      </c>
      <c r="B265" s="24" t="str">
        <f t="shared" si="9"/>
        <v>Bún chả cáGiá giò</v>
      </c>
      <c r="C265" s="24" t="s">
        <v>8</v>
      </c>
      <c r="D265" t="s">
        <v>20</v>
      </c>
      <c r="E265" t="s">
        <v>267</v>
      </c>
      <c r="F265" t="s">
        <v>384</v>
      </c>
      <c r="G265" s="17">
        <v>2.5</v>
      </c>
      <c r="H265" s="18">
        <v>10000</v>
      </c>
      <c r="I265" s="18">
        <v>100</v>
      </c>
      <c r="J265" s="17">
        <f t="shared" si="10"/>
        <v>2.5000000000000001E-2</v>
      </c>
      <c r="K265" s="18">
        <f t="shared" si="11"/>
        <v>250</v>
      </c>
    </row>
    <row r="266" spans="1:14" hidden="1" x14ac:dyDescent="0.35">
      <c r="A266" s="24" t="s">
        <v>232</v>
      </c>
      <c r="B266" s="24" t="str">
        <f t="shared" si="9"/>
        <v>Bún chả cáHành lá</v>
      </c>
      <c r="C266" s="24" t="s">
        <v>8</v>
      </c>
      <c r="D266" t="s">
        <v>20</v>
      </c>
      <c r="E266" t="s">
        <v>267</v>
      </c>
      <c r="F266" t="s">
        <v>24</v>
      </c>
      <c r="G266" s="17">
        <v>0.4</v>
      </c>
      <c r="H266" s="18">
        <v>20000</v>
      </c>
      <c r="I266" s="18">
        <v>100</v>
      </c>
      <c r="J266" s="17">
        <f t="shared" si="10"/>
        <v>4.0000000000000001E-3</v>
      </c>
      <c r="K266" s="18">
        <f t="shared" si="11"/>
        <v>80</v>
      </c>
    </row>
    <row r="267" spans="1:14" hidden="1" x14ac:dyDescent="0.35">
      <c r="A267" s="24" t="s">
        <v>232</v>
      </c>
      <c r="B267" s="24" t="str">
        <f t="shared" si="9"/>
        <v>Bún chả cáHành tây</v>
      </c>
      <c r="C267" s="24" t="s">
        <v>8</v>
      </c>
      <c r="D267" t="s">
        <v>20</v>
      </c>
      <c r="E267" t="s">
        <v>267</v>
      </c>
      <c r="F267" t="s">
        <v>35</v>
      </c>
      <c r="G267" s="17">
        <v>0.3</v>
      </c>
      <c r="H267" s="18">
        <v>15000</v>
      </c>
      <c r="I267" s="18">
        <v>100</v>
      </c>
      <c r="J267" s="17">
        <f t="shared" si="10"/>
        <v>3.0000000000000001E-3</v>
      </c>
      <c r="K267" s="18">
        <f t="shared" si="11"/>
        <v>45</v>
      </c>
    </row>
    <row r="268" spans="1:14" hidden="1" x14ac:dyDescent="0.35">
      <c r="A268" s="24" t="s">
        <v>232</v>
      </c>
      <c r="B268" s="24" t="str">
        <f t="shared" si="9"/>
        <v>Bún chả cáRau quế</v>
      </c>
      <c r="C268" s="24" t="s">
        <v>8</v>
      </c>
      <c r="D268" t="s">
        <v>20</v>
      </c>
      <c r="E268" t="s">
        <v>267</v>
      </c>
      <c r="F268" t="s">
        <v>23</v>
      </c>
      <c r="G268" s="17">
        <v>0.2</v>
      </c>
      <c r="H268" s="18">
        <v>30000</v>
      </c>
      <c r="I268" s="18">
        <v>100</v>
      </c>
      <c r="J268" s="17">
        <f t="shared" si="10"/>
        <v>2E-3</v>
      </c>
      <c r="K268" s="18">
        <f t="shared" si="11"/>
        <v>60</v>
      </c>
    </row>
    <row r="269" spans="1:14" hidden="1" x14ac:dyDescent="0.35">
      <c r="A269" s="24" t="s">
        <v>232</v>
      </c>
      <c r="B269" s="24" t="str">
        <f t="shared" si="9"/>
        <v>Bún chả cáSu trắng</v>
      </c>
      <c r="C269" s="24" t="s">
        <v>8</v>
      </c>
      <c r="D269" t="s">
        <v>20</v>
      </c>
      <c r="E269" t="s">
        <v>267</v>
      </c>
      <c r="F269" t="s">
        <v>39</v>
      </c>
      <c r="G269" s="17">
        <v>1.5</v>
      </c>
      <c r="H269" s="18">
        <v>10000</v>
      </c>
      <c r="I269" s="18">
        <v>100</v>
      </c>
      <c r="J269" s="17">
        <f t="shared" si="10"/>
        <v>1.4999999999999999E-2</v>
      </c>
      <c r="K269" s="18">
        <f t="shared" si="11"/>
        <v>150</v>
      </c>
    </row>
    <row r="270" spans="1:14" hidden="1" x14ac:dyDescent="0.35">
      <c r="A270" s="24" t="s">
        <v>232</v>
      </c>
      <c r="B270" s="24" t="str">
        <f t="shared" si="9"/>
        <v>Bún chả cáXà lách</v>
      </c>
      <c r="C270" s="24" t="s">
        <v>8</v>
      </c>
      <c r="D270" t="s">
        <v>20</v>
      </c>
      <c r="E270" t="s">
        <v>267</v>
      </c>
      <c r="F270" t="s">
        <v>197</v>
      </c>
      <c r="G270" s="17">
        <v>1</v>
      </c>
      <c r="H270" s="18">
        <v>22000</v>
      </c>
      <c r="I270" s="18">
        <v>100</v>
      </c>
      <c r="J270" s="17">
        <f t="shared" si="10"/>
        <v>0.01</v>
      </c>
      <c r="K270" s="18">
        <f t="shared" si="11"/>
        <v>220</v>
      </c>
    </row>
    <row r="271" spans="1:14" hidden="1" x14ac:dyDescent="0.35">
      <c r="A271" s="24" t="s">
        <v>232</v>
      </c>
      <c r="B271" s="24" t="str">
        <f t="shared" si="9"/>
        <v>Bún chả cáĐu đủ xanh</v>
      </c>
      <c r="C271" s="24" t="s">
        <v>8</v>
      </c>
      <c r="D271" t="s">
        <v>20</v>
      </c>
      <c r="E271" t="s">
        <v>267</v>
      </c>
      <c r="F271" t="s">
        <v>302</v>
      </c>
      <c r="G271" s="17">
        <v>0.8</v>
      </c>
      <c r="H271" s="18">
        <v>12000</v>
      </c>
      <c r="I271" s="18">
        <v>100</v>
      </c>
      <c r="J271" s="17">
        <f t="shared" si="10"/>
        <v>8.0000000000000002E-3</v>
      </c>
      <c r="K271" s="18">
        <f t="shared" si="11"/>
        <v>96</v>
      </c>
    </row>
    <row r="272" spans="1:14" hidden="1" x14ac:dyDescent="0.35">
      <c r="A272" s="24" t="s">
        <v>232</v>
      </c>
      <c r="B272" s="24" t="str">
        <f t="shared" si="9"/>
        <v>Bún chả cáCà rốt</v>
      </c>
      <c r="C272" s="24" t="s">
        <v>8</v>
      </c>
      <c r="D272" t="s">
        <v>20</v>
      </c>
      <c r="E272" t="s">
        <v>267</v>
      </c>
      <c r="F272" t="s">
        <v>78</v>
      </c>
      <c r="G272" s="17">
        <v>0.8</v>
      </c>
      <c r="H272" s="18">
        <v>15000</v>
      </c>
      <c r="I272" s="18">
        <v>100</v>
      </c>
      <c r="J272" s="17">
        <f t="shared" si="10"/>
        <v>8.0000000000000002E-3</v>
      </c>
      <c r="K272" s="18">
        <f t="shared" si="11"/>
        <v>120</v>
      </c>
    </row>
    <row r="273" spans="1:14" hidden="1" x14ac:dyDescent="0.35">
      <c r="A273" s="24" t="s">
        <v>232</v>
      </c>
      <c r="B273" s="24" t="str">
        <f t="shared" si="9"/>
        <v>Bún chả cáHành tái</v>
      </c>
      <c r="C273" s="24" t="s">
        <v>8</v>
      </c>
      <c r="D273" t="s">
        <v>20</v>
      </c>
      <c r="E273" t="s">
        <v>267</v>
      </c>
      <c r="F273" t="s">
        <v>371</v>
      </c>
      <c r="G273" s="17">
        <v>0.3</v>
      </c>
      <c r="H273" s="18">
        <v>40000</v>
      </c>
      <c r="I273" s="18">
        <v>100</v>
      </c>
      <c r="J273" s="17">
        <f t="shared" si="10"/>
        <v>3.0000000000000001E-3</v>
      </c>
      <c r="K273" s="18">
        <f t="shared" si="11"/>
        <v>120</v>
      </c>
    </row>
    <row r="274" spans="1:14" hidden="1" x14ac:dyDescent="0.35">
      <c r="A274" s="24" t="s">
        <v>232</v>
      </c>
      <c r="B274" s="24" t="str">
        <f t="shared" si="9"/>
        <v>Bún chả cáChả cá lý sơn</v>
      </c>
      <c r="C274" s="24" t="s">
        <v>8</v>
      </c>
      <c r="D274" t="s">
        <v>20</v>
      </c>
      <c r="E274" t="s">
        <v>267</v>
      </c>
      <c r="F274" t="s">
        <v>518</v>
      </c>
      <c r="G274" s="17">
        <v>3</v>
      </c>
      <c r="H274" s="18">
        <v>140000</v>
      </c>
      <c r="I274" s="18">
        <v>100</v>
      </c>
      <c r="J274" s="17">
        <f t="shared" si="10"/>
        <v>0.03</v>
      </c>
      <c r="K274" s="18">
        <f t="shared" si="11"/>
        <v>4200</v>
      </c>
    </row>
    <row r="275" spans="1:14" hidden="1" x14ac:dyDescent="0.35">
      <c r="A275" s="24" t="s">
        <v>232</v>
      </c>
      <c r="B275" s="24" t="str">
        <f t="shared" si="9"/>
        <v>Bún chả cáChả cá hấp</v>
      </c>
      <c r="C275" s="24" t="s">
        <v>8</v>
      </c>
      <c r="D275" t="s">
        <v>20</v>
      </c>
      <c r="E275" t="s">
        <v>267</v>
      </c>
      <c r="F275" t="s">
        <v>269</v>
      </c>
      <c r="G275" s="17">
        <v>3</v>
      </c>
      <c r="H275" s="18">
        <v>100000</v>
      </c>
      <c r="I275" s="18">
        <v>100</v>
      </c>
      <c r="J275" s="17">
        <f t="shared" si="10"/>
        <v>0.03</v>
      </c>
      <c r="K275" s="18">
        <f t="shared" si="11"/>
        <v>3000</v>
      </c>
    </row>
    <row r="276" spans="1:14" hidden="1" x14ac:dyDescent="0.35">
      <c r="A276" s="24" t="s">
        <v>232</v>
      </c>
      <c r="B276" s="24" t="str">
        <f t="shared" si="9"/>
        <v>Bún chả cáChả cá tấm chiên</v>
      </c>
      <c r="C276" s="24" t="s">
        <v>8</v>
      </c>
      <c r="D276" t="s">
        <v>20</v>
      </c>
      <c r="E276" t="s">
        <v>267</v>
      </c>
      <c r="F276" t="s">
        <v>268</v>
      </c>
      <c r="G276" s="17">
        <v>3.5</v>
      </c>
      <c r="H276" s="18">
        <v>70000</v>
      </c>
      <c r="I276" s="18">
        <v>100</v>
      </c>
      <c r="J276" s="17">
        <f t="shared" si="10"/>
        <v>3.5000000000000003E-2</v>
      </c>
      <c r="K276" s="18">
        <f t="shared" si="11"/>
        <v>2450</v>
      </c>
    </row>
    <row r="277" spans="1:14" hidden="1" x14ac:dyDescent="0.35">
      <c r="A277" s="24" t="s">
        <v>232</v>
      </c>
      <c r="B277" s="24" t="str">
        <f t="shared" si="9"/>
        <v>Bún chả cáThơm</v>
      </c>
      <c r="C277" s="24" t="s">
        <v>8</v>
      </c>
      <c r="D277" t="s">
        <v>20</v>
      </c>
      <c r="E277" t="s">
        <v>267</v>
      </c>
      <c r="F277" t="s">
        <v>4</v>
      </c>
      <c r="G277" s="17">
        <v>1.5</v>
      </c>
      <c r="H277" s="18">
        <v>17000</v>
      </c>
      <c r="I277" s="18">
        <v>100</v>
      </c>
      <c r="J277" s="17">
        <f t="shared" si="10"/>
        <v>1.4999999999999999E-2</v>
      </c>
      <c r="K277" s="18">
        <f t="shared" si="11"/>
        <v>255</v>
      </c>
    </row>
    <row r="278" spans="1:14" hidden="1" x14ac:dyDescent="0.35">
      <c r="A278" s="24" t="s">
        <v>232</v>
      </c>
      <c r="B278" s="24" t="str">
        <f t="shared" si="9"/>
        <v>Bún chả cáCà chua</v>
      </c>
      <c r="C278" s="24" t="s">
        <v>8</v>
      </c>
      <c r="D278" t="s">
        <v>20</v>
      </c>
      <c r="E278" t="s">
        <v>267</v>
      </c>
      <c r="F278" t="s">
        <v>14</v>
      </c>
      <c r="G278" s="17">
        <v>0.5</v>
      </c>
      <c r="H278" s="18">
        <v>20000</v>
      </c>
      <c r="I278" s="18">
        <v>100</v>
      </c>
      <c r="J278" s="17">
        <f t="shared" si="10"/>
        <v>5.0000000000000001E-3</v>
      </c>
      <c r="K278" s="18">
        <f t="shared" si="11"/>
        <v>100</v>
      </c>
    </row>
    <row r="279" spans="1:14" hidden="1" x14ac:dyDescent="0.35">
      <c r="A279" s="24" t="s">
        <v>233</v>
      </c>
      <c r="B279" s="24" t="str">
        <f t="shared" si="9"/>
        <v>Bún chả cáCua đồng</v>
      </c>
      <c r="C279" s="24" t="s">
        <v>8</v>
      </c>
      <c r="D279" t="s">
        <v>20</v>
      </c>
      <c r="E279" t="s">
        <v>267</v>
      </c>
      <c r="F279" t="s">
        <v>403</v>
      </c>
      <c r="G279" s="17">
        <v>1</v>
      </c>
      <c r="H279" s="18">
        <v>50000</v>
      </c>
      <c r="I279" s="18">
        <v>100</v>
      </c>
      <c r="J279" s="17">
        <f t="shared" si="10"/>
        <v>0.01</v>
      </c>
      <c r="K279" s="18">
        <f t="shared" si="11"/>
        <v>500</v>
      </c>
    </row>
    <row r="280" spans="1:14" hidden="1" x14ac:dyDescent="0.35">
      <c r="A280" s="24" t="s">
        <v>233</v>
      </c>
      <c r="B280" s="24" t="str">
        <f t="shared" si="9"/>
        <v>Bún chả cáSả</v>
      </c>
      <c r="C280" s="24" t="s">
        <v>8</v>
      </c>
      <c r="D280" t="s">
        <v>20</v>
      </c>
      <c r="E280" t="s">
        <v>267</v>
      </c>
      <c r="F280" t="s">
        <v>207</v>
      </c>
      <c r="G280" s="17">
        <v>0.3</v>
      </c>
      <c r="H280" s="18">
        <v>30000</v>
      </c>
      <c r="I280" s="18">
        <v>100</v>
      </c>
      <c r="J280" s="17">
        <f t="shared" si="10"/>
        <v>3.0000000000000001E-3</v>
      </c>
      <c r="K280" s="18">
        <f t="shared" si="11"/>
        <v>90</v>
      </c>
      <c r="N280" s="30"/>
    </row>
    <row r="281" spans="1:14" hidden="1" x14ac:dyDescent="0.35">
      <c r="A281" s="24" t="s">
        <v>233</v>
      </c>
      <c r="B281" s="24" t="str">
        <f t="shared" si="9"/>
        <v>Bún chả cáMắm ruốc</v>
      </c>
      <c r="C281" s="24" t="s">
        <v>8</v>
      </c>
      <c r="D281" t="s">
        <v>20</v>
      </c>
      <c r="E281" t="s">
        <v>267</v>
      </c>
      <c r="F281" t="s">
        <v>282</v>
      </c>
      <c r="G281" s="17">
        <v>0.5</v>
      </c>
      <c r="H281" s="18">
        <v>30000</v>
      </c>
      <c r="I281" s="18">
        <v>100</v>
      </c>
      <c r="J281" s="17">
        <f t="shared" si="10"/>
        <v>5.0000000000000001E-3</v>
      </c>
      <c r="K281" s="18">
        <f t="shared" si="11"/>
        <v>150</v>
      </c>
    </row>
    <row r="282" spans="1:14" hidden="1" x14ac:dyDescent="0.35">
      <c r="A282" s="24" t="s">
        <v>233</v>
      </c>
      <c r="B282" s="24" t="str">
        <f t="shared" si="9"/>
        <v>Bún chả cáTương rim</v>
      </c>
      <c r="C282" s="24" t="s">
        <v>8</v>
      </c>
      <c r="D282" t="s">
        <v>20</v>
      </c>
      <c r="E282" t="s">
        <v>267</v>
      </c>
      <c r="F282" t="s">
        <v>358</v>
      </c>
      <c r="G282" s="17">
        <v>1.5</v>
      </c>
      <c r="H282" s="18">
        <v>15000</v>
      </c>
      <c r="I282" s="18">
        <v>100</v>
      </c>
      <c r="J282" s="17">
        <f t="shared" si="10"/>
        <v>1.4999999999999999E-2</v>
      </c>
      <c r="K282" s="18">
        <f t="shared" si="11"/>
        <v>225</v>
      </c>
    </row>
    <row r="283" spans="1:14" hidden="1" x14ac:dyDescent="0.35">
      <c r="A283" s="24" t="s">
        <v>233</v>
      </c>
      <c r="B283" s="24" t="str">
        <f t="shared" si="9"/>
        <v>Bún chả cáBún tươi</v>
      </c>
      <c r="C283" s="24" t="s">
        <v>8</v>
      </c>
      <c r="D283" t="s">
        <v>20</v>
      </c>
      <c r="E283" t="s">
        <v>267</v>
      </c>
      <c r="F283" t="s">
        <v>387</v>
      </c>
      <c r="G283" s="17">
        <v>33</v>
      </c>
      <c r="H283" s="18">
        <v>9500</v>
      </c>
      <c r="I283" s="18">
        <v>100</v>
      </c>
      <c r="J283" s="17">
        <f t="shared" si="10"/>
        <v>0.33</v>
      </c>
      <c r="K283" s="18">
        <f t="shared" si="11"/>
        <v>3135</v>
      </c>
    </row>
    <row r="284" spans="1:14" hidden="1" x14ac:dyDescent="0.35">
      <c r="A284" s="24" t="s">
        <v>232</v>
      </c>
      <c r="B284" s="24" t="str">
        <f t="shared" si="9"/>
        <v>Cá phèn mắm tỏiCá phèn</v>
      </c>
      <c r="C284" s="24" t="s">
        <v>8</v>
      </c>
      <c r="D284" t="s">
        <v>18</v>
      </c>
      <c r="E284" t="s">
        <v>271</v>
      </c>
      <c r="F284" t="s">
        <v>84</v>
      </c>
      <c r="G284" s="17">
        <v>0.12</v>
      </c>
      <c r="H284" s="18">
        <v>37000</v>
      </c>
      <c r="I284" s="18">
        <v>1</v>
      </c>
      <c r="J284" s="17">
        <f t="shared" si="10"/>
        <v>0.12</v>
      </c>
      <c r="K284" s="18">
        <f t="shared" si="11"/>
        <v>4440</v>
      </c>
    </row>
    <row r="285" spans="1:14" hidden="1" x14ac:dyDescent="0.35">
      <c r="A285" s="24" t="s">
        <v>232</v>
      </c>
      <c r="B285" s="24" t="str">
        <f t="shared" si="9"/>
        <v>Gà kho măngMá đùi gà</v>
      </c>
      <c r="C285" s="24" t="s">
        <v>8</v>
      </c>
      <c r="D285" t="s">
        <v>18</v>
      </c>
      <c r="E285" t="s">
        <v>272</v>
      </c>
      <c r="F285" t="s">
        <v>456</v>
      </c>
      <c r="G285" s="17">
        <v>11</v>
      </c>
      <c r="H285" s="18">
        <v>40000</v>
      </c>
      <c r="I285" s="18">
        <v>100</v>
      </c>
      <c r="J285" s="17">
        <f t="shared" si="10"/>
        <v>0.11</v>
      </c>
      <c r="K285" s="18">
        <f t="shared" si="11"/>
        <v>4400</v>
      </c>
    </row>
    <row r="286" spans="1:14" hidden="1" x14ac:dyDescent="0.35">
      <c r="A286" s="24" t="s">
        <v>233</v>
      </c>
      <c r="B286" s="24" t="str">
        <f t="shared" si="9"/>
        <v>Gà kho măngSả</v>
      </c>
      <c r="C286" s="24" t="s">
        <v>8</v>
      </c>
      <c r="D286" t="s">
        <v>18</v>
      </c>
      <c r="E286" t="s">
        <v>272</v>
      </c>
      <c r="F286" t="s">
        <v>207</v>
      </c>
      <c r="G286" s="17">
        <v>3</v>
      </c>
      <c r="H286" s="18">
        <v>8000</v>
      </c>
      <c r="I286" s="18">
        <v>100</v>
      </c>
      <c r="J286" s="17">
        <f t="shared" si="10"/>
        <v>0.03</v>
      </c>
      <c r="K286" s="18">
        <f t="shared" ref="K286:K349" si="12">(G286*H286)/I286</f>
        <v>240</v>
      </c>
    </row>
    <row r="287" spans="1:14" hidden="1" x14ac:dyDescent="0.35">
      <c r="A287" s="24" t="s">
        <v>233</v>
      </c>
      <c r="B287" s="24" t="str">
        <f t="shared" si="9"/>
        <v>Gà kho măngMăng vàng</v>
      </c>
      <c r="C287" s="24" t="s">
        <v>8</v>
      </c>
      <c r="D287" t="s">
        <v>18</v>
      </c>
      <c r="E287" t="s">
        <v>272</v>
      </c>
      <c r="F287" t="s">
        <v>136</v>
      </c>
      <c r="G287" s="17">
        <v>3</v>
      </c>
      <c r="H287" s="18">
        <v>25000</v>
      </c>
      <c r="I287" s="18">
        <v>100</v>
      </c>
      <c r="J287" s="17">
        <f t="shared" si="10"/>
        <v>0.03</v>
      </c>
      <c r="K287" s="18">
        <f t="shared" si="12"/>
        <v>750</v>
      </c>
    </row>
    <row r="288" spans="1:14" hidden="1" x14ac:dyDescent="0.35">
      <c r="A288" s="24" t="s">
        <v>232</v>
      </c>
      <c r="B288" s="24" t="str">
        <f t="shared" si="9"/>
        <v>Chả rim trứng cútChả cá tấm</v>
      </c>
      <c r="C288" s="24" t="s">
        <v>8</v>
      </c>
      <c r="D288" t="s">
        <v>19</v>
      </c>
      <c r="E288" t="s">
        <v>273</v>
      </c>
      <c r="F288" t="s">
        <v>339</v>
      </c>
      <c r="G288" s="17">
        <v>0.02</v>
      </c>
      <c r="H288" s="18">
        <v>90000</v>
      </c>
      <c r="I288" s="18">
        <v>1</v>
      </c>
      <c r="J288" s="17">
        <f t="shared" si="10"/>
        <v>0.02</v>
      </c>
      <c r="K288" s="18">
        <f t="shared" si="12"/>
        <v>1800</v>
      </c>
    </row>
    <row r="289" spans="1:14" hidden="1" x14ac:dyDescent="0.35">
      <c r="A289" s="24" t="s">
        <v>232</v>
      </c>
      <c r="B289" s="24" t="str">
        <f t="shared" si="9"/>
        <v>Chả rim trứng cútTrứng cút</v>
      </c>
      <c r="C289" s="24" t="s">
        <v>8</v>
      </c>
      <c r="D289" t="s">
        <v>19</v>
      </c>
      <c r="E289" t="s">
        <v>273</v>
      </c>
      <c r="F289" t="s">
        <v>169</v>
      </c>
      <c r="G289" s="17">
        <v>3</v>
      </c>
      <c r="H289" s="18">
        <v>600</v>
      </c>
      <c r="I289" s="18">
        <v>1</v>
      </c>
      <c r="J289" s="17">
        <f t="shared" si="10"/>
        <v>3</v>
      </c>
      <c r="K289" s="18">
        <f t="shared" si="12"/>
        <v>1800</v>
      </c>
    </row>
    <row r="290" spans="1:14" hidden="1" x14ac:dyDescent="0.35">
      <c r="A290" s="24" t="s">
        <v>232</v>
      </c>
      <c r="B290" s="24" t="str">
        <f t="shared" si="9"/>
        <v>Gà kho sảMá đùi gà</v>
      </c>
      <c r="C290" s="24" t="s">
        <v>8</v>
      </c>
      <c r="D290" t="s">
        <v>18</v>
      </c>
      <c r="E290" t="s">
        <v>274</v>
      </c>
      <c r="F290" t="s">
        <v>456</v>
      </c>
      <c r="G290" s="17">
        <v>12</v>
      </c>
      <c r="H290" s="18">
        <v>40000</v>
      </c>
      <c r="I290" s="18">
        <v>100</v>
      </c>
      <c r="J290" s="17">
        <f t="shared" si="10"/>
        <v>0.12</v>
      </c>
      <c r="K290" s="18">
        <f t="shared" si="12"/>
        <v>4800</v>
      </c>
    </row>
    <row r="291" spans="1:14" hidden="1" x14ac:dyDescent="0.35">
      <c r="A291" s="24" t="s">
        <v>233</v>
      </c>
      <c r="B291" s="24" t="str">
        <f t="shared" si="9"/>
        <v>Gà kho sảSả</v>
      </c>
      <c r="C291" s="24" t="s">
        <v>8</v>
      </c>
      <c r="D291" t="s">
        <v>18</v>
      </c>
      <c r="E291" t="s">
        <v>274</v>
      </c>
      <c r="F291" t="s">
        <v>207</v>
      </c>
      <c r="G291" s="17">
        <v>1</v>
      </c>
      <c r="H291" s="18">
        <v>8000</v>
      </c>
      <c r="I291" s="18">
        <v>100</v>
      </c>
      <c r="J291" s="17">
        <f t="shared" si="10"/>
        <v>0.01</v>
      </c>
      <c r="K291" s="18">
        <f t="shared" si="12"/>
        <v>80</v>
      </c>
    </row>
    <row r="292" spans="1:14" hidden="1" x14ac:dyDescent="0.35">
      <c r="A292" s="24" t="s">
        <v>232</v>
      </c>
      <c r="B292" s="24" t="str">
        <f t="shared" si="9"/>
        <v>Thịt heo kho trứngThịt nạc vai</v>
      </c>
      <c r="C292" s="24" t="s">
        <v>8</v>
      </c>
      <c r="D292" t="s">
        <v>18</v>
      </c>
      <c r="E292" t="s">
        <v>275</v>
      </c>
      <c r="F292" t="s">
        <v>85</v>
      </c>
      <c r="G292" s="17">
        <v>10</v>
      </c>
      <c r="H292" s="18">
        <v>100000</v>
      </c>
      <c r="I292" s="18">
        <v>420</v>
      </c>
      <c r="J292" s="17">
        <f t="shared" si="10"/>
        <v>2.3809523809523808E-2</v>
      </c>
      <c r="K292" s="18">
        <f t="shared" si="12"/>
        <v>2380.9523809523807</v>
      </c>
    </row>
    <row r="293" spans="1:14" hidden="1" x14ac:dyDescent="0.35">
      <c r="A293" s="24" t="s">
        <v>232</v>
      </c>
      <c r="B293" s="24" t="str">
        <f t="shared" si="9"/>
        <v>Thịt heo kho trứngThịt nọng</v>
      </c>
      <c r="C293" s="24" t="s">
        <v>8</v>
      </c>
      <c r="D293" t="s">
        <v>18</v>
      </c>
      <c r="E293" t="s">
        <v>275</v>
      </c>
      <c r="F293" t="s">
        <v>59</v>
      </c>
      <c r="G293" s="17">
        <v>6.8</v>
      </c>
      <c r="H293" s="18">
        <v>70000</v>
      </c>
      <c r="I293" s="18">
        <v>420</v>
      </c>
      <c r="J293" s="17">
        <f t="shared" si="10"/>
        <v>1.6190476190476189E-2</v>
      </c>
      <c r="K293" s="18">
        <f t="shared" si="12"/>
        <v>1133.3333333333333</v>
      </c>
    </row>
    <row r="294" spans="1:14" hidden="1" x14ac:dyDescent="0.35">
      <c r="A294" s="24" t="s">
        <v>232</v>
      </c>
      <c r="B294" s="24" t="str">
        <f t="shared" si="9"/>
        <v>Thịt heo kho trứngTrứng cút</v>
      </c>
      <c r="C294" s="24" t="s">
        <v>8</v>
      </c>
      <c r="D294" t="s">
        <v>18</v>
      </c>
      <c r="E294" t="s">
        <v>275</v>
      </c>
      <c r="F294" t="s">
        <v>169</v>
      </c>
      <c r="G294" s="17">
        <v>2</v>
      </c>
      <c r="H294" s="18">
        <v>600</v>
      </c>
      <c r="I294" s="18">
        <v>2</v>
      </c>
      <c r="J294" s="17">
        <f t="shared" si="10"/>
        <v>1</v>
      </c>
      <c r="K294" s="18">
        <f t="shared" si="12"/>
        <v>600</v>
      </c>
    </row>
    <row r="295" spans="1:14" hidden="1" x14ac:dyDescent="0.35">
      <c r="A295" s="24" t="s">
        <v>232</v>
      </c>
      <c r="B295" s="24" t="str">
        <f t="shared" si="9"/>
        <v>Thịt kho đậu khuônThịt nạc vai</v>
      </c>
      <c r="C295" s="24" t="s">
        <v>8</v>
      </c>
      <c r="D295" t="s">
        <v>18</v>
      </c>
      <c r="E295" t="s">
        <v>276</v>
      </c>
      <c r="F295" t="s">
        <v>85</v>
      </c>
      <c r="G295" s="17">
        <v>2</v>
      </c>
      <c r="H295" s="18">
        <v>85000</v>
      </c>
      <c r="I295" s="18">
        <v>100</v>
      </c>
      <c r="J295" s="17">
        <f t="shared" si="10"/>
        <v>0.02</v>
      </c>
      <c r="K295" s="18">
        <f t="shared" si="12"/>
        <v>1700</v>
      </c>
    </row>
    <row r="296" spans="1:14" hidden="1" x14ac:dyDescent="0.35">
      <c r="A296" s="24" t="s">
        <v>232</v>
      </c>
      <c r="B296" s="24" t="str">
        <f t="shared" ref="B296:B367" si="13">E296&amp;F296</f>
        <v>Thịt kho đậu khuônThịt nọng</v>
      </c>
      <c r="C296" s="24" t="s">
        <v>8</v>
      </c>
      <c r="D296" t="s">
        <v>18</v>
      </c>
      <c r="E296" t="s">
        <v>276</v>
      </c>
      <c r="F296" t="s">
        <v>59</v>
      </c>
      <c r="G296" s="17">
        <v>1.5</v>
      </c>
      <c r="H296" s="18">
        <v>65000</v>
      </c>
      <c r="I296" s="18">
        <v>100</v>
      </c>
      <c r="J296" s="17">
        <f t="shared" ref="J296:J359" si="14">G296/I296</f>
        <v>1.4999999999999999E-2</v>
      </c>
      <c r="K296" s="18">
        <f t="shared" si="12"/>
        <v>975</v>
      </c>
    </row>
    <row r="297" spans="1:14" hidden="1" x14ac:dyDescent="0.35">
      <c r="A297" s="24" t="s">
        <v>232</v>
      </c>
      <c r="B297" s="24" t="str">
        <f t="shared" si="13"/>
        <v>Thịt kho đậu khuônĐậu khuôn</v>
      </c>
      <c r="C297" s="24" t="s">
        <v>8</v>
      </c>
      <c r="D297" t="s">
        <v>18</v>
      </c>
      <c r="E297" t="s">
        <v>276</v>
      </c>
      <c r="F297" t="s">
        <v>114</v>
      </c>
      <c r="G297" s="17">
        <v>2</v>
      </c>
      <c r="H297" s="18">
        <v>1600</v>
      </c>
      <c r="I297" s="18">
        <v>3</v>
      </c>
      <c r="J297" s="17">
        <f t="shared" si="14"/>
        <v>0.66666666666666663</v>
      </c>
      <c r="K297" s="18">
        <f t="shared" si="12"/>
        <v>1066.6666666666667</v>
      </c>
    </row>
    <row r="298" spans="1:14" hidden="1" x14ac:dyDescent="0.35">
      <c r="A298" s="24" t="s">
        <v>232</v>
      </c>
      <c r="B298" s="24" t="str">
        <f t="shared" si="13"/>
        <v>Cá chim mắm tỏiCá chim</v>
      </c>
      <c r="C298" s="24" t="s">
        <v>8</v>
      </c>
      <c r="D298" t="s">
        <v>18</v>
      </c>
      <c r="E298" t="s">
        <v>277</v>
      </c>
      <c r="F298" t="s">
        <v>57</v>
      </c>
      <c r="G298" s="17">
        <v>0.15</v>
      </c>
      <c r="H298" s="18">
        <v>37000</v>
      </c>
      <c r="I298" s="18">
        <v>1</v>
      </c>
      <c r="J298" s="17">
        <f t="shared" si="14"/>
        <v>0.15</v>
      </c>
      <c r="K298" s="18">
        <f t="shared" si="12"/>
        <v>5550</v>
      </c>
    </row>
    <row r="299" spans="1:14" hidden="1" x14ac:dyDescent="0.35">
      <c r="A299" s="24" t="s">
        <v>232</v>
      </c>
      <c r="B299" s="24" t="str">
        <f t="shared" si="13"/>
        <v>Chả viên sốt càChả quết</v>
      </c>
      <c r="C299" s="24" t="s">
        <v>8</v>
      </c>
      <c r="D299" t="s">
        <v>19</v>
      </c>
      <c r="E299" t="s">
        <v>279</v>
      </c>
      <c r="F299" t="s">
        <v>166</v>
      </c>
      <c r="G299" s="17">
        <v>1.5</v>
      </c>
      <c r="H299" s="18">
        <v>120000</v>
      </c>
      <c r="I299" s="18">
        <v>100</v>
      </c>
      <c r="J299" s="17">
        <f t="shared" si="14"/>
        <v>1.4999999999999999E-2</v>
      </c>
      <c r="K299" s="18">
        <f t="shared" si="12"/>
        <v>1800</v>
      </c>
    </row>
    <row r="300" spans="1:14" hidden="1" x14ac:dyDescent="0.35">
      <c r="A300" s="24" t="s">
        <v>232</v>
      </c>
      <c r="B300" s="24" t="str">
        <f t="shared" si="13"/>
        <v>Chả viên sốt càThịt xay</v>
      </c>
      <c r="C300" s="24" t="s">
        <v>8</v>
      </c>
      <c r="D300" t="s">
        <v>19</v>
      </c>
      <c r="E300" t="s">
        <v>279</v>
      </c>
      <c r="F300" t="s">
        <v>31</v>
      </c>
      <c r="G300" s="17">
        <v>2</v>
      </c>
      <c r="H300" s="18">
        <v>80000</v>
      </c>
      <c r="I300" s="18">
        <v>100</v>
      </c>
      <c r="J300" s="17">
        <f t="shared" si="14"/>
        <v>0.02</v>
      </c>
      <c r="K300" s="18">
        <f t="shared" si="12"/>
        <v>1600</v>
      </c>
    </row>
    <row r="301" spans="1:14" hidden="1" x14ac:dyDescent="0.35">
      <c r="A301" s="24" t="s">
        <v>233</v>
      </c>
      <c r="B301" s="24" t="str">
        <f t="shared" si="13"/>
        <v>Chả viên sốt càCà chua</v>
      </c>
      <c r="C301" s="24" t="s">
        <v>8</v>
      </c>
      <c r="D301" t="s">
        <v>19</v>
      </c>
      <c r="E301" t="s">
        <v>279</v>
      </c>
      <c r="F301" t="s">
        <v>14</v>
      </c>
      <c r="G301" s="17">
        <v>1</v>
      </c>
      <c r="H301" s="18">
        <v>20000</v>
      </c>
      <c r="I301" s="18">
        <v>100</v>
      </c>
      <c r="J301" s="17">
        <f t="shared" si="14"/>
        <v>0.01</v>
      </c>
      <c r="K301" s="18">
        <f t="shared" si="12"/>
        <v>200</v>
      </c>
    </row>
    <row r="302" spans="1:14" hidden="1" x14ac:dyDescent="0.35">
      <c r="A302" s="24" t="s">
        <v>233</v>
      </c>
      <c r="B302" s="24" t="str">
        <f t="shared" si="13"/>
        <v>Rau lang xàoRau lang xào</v>
      </c>
      <c r="C302" s="24" t="s">
        <v>8</v>
      </c>
      <c r="D302" t="s">
        <v>47</v>
      </c>
      <c r="E302" t="s">
        <v>280</v>
      </c>
      <c r="F302" t="s">
        <v>280</v>
      </c>
      <c r="G302" s="17">
        <v>8.5</v>
      </c>
      <c r="H302" s="18">
        <v>18000</v>
      </c>
      <c r="I302" s="18">
        <v>100</v>
      </c>
      <c r="J302" s="17">
        <f t="shared" si="14"/>
        <v>8.5000000000000006E-2</v>
      </c>
      <c r="K302" s="18">
        <f t="shared" si="12"/>
        <v>1530</v>
      </c>
      <c r="N302" s="30"/>
    </row>
    <row r="303" spans="1:14" hidden="1" x14ac:dyDescent="0.35">
      <c r="A303" s="24" t="s">
        <v>232</v>
      </c>
      <c r="B303" s="24" t="str">
        <f t="shared" si="13"/>
        <v>Bồ ngốt thịt bằmBồ ngót</v>
      </c>
      <c r="C303" s="24" t="s">
        <v>8</v>
      </c>
      <c r="D303" t="s">
        <v>12</v>
      </c>
      <c r="E303" t="s">
        <v>284</v>
      </c>
      <c r="F303" t="s">
        <v>98</v>
      </c>
      <c r="G303" s="17">
        <v>3</v>
      </c>
      <c r="H303" s="18">
        <v>12000</v>
      </c>
      <c r="I303" s="18">
        <v>125</v>
      </c>
      <c r="J303" s="17">
        <f t="shared" si="14"/>
        <v>2.4E-2</v>
      </c>
      <c r="K303" s="18">
        <f t="shared" si="12"/>
        <v>288</v>
      </c>
      <c r="N303" s="30"/>
    </row>
    <row r="304" spans="1:14" hidden="1" x14ac:dyDescent="0.35">
      <c r="A304" s="24" t="s">
        <v>233</v>
      </c>
      <c r="B304" s="24" t="str">
        <f t="shared" si="13"/>
        <v>Bồ ngốt thịt bằmThịt bằm</v>
      </c>
      <c r="C304" s="24" t="s">
        <v>8</v>
      </c>
      <c r="D304" t="s">
        <v>12</v>
      </c>
      <c r="E304" t="s">
        <v>284</v>
      </c>
      <c r="F304" t="s">
        <v>50</v>
      </c>
      <c r="G304" s="17">
        <v>0.4</v>
      </c>
      <c r="H304" s="18">
        <v>80000</v>
      </c>
      <c r="I304" s="18">
        <v>125</v>
      </c>
      <c r="J304" s="17">
        <f t="shared" si="14"/>
        <v>3.2000000000000002E-3</v>
      </c>
      <c r="K304" s="18">
        <f t="shared" si="12"/>
        <v>256</v>
      </c>
    </row>
    <row r="305" spans="1:14" hidden="1" x14ac:dyDescent="0.35">
      <c r="A305" s="24" t="s">
        <v>232</v>
      </c>
      <c r="B305" s="24" t="str">
        <f t="shared" si="13"/>
        <v>Cơm gà xé trộnGà tươi</v>
      </c>
      <c r="C305" s="24" t="s">
        <v>8</v>
      </c>
      <c r="D305" t="s">
        <v>18</v>
      </c>
      <c r="E305" t="s">
        <v>288</v>
      </c>
      <c r="F305" t="s">
        <v>289</v>
      </c>
      <c r="G305" s="17">
        <v>9.5</v>
      </c>
      <c r="H305" s="18">
        <v>75000</v>
      </c>
      <c r="I305" s="18">
        <v>95</v>
      </c>
      <c r="J305" s="17">
        <f t="shared" si="14"/>
        <v>0.1</v>
      </c>
      <c r="K305" s="18">
        <f t="shared" si="12"/>
        <v>7500</v>
      </c>
    </row>
    <row r="306" spans="1:14" hidden="1" x14ac:dyDescent="0.35">
      <c r="A306" s="24" t="s">
        <v>233</v>
      </c>
      <c r="B306" s="24" t="str">
        <f t="shared" si="13"/>
        <v>Cơm gà xé trộnHành tây</v>
      </c>
      <c r="C306" s="24" t="s">
        <v>8</v>
      </c>
      <c r="D306" t="s">
        <v>18</v>
      </c>
      <c r="E306" t="s">
        <v>288</v>
      </c>
      <c r="F306" t="s">
        <v>35</v>
      </c>
      <c r="G306" s="17">
        <v>3.5</v>
      </c>
      <c r="H306" s="18">
        <v>11000</v>
      </c>
      <c r="I306" s="18">
        <v>85</v>
      </c>
      <c r="J306" s="17">
        <f t="shared" si="14"/>
        <v>4.1176470588235294E-2</v>
      </c>
      <c r="K306" s="18">
        <f t="shared" si="12"/>
        <v>452.94117647058823</v>
      </c>
    </row>
    <row r="307" spans="1:14" hidden="1" x14ac:dyDescent="0.35">
      <c r="A307" s="24" t="s">
        <v>233</v>
      </c>
      <c r="B307" s="24" t="str">
        <f t="shared" si="13"/>
        <v>Cơm gà xé trộnRau răm</v>
      </c>
      <c r="C307" s="24" t="s">
        <v>8</v>
      </c>
      <c r="D307" t="s">
        <v>18</v>
      </c>
      <c r="E307" t="s">
        <v>288</v>
      </c>
      <c r="F307" t="s">
        <v>69</v>
      </c>
      <c r="G307" s="17">
        <v>1</v>
      </c>
      <c r="H307" s="18">
        <v>20000</v>
      </c>
      <c r="I307" s="18">
        <v>85</v>
      </c>
      <c r="J307" s="17">
        <f t="shared" si="14"/>
        <v>1.1764705882352941E-2</v>
      </c>
      <c r="K307" s="18">
        <f t="shared" si="12"/>
        <v>235.29411764705881</v>
      </c>
    </row>
    <row r="308" spans="1:14" hidden="1" x14ac:dyDescent="0.35">
      <c r="A308" s="24" t="s">
        <v>233</v>
      </c>
      <c r="B308" s="24" t="str">
        <f t="shared" si="13"/>
        <v>Cơm gà xé trộnCà rốt</v>
      </c>
      <c r="C308" s="24" t="s">
        <v>8</v>
      </c>
      <c r="D308" t="s">
        <v>18</v>
      </c>
      <c r="E308" t="s">
        <v>288</v>
      </c>
      <c r="F308" t="s">
        <v>78</v>
      </c>
      <c r="G308" s="17">
        <v>4</v>
      </c>
      <c r="H308" s="18">
        <v>15000</v>
      </c>
      <c r="I308" s="18">
        <v>85</v>
      </c>
      <c r="J308" s="17">
        <f t="shared" si="14"/>
        <v>4.7058823529411764E-2</v>
      </c>
      <c r="K308" s="18">
        <f t="shared" si="12"/>
        <v>705.88235294117646</v>
      </c>
    </row>
    <row r="309" spans="1:14" hidden="1" x14ac:dyDescent="0.35">
      <c r="A309" s="24" t="s">
        <v>233</v>
      </c>
      <c r="B309" s="24" t="str">
        <f t="shared" si="13"/>
        <v>Cơm gà xé trộnKhoai tây</v>
      </c>
      <c r="C309" s="24" t="s">
        <v>8</v>
      </c>
      <c r="D309" t="s">
        <v>18</v>
      </c>
      <c r="E309" t="s">
        <v>288</v>
      </c>
      <c r="F309" t="s">
        <v>77</v>
      </c>
      <c r="G309" s="17">
        <v>3</v>
      </c>
      <c r="H309" s="18">
        <v>17000</v>
      </c>
      <c r="I309" s="18">
        <v>85</v>
      </c>
      <c r="J309" s="17">
        <f t="shared" si="14"/>
        <v>3.5294117647058823E-2</v>
      </c>
      <c r="K309" s="18">
        <f t="shared" si="12"/>
        <v>600</v>
      </c>
    </row>
    <row r="310" spans="1:14" hidden="1" x14ac:dyDescent="0.35">
      <c r="A310" t="s">
        <v>232</v>
      </c>
      <c r="B310" s="24" t="str">
        <f t="shared" si="13"/>
        <v>Cơm gà xé trộnLòng gà</v>
      </c>
      <c r="C310" s="24" t="s">
        <v>8</v>
      </c>
      <c r="D310" t="s">
        <v>18</v>
      </c>
      <c r="E310" t="s">
        <v>288</v>
      </c>
      <c r="F310" t="s">
        <v>290</v>
      </c>
      <c r="G310" s="17">
        <v>5</v>
      </c>
      <c r="H310" s="18">
        <v>8000</v>
      </c>
      <c r="I310" s="18">
        <v>95</v>
      </c>
      <c r="J310" s="17">
        <f t="shared" si="14"/>
        <v>5.2631578947368418E-2</v>
      </c>
      <c r="K310" s="18">
        <f t="shared" si="12"/>
        <v>421.05263157894734</v>
      </c>
    </row>
    <row r="311" spans="1:14" hidden="1" x14ac:dyDescent="0.35">
      <c r="A311" t="s">
        <v>232</v>
      </c>
      <c r="B311" s="24" t="str">
        <f t="shared" si="13"/>
        <v>Tôm rimTôm</v>
      </c>
      <c r="C311" s="24" t="s">
        <v>8</v>
      </c>
      <c r="D311" t="s">
        <v>18</v>
      </c>
      <c r="E311" t="s">
        <v>291</v>
      </c>
      <c r="F311" t="s">
        <v>37</v>
      </c>
      <c r="G311" s="17">
        <v>1</v>
      </c>
      <c r="H311" s="18">
        <v>100000</v>
      </c>
      <c r="I311" s="18">
        <v>24</v>
      </c>
      <c r="J311" s="17">
        <f t="shared" si="14"/>
        <v>4.1666666666666664E-2</v>
      </c>
      <c r="K311" s="18">
        <f t="shared" si="12"/>
        <v>4166.666666666667</v>
      </c>
    </row>
    <row r="312" spans="1:14" hidden="1" x14ac:dyDescent="0.35">
      <c r="A312" t="s">
        <v>232</v>
      </c>
      <c r="B312" s="24" t="str">
        <f t="shared" si="13"/>
        <v>Cá cơm khoCá cơm</v>
      </c>
      <c r="C312" s="24" t="s">
        <v>8</v>
      </c>
      <c r="D312" t="s">
        <v>18</v>
      </c>
      <c r="E312" t="s">
        <v>293</v>
      </c>
      <c r="F312" t="s">
        <v>292</v>
      </c>
      <c r="G312" s="17">
        <v>9</v>
      </c>
      <c r="H312" s="18">
        <v>40000</v>
      </c>
      <c r="I312" s="18">
        <v>100</v>
      </c>
      <c r="J312" s="17">
        <f t="shared" si="14"/>
        <v>0.09</v>
      </c>
      <c r="K312" s="18">
        <f t="shared" si="12"/>
        <v>3600</v>
      </c>
    </row>
    <row r="313" spans="1:14" hidden="1" x14ac:dyDescent="0.35">
      <c r="A313" t="s">
        <v>233</v>
      </c>
      <c r="B313" s="24" t="str">
        <f t="shared" si="13"/>
        <v>Heo xào cải chuaCải chua</v>
      </c>
      <c r="C313" s="24" t="s">
        <v>8</v>
      </c>
      <c r="D313" t="s">
        <v>491</v>
      </c>
      <c r="E313" t="s">
        <v>294</v>
      </c>
      <c r="F313" t="s">
        <v>295</v>
      </c>
      <c r="G313" s="17">
        <v>5</v>
      </c>
      <c r="H313" s="18">
        <v>24000</v>
      </c>
      <c r="I313" s="18">
        <v>100</v>
      </c>
      <c r="J313" s="17">
        <f t="shared" si="14"/>
        <v>0.05</v>
      </c>
      <c r="K313" s="18">
        <f t="shared" si="12"/>
        <v>1200</v>
      </c>
    </row>
    <row r="314" spans="1:14" hidden="1" x14ac:dyDescent="0.35">
      <c r="A314" t="s">
        <v>232</v>
      </c>
      <c r="B314" s="24" t="str">
        <f t="shared" si="13"/>
        <v>Heo xào cải chuaba chi lóc sườn</v>
      </c>
      <c r="C314" s="24" t="s">
        <v>8</v>
      </c>
      <c r="D314" t="s">
        <v>491</v>
      </c>
      <c r="E314" t="s">
        <v>294</v>
      </c>
      <c r="F314" t="s">
        <v>493</v>
      </c>
      <c r="G314" s="17">
        <v>2</v>
      </c>
      <c r="H314" s="18">
        <v>65000</v>
      </c>
      <c r="I314" s="18">
        <v>100</v>
      </c>
      <c r="J314" s="17">
        <f t="shared" si="14"/>
        <v>0.02</v>
      </c>
      <c r="K314" s="18">
        <f t="shared" si="12"/>
        <v>1300</v>
      </c>
    </row>
    <row r="315" spans="1:14" hidden="1" x14ac:dyDescent="0.35">
      <c r="A315" t="s">
        <v>232</v>
      </c>
      <c r="B315" s="24" t="str">
        <f t="shared" si="13"/>
        <v>Heo xào cải chuaNạc vai</v>
      </c>
      <c r="C315" s="24" t="s">
        <v>8</v>
      </c>
      <c r="D315" t="s">
        <v>491</v>
      </c>
      <c r="E315" t="s">
        <v>294</v>
      </c>
      <c r="F315" t="s">
        <v>60</v>
      </c>
      <c r="G315" s="17">
        <v>1.5</v>
      </c>
      <c r="H315" s="18">
        <v>100000</v>
      </c>
      <c r="I315" s="18">
        <v>100</v>
      </c>
      <c r="J315" s="17">
        <f t="shared" si="14"/>
        <v>1.4999999999999999E-2</v>
      </c>
      <c r="K315" s="18">
        <f t="shared" si="12"/>
        <v>1500</v>
      </c>
    </row>
    <row r="316" spans="1:14" hidden="1" x14ac:dyDescent="0.35">
      <c r="A316" t="s">
        <v>232</v>
      </c>
      <c r="B316" s="24" t="str">
        <f t="shared" si="13"/>
        <v>Mỳ Quảng GàPhồng tôm</v>
      </c>
      <c r="C316" s="24" t="s">
        <v>8</v>
      </c>
      <c r="D316" t="s">
        <v>20</v>
      </c>
      <c r="E316" t="s">
        <v>297</v>
      </c>
      <c r="F316" t="s">
        <v>428</v>
      </c>
      <c r="G316" s="17">
        <v>6</v>
      </c>
      <c r="H316" s="18">
        <v>12000</v>
      </c>
      <c r="I316" s="18">
        <v>100</v>
      </c>
      <c r="J316" s="17">
        <f t="shared" si="14"/>
        <v>0.06</v>
      </c>
      <c r="K316" s="18">
        <f t="shared" si="12"/>
        <v>720</v>
      </c>
      <c r="N316" s="30"/>
    </row>
    <row r="317" spans="1:14" hidden="1" x14ac:dyDescent="0.35">
      <c r="A317" s="24" t="s">
        <v>233</v>
      </c>
      <c r="B317" s="24" t="str">
        <f t="shared" si="13"/>
        <v>Mỳ Quảng GàChanh</v>
      </c>
      <c r="C317" s="24" t="s">
        <v>8</v>
      </c>
      <c r="D317" t="s">
        <v>20</v>
      </c>
      <c r="E317" t="s">
        <v>297</v>
      </c>
      <c r="F317" t="s">
        <v>25</v>
      </c>
      <c r="G317" s="17">
        <v>0.8</v>
      </c>
      <c r="H317" s="18">
        <v>26000</v>
      </c>
      <c r="I317" s="18">
        <v>100</v>
      </c>
      <c r="J317" s="17">
        <f t="shared" si="14"/>
        <v>8.0000000000000002E-3</v>
      </c>
      <c r="K317" s="18">
        <f t="shared" si="12"/>
        <v>208</v>
      </c>
      <c r="N317" s="30"/>
    </row>
    <row r="318" spans="1:14" hidden="1" x14ac:dyDescent="0.35">
      <c r="A318" s="24" t="s">
        <v>233</v>
      </c>
      <c r="B318" s="24" t="str">
        <f t="shared" si="13"/>
        <v>Mỳ Quảng GàGiá</v>
      </c>
      <c r="C318" s="24" t="s">
        <v>8</v>
      </c>
      <c r="D318" t="s">
        <v>20</v>
      </c>
      <c r="E318" t="s">
        <v>297</v>
      </c>
      <c r="F318" t="s">
        <v>26</v>
      </c>
      <c r="G318" s="17">
        <v>2.5</v>
      </c>
      <c r="H318" s="18">
        <v>10000</v>
      </c>
      <c r="I318" s="18">
        <v>100</v>
      </c>
      <c r="J318" s="17">
        <f t="shared" si="14"/>
        <v>2.5000000000000001E-2</v>
      </c>
      <c r="K318" s="18">
        <f t="shared" si="12"/>
        <v>250</v>
      </c>
      <c r="N318" s="30"/>
    </row>
    <row r="319" spans="1:14" hidden="1" x14ac:dyDescent="0.35">
      <c r="A319" s="24" t="s">
        <v>233</v>
      </c>
      <c r="B319" s="24" t="str">
        <f t="shared" si="13"/>
        <v>Mỳ Quảng GàHành lá</v>
      </c>
      <c r="C319" s="24" t="s">
        <v>8</v>
      </c>
      <c r="D319" t="s">
        <v>20</v>
      </c>
      <c r="E319" t="s">
        <v>297</v>
      </c>
      <c r="F319" t="s">
        <v>24</v>
      </c>
      <c r="G319" s="17">
        <v>0.4</v>
      </c>
      <c r="H319" s="18">
        <v>20000</v>
      </c>
      <c r="I319" s="18">
        <v>100</v>
      </c>
      <c r="J319" s="17">
        <f t="shared" si="14"/>
        <v>4.0000000000000001E-3</v>
      </c>
      <c r="K319" s="18">
        <f t="shared" si="12"/>
        <v>80</v>
      </c>
      <c r="N319" s="30"/>
    </row>
    <row r="320" spans="1:14" hidden="1" x14ac:dyDescent="0.35">
      <c r="A320" s="24" t="s">
        <v>233</v>
      </c>
      <c r="B320" s="24" t="str">
        <f t="shared" si="13"/>
        <v>Mỳ Quảng GàXà lách</v>
      </c>
      <c r="C320" s="24" t="s">
        <v>8</v>
      </c>
      <c r="D320" t="s">
        <v>20</v>
      </c>
      <c r="E320" t="s">
        <v>297</v>
      </c>
      <c r="F320" t="s">
        <v>197</v>
      </c>
      <c r="G320" s="17">
        <v>2</v>
      </c>
      <c r="H320" s="18">
        <v>22000</v>
      </c>
      <c r="I320" s="18">
        <v>100</v>
      </c>
      <c r="J320" s="17">
        <f t="shared" si="14"/>
        <v>0.02</v>
      </c>
      <c r="K320" s="18">
        <f t="shared" si="12"/>
        <v>440</v>
      </c>
      <c r="N320" s="30"/>
    </row>
    <row r="321" spans="1:14" hidden="1" x14ac:dyDescent="0.35">
      <c r="A321" s="24" t="s">
        <v>233</v>
      </c>
      <c r="B321" s="24" t="str">
        <f t="shared" si="13"/>
        <v>Mỳ Quảng GàĐậu phộng rang</v>
      </c>
      <c r="C321" s="24" t="s">
        <v>8</v>
      </c>
      <c r="D321" t="s">
        <v>20</v>
      </c>
      <c r="E321" t="s">
        <v>297</v>
      </c>
      <c r="F321" t="s">
        <v>303</v>
      </c>
      <c r="G321" s="17">
        <v>0.7</v>
      </c>
      <c r="H321" s="18">
        <v>50000</v>
      </c>
      <c r="I321" s="18">
        <v>100</v>
      </c>
      <c r="J321" s="17">
        <f t="shared" si="14"/>
        <v>6.9999999999999993E-3</v>
      </c>
      <c r="K321" s="18">
        <f t="shared" si="12"/>
        <v>350</v>
      </c>
      <c r="N321" s="30"/>
    </row>
    <row r="322" spans="1:14" hidden="1" x14ac:dyDescent="0.35">
      <c r="A322" s="24" t="s">
        <v>233</v>
      </c>
      <c r="B322" s="24" t="str">
        <f t="shared" si="13"/>
        <v>Mỳ Quảng GàNgò gai</v>
      </c>
      <c r="C322" s="24" t="s">
        <v>8</v>
      </c>
      <c r="D322" t="s">
        <v>20</v>
      </c>
      <c r="E322" t="s">
        <v>297</v>
      </c>
      <c r="F322" t="s">
        <v>101</v>
      </c>
      <c r="G322" s="17">
        <v>0.2</v>
      </c>
      <c r="H322" s="18">
        <v>35000</v>
      </c>
      <c r="I322" s="18">
        <v>100</v>
      </c>
      <c r="J322" s="17">
        <f t="shared" si="14"/>
        <v>2E-3</v>
      </c>
      <c r="K322" s="18">
        <f t="shared" si="12"/>
        <v>70</v>
      </c>
      <c r="N322" s="30"/>
    </row>
    <row r="323" spans="1:14" hidden="1" x14ac:dyDescent="0.35">
      <c r="A323" s="24" t="s">
        <v>233</v>
      </c>
      <c r="B323" s="24" t="str">
        <f t="shared" si="13"/>
        <v>Mỳ Quảng GàRau quế</v>
      </c>
      <c r="C323" s="24" t="s">
        <v>8</v>
      </c>
      <c r="D323" t="s">
        <v>20</v>
      </c>
      <c r="E323" t="s">
        <v>297</v>
      </c>
      <c r="F323" t="s">
        <v>23</v>
      </c>
      <c r="G323" s="17">
        <v>0.3</v>
      </c>
      <c r="H323" s="18">
        <v>30000</v>
      </c>
      <c r="I323" s="18">
        <v>100</v>
      </c>
      <c r="J323" s="17">
        <f t="shared" si="14"/>
        <v>3.0000000000000001E-3</v>
      </c>
      <c r="K323" s="18">
        <f t="shared" si="12"/>
        <v>90</v>
      </c>
      <c r="N323" s="30"/>
    </row>
    <row r="324" spans="1:14" hidden="1" x14ac:dyDescent="0.35">
      <c r="A324" s="24" t="s">
        <v>233</v>
      </c>
      <c r="B324" s="24" t="str">
        <f t="shared" si="13"/>
        <v>Mỳ Quảng GàSu trắng</v>
      </c>
      <c r="C324" s="24" t="s">
        <v>8</v>
      </c>
      <c r="D324" t="s">
        <v>20</v>
      </c>
      <c r="E324" t="s">
        <v>297</v>
      </c>
      <c r="F324" t="s">
        <v>39</v>
      </c>
      <c r="G324" s="17">
        <v>1</v>
      </c>
      <c r="H324" s="18">
        <v>10000</v>
      </c>
      <c r="I324" s="18">
        <v>100</v>
      </c>
      <c r="J324" s="17">
        <f t="shared" si="14"/>
        <v>0.01</v>
      </c>
      <c r="K324" s="18">
        <f t="shared" si="12"/>
        <v>100</v>
      </c>
      <c r="N324" s="30"/>
    </row>
    <row r="325" spans="1:14" hidden="1" x14ac:dyDescent="0.35">
      <c r="A325" s="24" t="s">
        <v>233</v>
      </c>
      <c r="B325" s="24" t="str">
        <f t="shared" si="13"/>
        <v>Mỳ Quảng GàChuối cây cắt sẵn</v>
      </c>
      <c r="C325" s="24" t="s">
        <v>8</v>
      </c>
      <c r="D325" t="s">
        <v>20</v>
      </c>
      <c r="E325" t="s">
        <v>297</v>
      </c>
      <c r="F325" t="s">
        <v>433</v>
      </c>
      <c r="G325" s="17">
        <v>1</v>
      </c>
      <c r="H325" s="18">
        <v>15000</v>
      </c>
      <c r="I325" s="18">
        <v>100</v>
      </c>
      <c r="J325" s="17">
        <f t="shared" si="14"/>
        <v>0.01</v>
      </c>
      <c r="K325" s="18">
        <f t="shared" si="12"/>
        <v>150</v>
      </c>
      <c r="N325" s="30"/>
    </row>
    <row r="326" spans="1:14" hidden="1" x14ac:dyDescent="0.35">
      <c r="A326" t="s">
        <v>232</v>
      </c>
      <c r="B326" s="24" t="str">
        <f t="shared" si="13"/>
        <v>Mỳ Quảng GàMá đùi gà</v>
      </c>
      <c r="C326" s="24" t="s">
        <v>8</v>
      </c>
      <c r="D326" t="s">
        <v>20</v>
      </c>
      <c r="E326" t="s">
        <v>297</v>
      </c>
      <c r="F326" t="s">
        <v>456</v>
      </c>
      <c r="G326" s="17">
        <v>17</v>
      </c>
      <c r="H326" s="18">
        <v>40000</v>
      </c>
      <c r="I326" s="18">
        <v>100</v>
      </c>
      <c r="J326" s="17">
        <f t="shared" si="14"/>
        <v>0.17</v>
      </c>
      <c r="K326" s="18">
        <f t="shared" si="12"/>
        <v>6800</v>
      </c>
    </row>
    <row r="327" spans="1:14" hidden="1" x14ac:dyDescent="0.35">
      <c r="A327" t="s">
        <v>298</v>
      </c>
      <c r="B327" s="24" t="str">
        <f t="shared" si="13"/>
        <v>Mỳ Quảng GàTrứng gà trung</v>
      </c>
      <c r="C327" s="24" t="s">
        <v>8</v>
      </c>
      <c r="D327" t="s">
        <v>20</v>
      </c>
      <c r="E327" t="s">
        <v>297</v>
      </c>
      <c r="F327" t="s">
        <v>416</v>
      </c>
      <c r="G327" s="17">
        <v>102</v>
      </c>
      <c r="H327" s="18">
        <v>2000</v>
      </c>
      <c r="I327" s="18">
        <v>100</v>
      </c>
      <c r="J327" s="17">
        <f t="shared" si="14"/>
        <v>1.02</v>
      </c>
      <c r="K327" s="18">
        <f t="shared" si="12"/>
        <v>2040</v>
      </c>
    </row>
    <row r="328" spans="1:14" hidden="1" x14ac:dyDescent="0.35">
      <c r="A328" t="s">
        <v>298</v>
      </c>
      <c r="B328" s="24" t="str">
        <f t="shared" si="13"/>
        <v>Mỳ Quảng GàMỳ tươi</v>
      </c>
      <c r="C328" s="24" t="s">
        <v>8</v>
      </c>
      <c r="D328" t="s">
        <v>20</v>
      </c>
      <c r="E328" t="s">
        <v>297</v>
      </c>
      <c r="F328" t="s">
        <v>389</v>
      </c>
      <c r="G328" s="17">
        <v>33</v>
      </c>
      <c r="H328" s="18">
        <v>10000</v>
      </c>
      <c r="I328" s="18">
        <v>100</v>
      </c>
      <c r="J328" s="17">
        <f t="shared" si="14"/>
        <v>0.33</v>
      </c>
      <c r="K328" s="18">
        <f t="shared" si="12"/>
        <v>3300</v>
      </c>
    </row>
    <row r="329" spans="1:14" hidden="1" x14ac:dyDescent="0.35">
      <c r="A329" t="s">
        <v>232</v>
      </c>
      <c r="B329" s="24" t="str">
        <f t="shared" si="13"/>
        <v>Bún thịt nướngRau quế</v>
      </c>
      <c r="C329" s="24" t="s">
        <v>8</v>
      </c>
      <c r="D329" t="s">
        <v>20</v>
      </c>
      <c r="E329" t="s">
        <v>300</v>
      </c>
      <c r="F329" t="s">
        <v>23</v>
      </c>
      <c r="G329" s="17">
        <v>0.2</v>
      </c>
      <c r="H329" s="18">
        <v>100000</v>
      </c>
      <c r="I329" s="18">
        <v>100</v>
      </c>
      <c r="J329" s="17">
        <f t="shared" si="14"/>
        <v>2E-3</v>
      </c>
      <c r="K329" s="18">
        <f t="shared" si="12"/>
        <v>200</v>
      </c>
    </row>
    <row r="330" spans="1:14" hidden="1" x14ac:dyDescent="0.35">
      <c r="A330" t="s">
        <v>233</v>
      </c>
      <c r="B330" s="24" t="str">
        <f t="shared" si="13"/>
        <v>Bún thịt nướngXà lách</v>
      </c>
      <c r="C330" s="24" t="s">
        <v>8</v>
      </c>
      <c r="D330" t="s">
        <v>20</v>
      </c>
      <c r="E330" t="s">
        <v>300</v>
      </c>
      <c r="F330" t="s">
        <v>197</v>
      </c>
      <c r="G330" s="17">
        <v>2</v>
      </c>
      <c r="H330" s="18">
        <v>25000</v>
      </c>
      <c r="I330" s="18">
        <v>100</v>
      </c>
      <c r="J330" s="17">
        <f t="shared" si="14"/>
        <v>0.02</v>
      </c>
      <c r="K330" s="18">
        <f t="shared" si="12"/>
        <v>500</v>
      </c>
    </row>
    <row r="331" spans="1:14" hidden="1" x14ac:dyDescent="0.35">
      <c r="A331" t="s">
        <v>233</v>
      </c>
      <c r="B331" s="24" t="str">
        <f t="shared" si="13"/>
        <v>Bún thịt nướngGiá</v>
      </c>
      <c r="C331" s="24" t="s">
        <v>8</v>
      </c>
      <c r="D331" t="s">
        <v>20</v>
      </c>
      <c r="E331" t="s">
        <v>300</v>
      </c>
      <c r="F331" t="s">
        <v>26</v>
      </c>
      <c r="G331" s="17">
        <v>2</v>
      </c>
      <c r="H331" s="18">
        <v>10000</v>
      </c>
      <c r="I331" s="18">
        <v>100</v>
      </c>
      <c r="J331" s="17">
        <f t="shared" si="14"/>
        <v>0.02</v>
      </c>
      <c r="K331" s="18">
        <f t="shared" si="12"/>
        <v>200</v>
      </c>
    </row>
    <row r="332" spans="1:14" hidden="1" x14ac:dyDescent="0.35">
      <c r="A332" t="s">
        <v>233</v>
      </c>
      <c r="B332" s="24" t="str">
        <f t="shared" si="13"/>
        <v>Bún thịt nướngSả</v>
      </c>
      <c r="C332" s="24" t="s">
        <v>8</v>
      </c>
      <c r="D332" t="s">
        <v>20</v>
      </c>
      <c r="E332" t="s">
        <v>300</v>
      </c>
      <c r="F332" t="s">
        <v>207</v>
      </c>
      <c r="G332" s="17">
        <v>0.4</v>
      </c>
      <c r="H332" s="18">
        <v>30000</v>
      </c>
      <c r="I332" s="18">
        <v>100</v>
      </c>
      <c r="J332" s="17">
        <f t="shared" si="14"/>
        <v>4.0000000000000001E-3</v>
      </c>
      <c r="K332" s="18">
        <f t="shared" si="12"/>
        <v>120</v>
      </c>
    </row>
    <row r="333" spans="1:14" hidden="1" x14ac:dyDescent="0.35">
      <c r="A333" t="s">
        <v>233</v>
      </c>
      <c r="B333" s="24" t="str">
        <f t="shared" si="13"/>
        <v>Bún thịt nướngĐậu phộng rang</v>
      </c>
      <c r="C333" s="24" t="s">
        <v>8</v>
      </c>
      <c r="D333" t="s">
        <v>20</v>
      </c>
      <c r="E333" t="s">
        <v>300</v>
      </c>
      <c r="F333" t="s">
        <v>303</v>
      </c>
      <c r="G333" s="17">
        <v>0.6</v>
      </c>
      <c r="H333" s="18">
        <v>50000</v>
      </c>
      <c r="I333" s="18">
        <v>100</v>
      </c>
      <c r="J333" s="17">
        <f t="shared" si="14"/>
        <v>6.0000000000000001E-3</v>
      </c>
      <c r="K333" s="18">
        <f t="shared" si="12"/>
        <v>300</v>
      </c>
    </row>
    <row r="334" spans="1:14" hidden="1" x14ac:dyDescent="0.35">
      <c r="A334" t="s">
        <v>233</v>
      </c>
      <c r="B334" s="24" t="str">
        <f t="shared" si="13"/>
        <v>Bún thịt nướngDưa leo</v>
      </c>
      <c r="C334" s="24" t="s">
        <v>8</v>
      </c>
      <c r="D334" t="s">
        <v>20</v>
      </c>
      <c r="E334" t="s">
        <v>300</v>
      </c>
      <c r="F334" t="s">
        <v>301</v>
      </c>
      <c r="G334" s="17">
        <v>2</v>
      </c>
      <c r="H334" s="18">
        <v>15000</v>
      </c>
      <c r="I334" s="18">
        <v>100</v>
      </c>
      <c r="J334" s="17">
        <f t="shared" si="14"/>
        <v>0.02</v>
      </c>
      <c r="K334" s="18">
        <f t="shared" si="12"/>
        <v>300</v>
      </c>
    </row>
    <row r="335" spans="1:14" hidden="1" x14ac:dyDescent="0.35">
      <c r="A335" t="s">
        <v>233</v>
      </c>
      <c r="B335" s="24" t="str">
        <f t="shared" si="13"/>
        <v>Bún thịt nướngĐu đủ xanh</v>
      </c>
      <c r="C335" s="24" t="s">
        <v>8</v>
      </c>
      <c r="D335" t="s">
        <v>20</v>
      </c>
      <c r="E335" t="s">
        <v>300</v>
      </c>
      <c r="F335" t="s">
        <v>302</v>
      </c>
      <c r="G335" s="17">
        <v>2</v>
      </c>
      <c r="H335" s="18">
        <v>12000</v>
      </c>
      <c r="I335" s="18">
        <v>100</v>
      </c>
      <c r="J335" s="17">
        <f t="shared" si="14"/>
        <v>0.02</v>
      </c>
      <c r="K335" s="18">
        <f t="shared" si="12"/>
        <v>240</v>
      </c>
    </row>
    <row r="336" spans="1:14" hidden="1" x14ac:dyDescent="0.35">
      <c r="A336" t="s">
        <v>233</v>
      </c>
      <c r="B336" s="24" t="str">
        <f t="shared" si="13"/>
        <v>Bún thịt nướngCà rốt</v>
      </c>
      <c r="C336" s="24" t="s">
        <v>8</v>
      </c>
      <c r="D336" t="s">
        <v>20</v>
      </c>
      <c r="E336" t="s">
        <v>300</v>
      </c>
      <c r="F336" t="s">
        <v>78</v>
      </c>
      <c r="G336" s="17">
        <v>0.5</v>
      </c>
      <c r="H336" s="18">
        <v>15000</v>
      </c>
      <c r="I336" s="18">
        <v>100</v>
      </c>
      <c r="J336" s="17">
        <f t="shared" si="14"/>
        <v>5.0000000000000001E-3</v>
      </c>
      <c r="K336" s="18">
        <f t="shared" si="12"/>
        <v>75</v>
      </c>
    </row>
    <row r="337" spans="1:14" hidden="1" x14ac:dyDescent="0.35">
      <c r="A337" t="s">
        <v>233</v>
      </c>
      <c r="B337" s="24" t="str">
        <f t="shared" si="13"/>
        <v>Bún thịt nướngNạc vai</v>
      </c>
      <c r="C337" s="24" t="s">
        <v>8</v>
      </c>
      <c r="D337" t="s">
        <v>20</v>
      </c>
      <c r="E337" t="s">
        <v>300</v>
      </c>
      <c r="F337" t="s">
        <v>60</v>
      </c>
      <c r="G337" s="17">
        <v>10</v>
      </c>
      <c r="H337" s="18">
        <v>90000</v>
      </c>
      <c r="I337" s="18">
        <v>100</v>
      </c>
      <c r="J337" s="17">
        <f t="shared" si="14"/>
        <v>0.1</v>
      </c>
      <c r="K337" s="18">
        <f t="shared" si="12"/>
        <v>9000</v>
      </c>
    </row>
    <row r="338" spans="1:14" hidden="1" x14ac:dyDescent="0.35">
      <c r="A338" t="s">
        <v>233</v>
      </c>
      <c r="B338" s="24" t="str">
        <f t="shared" si="13"/>
        <v>Bún thịt nướngMè trắng</v>
      </c>
      <c r="C338" s="24" t="s">
        <v>8</v>
      </c>
      <c r="D338" t="s">
        <v>20</v>
      </c>
      <c r="E338" t="s">
        <v>300</v>
      </c>
      <c r="F338" t="s">
        <v>377</v>
      </c>
      <c r="G338" s="17">
        <v>0.3</v>
      </c>
      <c r="H338" s="18">
        <v>50000</v>
      </c>
      <c r="I338" s="18">
        <v>100</v>
      </c>
      <c r="J338" s="17">
        <f t="shared" si="14"/>
        <v>3.0000000000000001E-3</v>
      </c>
      <c r="K338" s="18">
        <f t="shared" si="12"/>
        <v>150</v>
      </c>
    </row>
    <row r="339" spans="1:14" hidden="1" x14ac:dyDescent="0.35">
      <c r="A339" t="s">
        <v>233</v>
      </c>
      <c r="B339" s="24" t="str">
        <f t="shared" si="13"/>
        <v>Bún thịt nướngMắm cái</v>
      </c>
      <c r="C339" s="24" t="s">
        <v>8</v>
      </c>
      <c r="D339" t="s">
        <v>20</v>
      </c>
      <c r="E339" t="s">
        <v>300</v>
      </c>
      <c r="F339" t="s">
        <v>364</v>
      </c>
      <c r="G339" s="17">
        <v>2</v>
      </c>
      <c r="H339" s="18">
        <v>30000</v>
      </c>
      <c r="I339" s="18">
        <v>100</v>
      </c>
      <c r="J339" s="17">
        <f t="shared" si="14"/>
        <v>0.02</v>
      </c>
      <c r="K339" s="18">
        <f t="shared" si="12"/>
        <v>600</v>
      </c>
    </row>
    <row r="340" spans="1:14" hidden="1" x14ac:dyDescent="0.35">
      <c r="A340" t="s">
        <v>233</v>
      </c>
      <c r="B340" s="24" t="str">
        <f t="shared" si="13"/>
        <v>Bún thịt nướngThơm</v>
      </c>
      <c r="C340" s="24" t="s">
        <v>8</v>
      </c>
      <c r="D340" t="s">
        <v>20</v>
      </c>
      <c r="E340" t="s">
        <v>300</v>
      </c>
      <c r="F340" t="s">
        <v>4</v>
      </c>
      <c r="G340" s="17">
        <v>2</v>
      </c>
      <c r="H340" s="18">
        <v>17000</v>
      </c>
      <c r="I340" s="18">
        <v>100</v>
      </c>
      <c r="J340" s="17">
        <f t="shared" si="14"/>
        <v>0.02</v>
      </c>
      <c r="K340" s="18">
        <f t="shared" si="12"/>
        <v>340</v>
      </c>
    </row>
    <row r="341" spans="1:14" hidden="1" x14ac:dyDescent="0.35">
      <c r="A341" t="s">
        <v>233</v>
      </c>
      <c r="B341" s="24" t="str">
        <f t="shared" si="13"/>
        <v>Bún thịt nướngBún tươi</v>
      </c>
      <c r="C341" s="24" t="s">
        <v>8</v>
      </c>
      <c r="D341" t="s">
        <v>20</v>
      </c>
      <c r="E341" t="s">
        <v>300</v>
      </c>
      <c r="F341" t="s">
        <v>387</v>
      </c>
      <c r="G341" s="17">
        <v>33</v>
      </c>
      <c r="H341" s="18">
        <v>10000</v>
      </c>
      <c r="I341" s="18">
        <v>100</v>
      </c>
      <c r="J341" s="17">
        <f t="shared" si="14"/>
        <v>0.33</v>
      </c>
      <c r="K341" s="18">
        <f t="shared" si="12"/>
        <v>3300</v>
      </c>
    </row>
    <row r="342" spans="1:14" hidden="1" x14ac:dyDescent="0.35">
      <c r="A342" t="s">
        <v>232</v>
      </c>
      <c r="B342" s="24" t="str">
        <f t="shared" si="13"/>
        <v>Cá ngừ sốt càCá ngừ</v>
      </c>
      <c r="C342" s="24" t="s">
        <v>8</v>
      </c>
      <c r="D342" t="s">
        <v>18</v>
      </c>
      <c r="E342" t="s">
        <v>305</v>
      </c>
      <c r="F342" t="s">
        <v>304</v>
      </c>
      <c r="G342" s="17">
        <v>13</v>
      </c>
      <c r="H342" s="18">
        <v>32000</v>
      </c>
      <c r="I342" s="18">
        <v>100</v>
      </c>
      <c r="J342" s="17">
        <f t="shared" si="14"/>
        <v>0.13</v>
      </c>
      <c r="K342" s="18">
        <f t="shared" si="12"/>
        <v>4160</v>
      </c>
    </row>
    <row r="343" spans="1:14" hidden="1" x14ac:dyDescent="0.35">
      <c r="A343" t="s">
        <v>298</v>
      </c>
      <c r="B343" s="24" t="str">
        <f t="shared" si="13"/>
        <v>Cá ngừ sốt càCà chua</v>
      </c>
      <c r="C343" s="24" t="s">
        <v>8</v>
      </c>
      <c r="D343" t="s">
        <v>18</v>
      </c>
      <c r="E343" t="s">
        <v>305</v>
      </c>
      <c r="F343" t="s">
        <v>14</v>
      </c>
      <c r="G343" s="17">
        <v>2</v>
      </c>
      <c r="H343" s="18">
        <v>20000</v>
      </c>
      <c r="I343" s="18">
        <v>100</v>
      </c>
      <c r="J343" s="17">
        <f t="shared" si="14"/>
        <v>0.02</v>
      </c>
      <c r="K343" s="18">
        <f t="shared" si="12"/>
        <v>400</v>
      </c>
    </row>
    <row r="344" spans="1:14" hidden="1" x14ac:dyDescent="0.35">
      <c r="A344" t="s">
        <v>232</v>
      </c>
      <c r="B344" s="24" t="str">
        <f t="shared" si="13"/>
        <v>Cá ngừ kho dưaCá ngừ</v>
      </c>
      <c r="C344" s="24" t="s">
        <v>8</v>
      </c>
      <c r="D344" t="s">
        <v>18</v>
      </c>
      <c r="E344" t="s">
        <v>306</v>
      </c>
      <c r="F344" t="s">
        <v>304</v>
      </c>
      <c r="G344" s="17">
        <v>14</v>
      </c>
      <c r="H344" s="18">
        <v>32000</v>
      </c>
      <c r="I344" s="18">
        <v>100</v>
      </c>
      <c r="J344" s="17">
        <f t="shared" si="14"/>
        <v>0.14000000000000001</v>
      </c>
      <c r="K344" s="18">
        <f t="shared" si="12"/>
        <v>4480</v>
      </c>
    </row>
    <row r="345" spans="1:14" hidden="1" x14ac:dyDescent="0.35">
      <c r="A345" t="s">
        <v>298</v>
      </c>
      <c r="B345" s="24" t="str">
        <f t="shared" si="13"/>
        <v>Cá ngừ kho dưaDưa trái muối</v>
      </c>
      <c r="C345" s="24" t="s">
        <v>8</v>
      </c>
      <c r="D345" t="s">
        <v>18</v>
      </c>
      <c r="E345" t="s">
        <v>306</v>
      </c>
      <c r="F345" t="s">
        <v>307</v>
      </c>
      <c r="G345" s="17">
        <v>3.5</v>
      </c>
      <c r="H345" s="18">
        <v>15000</v>
      </c>
      <c r="I345" s="18">
        <v>100</v>
      </c>
      <c r="J345" s="17">
        <f t="shared" si="14"/>
        <v>3.5000000000000003E-2</v>
      </c>
      <c r="K345" s="18">
        <f t="shared" si="12"/>
        <v>525</v>
      </c>
    </row>
    <row r="346" spans="1:14" hidden="1" x14ac:dyDescent="0.35">
      <c r="A346" t="s">
        <v>232</v>
      </c>
      <c r="B346" s="24" t="str">
        <f t="shared" si="13"/>
        <v>Heo rang cháy cạnhHeo nọng</v>
      </c>
      <c r="C346" s="24" t="s">
        <v>8</v>
      </c>
      <c r="D346" t="s">
        <v>19</v>
      </c>
      <c r="E346" t="s">
        <v>308</v>
      </c>
      <c r="F346" t="s">
        <v>135</v>
      </c>
      <c r="G346" s="17">
        <v>6</v>
      </c>
      <c r="H346" s="18">
        <v>60000</v>
      </c>
      <c r="I346" s="18">
        <v>100</v>
      </c>
      <c r="J346" s="17">
        <f t="shared" si="14"/>
        <v>0.06</v>
      </c>
      <c r="K346" s="18">
        <f t="shared" si="12"/>
        <v>3600</v>
      </c>
    </row>
    <row r="347" spans="1:14" hidden="1" x14ac:dyDescent="0.35">
      <c r="A347" t="s">
        <v>232</v>
      </c>
      <c r="B347" s="24" t="str">
        <f t="shared" si="13"/>
        <v>Giò heo um đậuGiò heo</v>
      </c>
      <c r="C347" s="24" t="s">
        <v>8</v>
      </c>
      <c r="D347" t="s">
        <v>18</v>
      </c>
      <c r="E347" t="s">
        <v>492</v>
      </c>
      <c r="F347" t="s">
        <v>217</v>
      </c>
      <c r="G347" s="17">
        <v>11</v>
      </c>
      <c r="H347" s="18">
        <v>59000</v>
      </c>
      <c r="I347" s="18">
        <v>100</v>
      </c>
      <c r="J347" s="17">
        <f t="shared" si="14"/>
        <v>0.11</v>
      </c>
      <c r="K347" s="18">
        <f t="shared" si="12"/>
        <v>6490</v>
      </c>
    </row>
    <row r="348" spans="1:14" hidden="1" x14ac:dyDescent="0.35">
      <c r="A348" t="s">
        <v>232</v>
      </c>
      <c r="B348" s="24" t="str">
        <f t="shared" si="13"/>
        <v>Giò heo um đậuđậu phộng sống</v>
      </c>
      <c r="C348" s="24" t="s">
        <v>8</v>
      </c>
      <c r="D348" t="s">
        <v>18</v>
      </c>
      <c r="E348" t="s">
        <v>492</v>
      </c>
      <c r="F348" t="s">
        <v>468</v>
      </c>
      <c r="G348" s="17">
        <v>0.5</v>
      </c>
      <c r="H348" s="18">
        <v>50000</v>
      </c>
      <c r="I348" s="18">
        <v>100</v>
      </c>
      <c r="J348" s="17">
        <f t="shared" si="14"/>
        <v>5.0000000000000001E-3</v>
      </c>
      <c r="K348" s="18">
        <f t="shared" si="12"/>
        <v>250</v>
      </c>
    </row>
    <row r="349" spans="1:14" hidden="1" x14ac:dyDescent="0.35">
      <c r="A349" t="s">
        <v>298</v>
      </c>
      <c r="B349" s="24" t="str">
        <f t="shared" si="13"/>
        <v>Giò heo kho sảSả</v>
      </c>
      <c r="C349" s="24" t="s">
        <v>8</v>
      </c>
      <c r="D349" t="s">
        <v>18</v>
      </c>
      <c r="E349" t="s">
        <v>309</v>
      </c>
      <c r="F349" t="s">
        <v>207</v>
      </c>
      <c r="G349" s="17">
        <v>2</v>
      </c>
      <c r="H349" s="18">
        <v>25000</v>
      </c>
      <c r="I349" s="18">
        <v>100</v>
      </c>
      <c r="J349" s="17">
        <f t="shared" si="14"/>
        <v>0.02</v>
      </c>
      <c r="K349" s="18">
        <f t="shared" si="12"/>
        <v>500</v>
      </c>
    </row>
    <row r="350" spans="1:14" hidden="1" x14ac:dyDescent="0.35">
      <c r="A350" t="s">
        <v>298</v>
      </c>
      <c r="B350" s="24" t="str">
        <f t="shared" si="13"/>
        <v>Cải ngọt xàoCải ngọt</v>
      </c>
      <c r="C350" s="24" t="s">
        <v>8</v>
      </c>
      <c r="D350" t="s">
        <v>47</v>
      </c>
      <c r="E350" t="s">
        <v>310</v>
      </c>
      <c r="F350" t="s">
        <v>49</v>
      </c>
      <c r="G350" s="17">
        <v>9</v>
      </c>
      <c r="H350" s="18">
        <v>12000</v>
      </c>
      <c r="I350" s="18">
        <v>100</v>
      </c>
      <c r="J350" s="17">
        <f t="shared" si="14"/>
        <v>0.09</v>
      </c>
      <c r="K350" s="18">
        <f t="shared" ref="K350:K414" si="15">(G350*H350)/I350</f>
        <v>1080</v>
      </c>
    </row>
    <row r="351" spans="1:14" hidden="1" x14ac:dyDescent="0.35">
      <c r="A351" t="s">
        <v>298</v>
      </c>
      <c r="B351" s="24" t="str">
        <f t="shared" si="13"/>
        <v>Su su xàoSu su</v>
      </c>
      <c r="C351" s="24" t="s">
        <v>8</v>
      </c>
      <c r="D351" t="s">
        <v>47</v>
      </c>
      <c r="E351" t="s">
        <v>311</v>
      </c>
      <c r="F351" t="s">
        <v>313</v>
      </c>
      <c r="G351" s="17">
        <v>9.5</v>
      </c>
      <c r="H351" s="18">
        <v>12000</v>
      </c>
      <c r="I351" s="18">
        <v>100</v>
      </c>
      <c r="J351" s="17">
        <f t="shared" si="14"/>
        <v>9.5000000000000001E-2</v>
      </c>
      <c r="K351" s="18">
        <f t="shared" si="15"/>
        <v>1140</v>
      </c>
    </row>
    <row r="352" spans="1:14" hidden="1" x14ac:dyDescent="0.35">
      <c r="A352" t="s">
        <v>298</v>
      </c>
      <c r="B352" s="24" t="str">
        <f t="shared" si="13"/>
        <v>Mồng tơi nấu tômMồng tơi</v>
      </c>
      <c r="C352" s="24" t="s">
        <v>8</v>
      </c>
      <c r="D352" t="s">
        <v>12</v>
      </c>
      <c r="E352" t="s">
        <v>312</v>
      </c>
      <c r="F352" t="s">
        <v>211</v>
      </c>
      <c r="G352" s="17">
        <v>5</v>
      </c>
      <c r="H352" s="18">
        <v>10000</v>
      </c>
      <c r="I352" s="18">
        <v>100</v>
      </c>
      <c r="J352" s="17">
        <f t="shared" si="14"/>
        <v>0.05</v>
      </c>
      <c r="K352" s="18">
        <f t="shared" si="15"/>
        <v>500</v>
      </c>
      <c r="N352" s="30"/>
    </row>
    <row r="353" spans="1:14" hidden="1" x14ac:dyDescent="0.35">
      <c r="A353" t="s">
        <v>232</v>
      </c>
      <c r="B353" s="24" t="str">
        <f t="shared" si="13"/>
        <v>Mồng tơi nấu tômTôm</v>
      </c>
      <c r="C353" s="24" t="s">
        <v>8</v>
      </c>
      <c r="D353" t="s">
        <v>12</v>
      </c>
      <c r="E353" t="s">
        <v>312</v>
      </c>
      <c r="F353" t="s">
        <v>37</v>
      </c>
      <c r="G353" s="17">
        <v>0.4</v>
      </c>
      <c r="H353" s="18">
        <v>120000</v>
      </c>
      <c r="I353" s="18">
        <v>100</v>
      </c>
      <c r="J353" s="17">
        <f t="shared" si="14"/>
        <v>4.0000000000000001E-3</v>
      </c>
      <c r="K353" s="18">
        <f t="shared" si="15"/>
        <v>480</v>
      </c>
    </row>
    <row r="354" spans="1:14" hidden="1" x14ac:dyDescent="0.35">
      <c r="A354" t="s">
        <v>232</v>
      </c>
      <c r="B354" s="24" t="str">
        <f t="shared" si="13"/>
        <v>Cơm đùi gà rôtyĐùi gà tỏi</v>
      </c>
      <c r="C354" s="24" t="s">
        <v>8</v>
      </c>
      <c r="D354" t="s">
        <v>18</v>
      </c>
      <c r="E354" t="s">
        <v>314</v>
      </c>
      <c r="F354" t="s">
        <v>315</v>
      </c>
      <c r="G354" s="17">
        <v>1</v>
      </c>
      <c r="H354" s="18">
        <v>55000</v>
      </c>
      <c r="I354" s="18">
        <v>6</v>
      </c>
      <c r="J354" s="17">
        <f t="shared" si="14"/>
        <v>0.16666666666666666</v>
      </c>
      <c r="K354" s="18">
        <f t="shared" si="15"/>
        <v>9166.6666666666661</v>
      </c>
    </row>
    <row r="355" spans="1:14" hidden="1" x14ac:dyDescent="0.35">
      <c r="A355" t="s">
        <v>232</v>
      </c>
      <c r="B355" s="24" t="str">
        <f t="shared" si="13"/>
        <v>Cơm đùi gà rôtyTrứng gà</v>
      </c>
      <c r="C355" s="24" t="s">
        <v>8</v>
      </c>
      <c r="D355" t="s">
        <v>18</v>
      </c>
      <c r="E355" t="s">
        <v>314</v>
      </c>
      <c r="F355" t="s">
        <v>13</v>
      </c>
      <c r="G355" s="17">
        <v>80</v>
      </c>
      <c r="H355" s="18">
        <v>230</v>
      </c>
      <c r="I355" s="18">
        <v>100</v>
      </c>
      <c r="J355" s="17">
        <f t="shared" si="14"/>
        <v>0.8</v>
      </c>
      <c r="K355" s="18">
        <f t="shared" si="15"/>
        <v>184</v>
      </c>
    </row>
    <row r="356" spans="1:14" hidden="1" x14ac:dyDescent="0.35">
      <c r="A356" t="s">
        <v>298</v>
      </c>
      <c r="B356" s="24" t="str">
        <f t="shared" si="13"/>
        <v>Cơm đùi gà rôtyCà chua</v>
      </c>
      <c r="C356" s="24" t="s">
        <v>8</v>
      </c>
      <c r="D356" t="s">
        <v>18</v>
      </c>
      <c r="E356" t="s">
        <v>314</v>
      </c>
      <c r="F356" t="s">
        <v>14</v>
      </c>
      <c r="G356" s="17">
        <v>2</v>
      </c>
      <c r="H356" s="18">
        <v>20000</v>
      </c>
      <c r="I356" s="18">
        <v>100</v>
      </c>
      <c r="J356" s="17">
        <f t="shared" si="14"/>
        <v>0.02</v>
      </c>
      <c r="K356" s="18">
        <f t="shared" si="15"/>
        <v>400</v>
      </c>
    </row>
    <row r="357" spans="1:14" hidden="1" x14ac:dyDescent="0.35">
      <c r="A357" t="s">
        <v>298</v>
      </c>
      <c r="B357" s="24" t="str">
        <f t="shared" si="13"/>
        <v xml:space="preserve">Cơm đùi gà rôtyBí đỏ </v>
      </c>
      <c r="C357" s="24" t="s">
        <v>8</v>
      </c>
      <c r="D357" t="s">
        <v>18</v>
      </c>
      <c r="E357" t="s">
        <v>314</v>
      </c>
      <c r="F357" t="s">
        <v>316</v>
      </c>
      <c r="G357" s="17">
        <v>4</v>
      </c>
      <c r="H357" s="18">
        <v>12000</v>
      </c>
      <c r="I357" s="18">
        <v>100</v>
      </c>
      <c r="J357" s="17">
        <f t="shared" si="14"/>
        <v>0.04</v>
      </c>
      <c r="K357" s="18">
        <f t="shared" si="15"/>
        <v>480</v>
      </c>
    </row>
    <row r="358" spans="1:14" hidden="1" x14ac:dyDescent="0.35">
      <c r="A358" t="s">
        <v>232</v>
      </c>
      <c r="B358" s="24" t="str">
        <f t="shared" si="13"/>
        <v>Cơm đùi gà rôtyThịt xay</v>
      </c>
      <c r="C358" s="24" t="s">
        <v>8</v>
      </c>
      <c r="D358" t="s">
        <v>18</v>
      </c>
      <c r="E358" t="s">
        <v>314</v>
      </c>
      <c r="F358" t="s">
        <v>31</v>
      </c>
      <c r="G358" s="17">
        <v>0.4</v>
      </c>
      <c r="H358" s="18">
        <v>80000</v>
      </c>
      <c r="I358" s="18">
        <v>100</v>
      </c>
      <c r="J358" s="17">
        <f t="shared" si="14"/>
        <v>4.0000000000000001E-3</v>
      </c>
      <c r="K358" s="18">
        <f t="shared" si="15"/>
        <v>320</v>
      </c>
    </row>
    <row r="359" spans="1:14" hidden="1" x14ac:dyDescent="0.35">
      <c r="A359" t="s">
        <v>232</v>
      </c>
      <c r="B359" s="24" t="str">
        <f t="shared" si="13"/>
        <v>Thịt xay xào củ quảThịt xay</v>
      </c>
      <c r="C359" s="24" t="s">
        <v>8</v>
      </c>
      <c r="D359" t="s">
        <v>19</v>
      </c>
      <c r="E359" t="s">
        <v>318</v>
      </c>
      <c r="F359" t="s">
        <v>31</v>
      </c>
      <c r="G359" s="17">
        <v>1</v>
      </c>
      <c r="H359" s="18">
        <v>80000</v>
      </c>
      <c r="I359" s="18">
        <v>40</v>
      </c>
      <c r="J359" s="17">
        <f t="shared" si="14"/>
        <v>2.5000000000000001E-2</v>
      </c>
      <c r="K359" s="18">
        <f t="shared" si="15"/>
        <v>2000</v>
      </c>
    </row>
    <row r="360" spans="1:14" hidden="1" x14ac:dyDescent="0.35">
      <c r="A360" t="s">
        <v>298</v>
      </c>
      <c r="B360" s="24" t="str">
        <f t="shared" si="13"/>
        <v>Thịt xay xào củ quảCà rốt</v>
      </c>
      <c r="C360" s="24" t="s">
        <v>8</v>
      </c>
      <c r="D360" t="s">
        <v>19</v>
      </c>
      <c r="E360" t="s">
        <v>318</v>
      </c>
      <c r="F360" t="s">
        <v>78</v>
      </c>
      <c r="G360" s="17">
        <v>1</v>
      </c>
      <c r="H360" s="18">
        <v>16000</v>
      </c>
      <c r="I360" s="18">
        <v>30</v>
      </c>
      <c r="J360" s="17">
        <f t="shared" ref="J360:J411" si="16">G360/I360</f>
        <v>3.3333333333333333E-2</v>
      </c>
      <c r="K360" s="18">
        <f t="shared" si="15"/>
        <v>533.33333333333337</v>
      </c>
    </row>
    <row r="361" spans="1:14" hidden="1" x14ac:dyDescent="0.35">
      <c r="A361" t="s">
        <v>298</v>
      </c>
      <c r="B361" s="24" t="str">
        <f t="shared" si="13"/>
        <v>Thịt xay xào củ quảKhoai tây</v>
      </c>
      <c r="C361" s="24" t="s">
        <v>8</v>
      </c>
      <c r="D361" t="s">
        <v>19</v>
      </c>
      <c r="E361" t="s">
        <v>318</v>
      </c>
      <c r="F361" t="s">
        <v>77</v>
      </c>
      <c r="G361" s="17">
        <v>1</v>
      </c>
      <c r="H361" s="18">
        <v>13000</v>
      </c>
      <c r="I361" s="18">
        <v>30</v>
      </c>
      <c r="J361" s="17">
        <f t="shared" si="16"/>
        <v>3.3333333333333333E-2</v>
      </c>
      <c r="K361" s="18">
        <f t="shared" si="15"/>
        <v>433.33333333333331</v>
      </c>
    </row>
    <row r="362" spans="1:14" hidden="1" x14ac:dyDescent="0.35">
      <c r="A362" t="s">
        <v>298</v>
      </c>
      <c r="B362" s="24" t="str">
        <f t="shared" si="13"/>
        <v>Thịt xay xào củ quảNấm mèo</v>
      </c>
      <c r="C362" s="24" t="s">
        <v>8</v>
      </c>
      <c r="D362" t="s">
        <v>19</v>
      </c>
      <c r="E362" t="s">
        <v>318</v>
      </c>
      <c r="F362" t="s">
        <v>28</v>
      </c>
      <c r="G362" s="17">
        <v>0.1</v>
      </c>
      <c r="H362" s="18">
        <v>110000</v>
      </c>
      <c r="I362" s="18">
        <v>40</v>
      </c>
      <c r="J362" s="17">
        <f t="shared" si="16"/>
        <v>2.5000000000000001E-3</v>
      </c>
      <c r="K362" s="18">
        <f t="shared" si="15"/>
        <v>275</v>
      </c>
    </row>
    <row r="363" spans="1:14" hidden="1" x14ac:dyDescent="0.35">
      <c r="A363" t="s">
        <v>232</v>
      </c>
      <c r="B363" s="24" t="str">
        <f t="shared" si="13"/>
        <v>Chả kho đậu khuônChả cá tấm chiên</v>
      </c>
      <c r="C363" s="24" t="s">
        <v>8</v>
      </c>
      <c r="D363" t="s">
        <v>19</v>
      </c>
      <c r="E363" t="s">
        <v>319</v>
      </c>
      <c r="F363" t="s">
        <v>268</v>
      </c>
      <c r="G363" s="17">
        <v>3</v>
      </c>
      <c r="H363" s="18">
        <v>90000</v>
      </c>
      <c r="I363" s="18">
        <v>100</v>
      </c>
      <c r="J363" s="17">
        <f t="shared" si="16"/>
        <v>0.03</v>
      </c>
      <c r="K363" s="18">
        <f t="shared" si="15"/>
        <v>2700</v>
      </c>
    </row>
    <row r="364" spans="1:14" hidden="1" x14ac:dyDescent="0.35">
      <c r="A364" t="s">
        <v>232</v>
      </c>
      <c r="B364" s="24" t="str">
        <f t="shared" si="13"/>
        <v>Chả kho đậu khuônĐậu khuôn chiên</v>
      </c>
      <c r="C364" s="24" t="s">
        <v>8</v>
      </c>
      <c r="D364" t="s">
        <v>19</v>
      </c>
      <c r="E364" t="s">
        <v>319</v>
      </c>
      <c r="F364" t="s">
        <v>299</v>
      </c>
      <c r="G364" s="17">
        <v>2</v>
      </c>
      <c r="H364" s="18">
        <v>1600</v>
      </c>
      <c r="I364" s="18">
        <v>3</v>
      </c>
      <c r="J364" s="17">
        <f t="shared" si="16"/>
        <v>0.66666666666666663</v>
      </c>
      <c r="K364" s="18">
        <f t="shared" si="15"/>
        <v>1066.6666666666667</v>
      </c>
    </row>
    <row r="365" spans="1:14" hidden="1" x14ac:dyDescent="0.35">
      <c r="A365" t="s">
        <v>232</v>
      </c>
      <c r="B365" s="24" t="str">
        <f t="shared" si="13"/>
        <v>Bún gà nấu nấmMá đùi gà</v>
      </c>
      <c r="C365" s="24" t="s">
        <v>8</v>
      </c>
      <c r="D365" t="s">
        <v>18</v>
      </c>
      <c r="E365" t="s">
        <v>320</v>
      </c>
      <c r="F365" t="s">
        <v>456</v>
      </c>
      <c r="G365" s="17">
        <v>11</v>
      </c>
      <c r="H365" s="18">
        <v>40000</v>
      </c>
      <c r="I365" s="18">
        <v>100</v>
      </c>
      <c r="J365" s="17">
        <f t="shared" si="16"/>
        <v>0.11</v>
      </c>
      <c r="K365" s="18">
        <f t="shared" si="15"/>
        <v>4400</v>
      </c>
    </row>
    <row r="366" spans="1:14" hidden="1" x14ac:dyDescent="0.35">
      <c r="A366" t="s">
        <v>298</v>
      </c>
      <c r="B366" s="24" t="str">
        <f>E366&amp;F366</f>
        <v>Bún gà nấu nấmNấm dai</v>
      </c>
      <c r="C366" s="24" t="s">
        <v>8</v>
      </c>
      <c r="D366" t="s">
        <v>18</v>
      </c>
      <c r="E366" t="s">
        <v>320</v>
      </c>
      <c r="F366" t="s">
        <v>325</v>
      </c>
      <c r="G366" s="17">
        <v>0.02</v>
      </c>
      <c r="H366" s="18">
        <v>16000</v>
      </c>
      <c r="I366" s="18">
        <v>1</v>
      </c>
      <c r="J366" s="17">
        <f t="shared" si="16"/>
        <v>0.02</v>
      </c>
      <c r="K366" s="18">
        <f t="shared" si="15"/>
        <v>320</v>
      </c>
    </row>
    <row r="367" spans="1:14" hidden="1" x14ac:dyDescent="0.35">
      <c r="A367" t="s">
        <v>298</v>
      </c>
      <c r="B367" s="24" t="str">
        <f>E367&amp;F367</f>
        <v>Bún gà nấu nấmNấm đùi gà</v>
      </c>
      <c r="C367" s="24" t="s">
        <v>8</v>
      </c>
      <c r="D367" t="s">
        <v>18</v>
      </c>
      <c r="E367" t="s">
        <v>320</v>
      </c>
      <c r="F367" t="s">
        <v>324</v>
      </c>
      <c r="G367" s="17">
        <v>1.4999999999999999E-2</v>
      </c>
      <c r="H367" s="18">
        <v>40000</v>
      </c>
      <c r="I367" s="18">
        <v>1</v>
      </c>
      <c r="J367" s="17">
        <f t="shared" si="16"/>
        <v>1.4999999999999999E-2</v>
      </c>
      <c r="K367" s="18">
        <f t="shared" si="15"/>
        <v>600</v>
      </c>
      <c r="N367" s="30"/>
    </row>
    <row r="368" spans="1:14" hidden="1" x14ac:dyDescent="0.35">
      <c r="A368" t="s">
        <v>298</v>
      </c>
      <c r="B368" s="24" t="str">
        <f t="shared" ref="B368:B432" si="17">E368&amp;F368</f>
        <v>Bún gà nấu nấmỚt xiêm</v>
      </c>
      <c r="C368" s="24" t="s">
        <v>8</v>
      </c>
      <c r="D368" t="s">
        <v>18</v>
      </c>
      <c r="E368" t="s">
        <v>320</v>
      </c>
      <c r="F368" t="s">
        <v>323</v>
      </c>
      <c r="G368" s="17">
        <v>1</v>
      </c>
      <c r="H368" s="18">
        <v>40000</v>
      </c>
      <c r="I368" s="18">
        <v>100</v>
      </c>
      <c r="J368" s="17">
        <f t="shared" si="16"/>
        <v>0.01</v>
      </c>
      <c r="K368" s="18">
        <f t="shared" si="15"/>
        <v>400</v>
      </c>
    </row>
    <row r="369" spans="1:11" hidden="1" x14ac:dyDescent="0.35">
      <c r="A369" t="s">
        <v>298</v>
      </c>
      <c r="B369" s="24" t="str">
        <f t="shared" si="17"/>
        <v>Bún gà nấu nấmHành lá</v>
      </c>
      <c r="C369" s="24" t="s">
        <v>8</v>
      </c>
      <c r="D369" t="s">
        <v>18</v>
      </c>
      <c r="E369" t="s">
        <v>320</v>
      </c>
      <c r="F369" t="s">
        <v>24</v>
      </c>
      <c r="G369" s="17">
        <v>1</v>
      </c>
      <c r="H369" s="18">
        <v>18000</v>
      </c>
      <c r="I369" s="18">
        <v>100</v>
      </c>
      <c r="J369" s="17">
        <f t="shared" si="16"/>
        <v>0.01</v>
      </c>
      <c r="K369" s="18">
        <f t="shared" si="15"/>
        <v>180</v>
      </c>
    </row>
    <row r="370" spans="1:11" hidden="1" x14ac:dyDescent="0.35">
      <c r="A370" t="s">
        <v>298</v>
      </c>
      <c r="B370" s="24" t="str">
        <f t="shared" si="17"/>
        <v>Bún gà nấu nấmNgò gai</v>
      </c>
      <c r="C370" s="24" t="s">
        <v>8</v>
      </c>
      <c r="D370" t="s">
        <v>18</v>
      </c>
      <c r="E370" t="s">
        <v>320</v>
      </c>
      <c r="F370" t="s">
        <v>101</v>
      </c>
      <c r="G370" s="17">
        <v>0.5</v>
      </c>
      <c r="H370" s="18">
        <v>35000</v>
      </c>
      <c r="I370" s="18">
        <v>100</v>
      </c>
      <c r="J370" s="17">
        <f t="shared" si="16"/>
        <v>5.0000000000000001E-3</v>
      </c>
      <c r="K370" s="18">
        <f t="shared" si="15"/>
        <v>175</v>
      </c>
    </row>
    <row r="371" spans="1:11" hidden="1" x14ac:dyDescent="0.35">
      <c r="A371" t="s">
        <v>298</v>
      </c>
      <c r="B371" s="24" t="str">
        <f t="shared" si="17"/>
        <v>Bún gà nấu nấmHành tây</v>
      </c>
      <c r="C371" s="24" t="s">
        <v>8</v>
      </c>
      <c r="D371" t="s">
        <v>18</v>
      </c>
      <c r="E371" t="s">
        <v>320</v>
      </c>
      <c r="F371" t="s">
        <v>35</v>
      </c>
      <c r="G371" s="17">
        <v>1</v>
      </c>
      <c r="H371" s="18">
        <v>11000</v>
      </c>
      <c r="I371" s="18">
        <v>100</v>
      </c>
      <c r="J371" s="17">
        <f t="shared" si="16"/>
        <v>0.01</v>
      </c>
      <c r="K371" s="18">
        <f t="shared" si="15"/>
        <v>110</v>
      </c>
    </row>
    <row r="372" spans="1:11" hidden="1" x14ac:dyDescent="0.35">
      <c r="A372" t="s">
        <v>298</v>
      </c>
      <c r="B372" s="24" t="str">
        <f t="shared" si="17"/>
        <v>Bún gà nấu nấmCủ cải</v>
      </c>
      <c r="C372" s="24" t="s">
        <v>8</v>
      </c>
      <c r="D372" t="s">
        <v>18</v>
      </c>
      <c r="E372" t="s">
        <v>320</v>
      </c>
      <c r="F372" t="s">
        <v>202</v>
      </c>
      <c r="G372" s="17">
        <v>2</v>
      </c>
      <c r="H372" s="18">
        <v>10000</v>
      </c>
      <c r="I372" s="18">
        <v>100</v>
      </c>
      <c r="J372" s="17">
        <f t="shared" si="16"/>
        <v>0.02</v>
      </c>
      <c r="K372" s="18">
        <f t="shared" si="15"/>
        <v>200</v>
      </c>
    </row>
    <row r="373" spans="1:11" hidden="1" x14ac:dyDescent="0.35">
      <c r="A373" t="s">
        <v>298</v>
      </c>
      <c r="B373" s="24" t="str">
        <f t="shared" si="17"/>
        <v>Bún gà nấu nấmCà rốt</v>
      </c>
      <c r="C373" s="24" t="s">
        <v>8</v>
      </c>
      <c r="D373" t="s">
        <v>18</v>
      </c>
      <c r="E373" t="s">
        <v>320</v>
      </c>
      <c r="F373" t="s">
        <v>78</v>
      </c>
      <c r="G373" s="17">
        <v>2</v>
      </c>
      <c r="H373" s="18">
        <v>16000</v>
      </c>
      <c r="I373" s="18">
        <v>100</v>
      </c>
      <c r="J373" s="17">
        <f t="shared" si="16"/>
        <v>0.02</v>
      </c>
      <c r="K373" s="18">
        <f t="shared" si="15"/>
        <v>320</v>
      </c>
    </row>
    <row r="374" spans="1:11" hidden="1" x14ac:dyDescent="0.35">
      <c r="A374" t="s">
        <v>298</v>
      </c>
      <c r="B374" s="24" t="str">
        <f t="shared" si="17"/>
        <v>Bún gà nấu nấmChanh</v>
      </c>
      <c r="C374" s="24" t="s">
        <v>8</v>
      </c>
      <c r="D374" t="s">
        <v>18</v>
      </c>
      <c r="E374" t="s">
        <v>320</v>
      </c>
      <c r="F374" t="s">
        <v>25</v>
      </c>
      <c r="G374" s="17">
        <v>0.8</v>
      </c>
      <c r="H374" s="18">
        <v>26000</v>
      </c>
      <c r="I374" s="18">
        <v>100</v>
      </c>
      <c r="J374" s="17">
        <f t="shared" si="16"/>
        <v>8.0000000000000002E-3</v>
      </c>
      <c r="K374" s="18">
        <f t="shared" si="15"/>
        <v>208</v>
      </c>
    </row>
    <row r="375" spans="1:11" hidden="1" x14ac:dyDescent="0.35">
      <c r="A375" t="s">
        <v>232</v>
      </c>
      <c r="B375" s="24" t="str">
        <f t="shared" si="17"/>
        <v>Thịt heo kho chảThịt  heo nọng</v>
      </c>
      <c r="C375" s="24" t="s">
        <v>8</v>
      </c>
      <c r="D375" t="s">
        <v>18</v>
      </c>
      <c r="E375" t="s">
        <v>321</v>
      </c>
      <c r="F375" t="s">
        <v>322</v>
      </c>
      <c r="G375" s="17">
        <v>3.5</v>
      </c>
      <c r="H375" s="18">
        <v>65000</v>
      </c>
      <c r="I375" s="18">
        <v>100</v>
      </c>
      <c r="J375" s="17">
        <f t="shared" si="16"/>
        <v>3.5000000000000003E-2</v>
      </c>
      <c r="K375" s="18">
        <f t="shared" si="15"/>
        <v>2275</v>
      </c>
    </row>
    <row r="376" spans="1:11" hidden="1" x14ac:dyDescent="0.35">
      <c r="A376" t="s">
        <v>232</v>
      </c>
      <c r="B376" s="24" t="str">
        <f t="shared" si="17"/>
        <v>Thịt heo kho chảChả cá tấm chiên</v>
      </c>
      <c r="C376" s="24" t="s">
        <v>8</v>
      </c>
      <c r="D376" t="s">
        <v>18</v>
      </c>
      <c r="E376" t="s">
        <v>321</v>
      </c>
      <c r="F376" t="s">
        <v>268</v>
      </c>
      <c r="G376" s="17">
        <v>2.5</v>
      </c>
      <c r="H376" s="18">
        <v>85000</v>
      </c>
      <c r="I376" s="18">
        <v>100</v>
      </c>
      <c r="J376" s="17">
        <f t="shared" si="16"/>
        <v>2.5000000000000001E-2</v>
      </c>
      <c r="K376" s="18">
        <f t="shared" si="15"/>
        <v>2125</v>
      </c>
    </row>
    <row r="377" spans="1:11" hidden="1" x14ac:dyDescent="0.35">
      <c r="A377" s="24" t="s">
        <v>232</v>
      </c>
      <c r="B377" s="24" t="str">
        <f t="shared" si="17"/>
        <v>Mỳ Thịt xíu trứngHeo đùi mông</v>
      </c>
      <c r="C377" s="24" t="s">
        <v>8</v>
      </c>
      <c r="D377" t="s">
        <v>20</v>
      </c>
      <c r="E377" t="s">
        <v>326</v>
      </c>
      <c r="F377" t="s">
        <v>30</v>
      </c>
      <c r="G377" s="17">
        <v>6.5</v>
      </c>
      <c r="H377" s="18">
        <v>100000</v>
      </c>
      <c r="I377" s="18">
        <v>100</v>
      </c>
      <c r="J377" s="17">
        <f>G377/I377</f>
        <v>6.5000000000000002E-2</v>
      </c>
      <c r="K377" s="18">
        <f t="shared" si="15"/>
        <v>6500</v>
      </c>
    </row>
    <row r="378" spans="1:11" hidden="1" x14ac:dyDescent="0.35">
      <c r="A378" s="24" t="s">
        <v>232</v>
      </c>
      <c r="B378" s="24" t="str">
        <f t="shared" si="17"/>
        <v>Mỳ Thịt xíu trứngchả heo chiên</v>
      </c>
      <c r="C378" s="24" t="s">
        <v>8</v>
      </c>
      <c r="D378" t="s">
        <v>20</v>
      </c>
      <c r="E378" t="s">
        <v>326</v>
      </c>
      <c r="F378" t="s">
        <v>517</v>
      </c>
      <c r="G378" s="17">
        <v>3</v>
      </c>
      <c r="H378" s="18">
        <v>140000</v>
      </c>
      <c r="I378" s="18">
        <v>100</v>
      </c>
      <c r="J378" s="17">
        <f>G378/I378</f>
        <v>0.03</v>
      </c>
      <c r="K378" s="18">
        <f t="shared" si="15"/>
        <v>4200</v>
      </c>
    </row>
    <row r="379" spans="1:11" hidden="1" x14ac:dyDescent="0.35">
      <c r="A379" s="24" t="s">
        <v>232</v>
      </c>
      <c r="B379" s="24" t="str">
        <f t="shared" si="17"/>
        <v>Mỳ Thịt xíu trứngTrứng cút lột sẵn</v>
      </c>
      <c r="C379" s="24" t="s">
        <v>8</v>
      </c>
      <c r="D379" t="s">
        <v>20</v>
      </c>
      <c r="E379" t="s">
        <v>326</v>
      </c>
      <c r="F379" t="s">
        <v>390</v>
      </c>
      <c r="G379" s="17">
        <v>300</v>
      </c>
      <c r="H379" s="18">
        <v>600</v>
      </c>
      <c r="I379" s="18">
        <v>100</v>
      </c>
      <c r="J379" s="17">
        <f t="shared" ref="J379:J442" si="18">G379/I379</f>
        <v>3</v>
      </c>
      <c r="K379" s="18">
        <f t="shared" si="15"/>
        <v>1800</v>
      </c>
    </row>
    <row r="380" spans="1:11" hidden="1" x14ac:dyDescent="0.35">
      <c r="A380" s="24" t="s">
        <v>233</v>
      </c>
      <c r="B380" s="24" t="str">
        <f t="shared" si="17"/>
        <v>Mỳ Thịt xíu trứngBánh phồng tôm</v>
      </c>
      <c r="C380" s="24" t="s">
        <v>8</v>
      </c>
      <c r="D380" t="s">
        <v>20</v>
      </c>
      <c r="E380" t="s">
        <v>326</v>
      </c>
      <c r="F380" t="s">
        <v>426</v>
      </c>
      <c r="G380" s="17">
        <v>3</v>
      </c>
      <c r="H380" s="18">
        <v>10000</v>
      </c>
      <c r="I380" s="18">
        <v>100</v>
      </c>
      <c r="J380" s="17">
        <f t="shared" si="18"/>
        <v>0.03</v>
      </c>
      <c r="K380" s="18">
        <f t="shared" si="15"/>
        <v>300</v>
      </c>
    </row>
    <row r="381" spans="1:11" hidden="1" x14ac:dyDescent="0.35">
      <c r="A381" s="24" t="s">
        <v>233</v>
      </c>
      <c r="B381" s="24" t="str">
        <f t="shared" si="17"/>
        <v xml:space="preserve">Mỳ Thịt xíu trứngXà lách </v>
      </c>
      <c r="C381" s="24" t="s">
        <v>8</v>
      </c>
      <c r="D381" t="s">
        <v>20</v>
      </c>
      <c r="E381" t="s">
        <v>326</v>
      </c>
      <c r="F381" t="s">
        <v>38</v>
      </c>
      <c r="G381" s="17">
        <v>2</v>
      </c>
      <c r="H381" s="18">
        <v>22000</v>
      </c>
      <c r="I381" s="18">
        <v>100</v>
      </c>
      <c r="J381" s="17">
        <f t="shared" si="18"/>
        <v>0.02</v>
      </c>
      <c r="K381" s="18">
        <f t="shared" si="15"/>
        <v>440</v>
      </c>
    </row>
    <row r="382" spans="1:11" hidden="1" x14ac:dyDescent="0.35">
      <c r="A382" s="24" t="s">
        <v>233</v>
      </c>
      <c r="B382" s="24" t="str">
        <f t="shared" si="17"/>
        <v>Mỳ Thịt xíu trứngSu trắng</v>
      </c>
      <c r="C382" s="24" t="s">
        <v>8</v>
      </c>
      <c r="D382" t="s">
        <v>20</v>
      </c>
      <c r="E382" t="s">
        <v>326</v>
      </c>
      <c r="F382" t="s">
        <v>39</v>
      </c>
      <c r="G382" s="17">
        <v>1</v>
      </c>
      <c r="H382" s="18">
        <v>10000</v>
      </c>
      <c r="I382" s="18">
        <v>100</v>
      </c>
      <c r="J382" s="17">
        <f t="shared" si="18"/>
        <v>0.01</v>
      </c>
      <c r="K382" s="18">
        <f t="shared" si="15"/>
        <v>100</v>
      </c>
    </row>
    <row r="383" spans="1:11" hidden="1" x14ac:dyDescent="0.35">
      <c r="A383" s="24" t="s">
        <v>233</v>
      </c>
      <c r="B383" s="24" t="str">
        <f t="shared" si="17"/>
        <v>Mỳ Thịt xíu trứngGiá</v>
      </c>
      <c r="C383" s="24" t="s">
        <v>8</v>
      </c>
      <c r="D383" t="s">
        <v>20</v>
      </c>
      <c r="E383" t="s">
        <v>326</v>
      </c>
      <c r="F383" s="24" t="s">
        <v>26</v>
      </c>
      <c r="G383" s="17">
        <v>2.5</v>
      </c>
      <c r="H383" s="18">
        <v>10000</v>
      </c>
      <c r="I383" s="18">
        <v>100</v>
      </c>
      <c r="J383" s="17">
        <f t="shared" si="18"/>
        <v>2.5000000000000001E-2</v>
      </c>
      <c r="K383" s="18">
        <f t="shared" si="15"/>
        <v>250</v>
      </c>
    </row>
    <row r="384" spans="1:11" hidden="1" x14ac:dyDescent="0.35">
      <c r="A384" s="24" t="s">
        <v>233</v>
      </c>
      <c r="B384" s="24" t="str">
        <f t="shared" si="17"/>
        <v>Mỳ Thịt xíu trứngHành lá</v>
      </c>
      <c r="C384" s="24" t="s">
        <v>8</v>
      </c>
      <c r="D384" t="s">
        <v>20</v>
      </c>
      <c r="E384" t="s">
        <v>326</v>
      </c>
      <c r="F384" t="s">
        <v>24</v>
      </c>
      <c r="G384" s="17">
        <v>0.4</v>
      </c>
      <c r="H384" s="18">
        <v>20000</v>
      </c>
      <c r="I384" s="18">
        <v>100</v>
      </c>
      <c r="J384" s="17">
        <f t="shared" si="18"/>
        <v>4.0000000000000001E-3</v>
      </c>
      <c r="K384" s="18">
        <f t="shared" si="15"/>
        <v>80</v>
      </c>
    </row>
    <row r="385" spans="1:11" hidden="1" x14ac:dyDescent="0.35">
      <c r="A385" s="24" t="s">
        <v>233</v>
      </c>
      <c r="B385" s="24" t="str">
        <f t="shared" si="17"/>
        <v>Mỳ Thịt xíu trứngNgò gai</v>
      </c>
      <c r="C385" s="24" t="s">
        <v>8</v>
      </c>
      <c r="D385" t="s">
        <v>20</v>
      </c>
      <c r="E385" t="s">
        <v>326</v>
      </c>
      <c r="F385" t="s">
        <v>101</v>
      </c>
      <c r="G385" s="17">
        <v>0.2</v>
      </c>
      <c r="H385" s="18">
        <v>35000</v>
      </c>
      <c r="I385" s="18">
        <v>100</v>
      </c>
      <c r="J385" s="17">
        <f t="shared" si="18"/>
        <v>2E-3</v>
      </c>
      <c r="K385" s="18">
        <f t="shared" si="15"/>
        <v>70</v>
      </c>
    </row>
    <row r="386" spans="1:11" hidden="1" x14ac:dyDescent="0.35">
      <c r="A386" s="24" t="s">
        <v>233</v>
      </c>
      <c r="B386" s="24" t="str">
        <f t="shared" si="17"/>
        <v>Mỳ Thịt xíu trứngQuế</v>
      </c>
      <c r="C386" s="24" t="s">
        <v>8</v>
      </c>
      <c r="D386" t="s">
        <v>20</v>
      </c>
      <c r="E386" t="s">
        <v>326</v>
      </c>
      <c r="F386" t="s">
        <v>40</v>
      </c>
      <c r="G386" s="17">
        <v>0.3</v>
      </c>
      <c r="H386" s="18">
        <v>30000</v>
      </c>
      <c r="I386" s="18">
        <v>100</v>
      </c>
      <c r="J386" s="17">
        <f t="shared" si="18"/>
        <v>3.0000000000000001E-3</v>
      </c>
      <c r="K386" s="18">
        <f t="shared" si="15"/>
        <v>90</v>
      </c>
    </row>
    <row r="387" spans="1:11" hidden="1" x14ac:dyDescent="0.35">
      <c r="A387" s="24" t="s">
        <v>233</v>
      </c>
      <c r="B387" s="24" t="str">
        <f t="shared" si="17"/>
        <v>Mỳ Thịt xíu trứngChanh</v>
      </c>
      <c r="C387" s="24" t="s">
        <v>8</v>
      </c>
      <c r="D387" t="s">
        <v>20</v>
      </c>
      <c r="E387" t="s">
        <v>326</v>
      </c>
      <c r="F387" t="s">
        <v>25</v>
      </c>
      <c r="G387" s="17">
        <v>0.8</v>
      </c>
      <c r="H387" s="18">
        <v>26000</v>
      </c>
      <c r="I387" s="18">
        <v>100</v>
      </c>
      <c r="J387" s="17">
        <f t="shared" si="18"/>
        <v>8.0000000000000002E-3</v>
      </c>
      <c r="K387" s="18">
        <f t="shared" si="15"/>
        <v>208</v>
      </c>
    </row>
    <row r="388" spans="1:11" hidden="1" x14ac:dyDescent="0.35">
      <c r="A388" s="24" t="s">
        <v>233</v>
      </c>
      <c r="B388" s="24" t="str">
        <f t="shared" si="17"/>
        <v>Heo xào đậu veđậu ve</v>
      </c>
      <c r="C388" s="24" t="s">
        <v>8</v>
      </c>
      <c r="D388" t="s">
        <v>491</v>
      </c>
      <c r="E388" t="s">
        <v>329</v>
      </c>
      <c r="F388" t="s">
        <v>459</v>
      </c>
      <c r="G388" s="17">
        <v>5</v>
      </c>
      <c r="H388" s="18">
        <v>25000</v>
      </c>
      <c r="I388" s="18">
        <v>100</v>
      </c>
      <c r="J388" s="17">
        <f t="shared" si="18"/>
        <v>0.05</v>
      </c>
      <c r="K388" s="18">
        <f t="shared" si="15"/>
        <v>1250</v>
      </c>
    </row>
    <row r="389" spans="1:11" hidden="1" x14ac:dyDescent="0.35">
      <c r="A389" s="24" t="s">
        <v>233</v>
      </c>
      <c r="B389" s="24" t="str">
        <f t="shared" si="17"/>
        <v>Heo xào đậu venạc vai</v>
      </c>
      <c r="C389" s="24" t="s">
        <v>8</v>
      </c>
      <c r="D389" t="s">
        <v>491</v>
      </c>
      <c r="E389" t="s">
        <v>329</v>
      </c>
      <c r="F389" s="24" t="s">
        <v>443</v>
      </c>
      <c r="G389" s="17">
        <v>2</v>
      </c>
      <c r="H389" s="18">
        <v>85000</v>
      </c>
      <c r="I389" s="18">
        <v>100</v>
      </c>
      <c r="J389" s="17">
        <f t="shared" si="18"/>
        <v>0.02</v>
      </c>
      <c r="K389" s="18">
        <f t="shared" si="15"/>
        <v>1700</v>
      </c>
    </row>
    <row r="390" spans="1:11" hidden="1" x14ac:dyDescent="0.35">
      <c r="A390" s="24" t="s">
        <v>232</v>
      </c>
      <c r="B390" s="24" t="str">
        <f t="shared" si="17"/>
        <v>Heo xào đậu veba chỉ lóc sườn</v>
      </c>
      <c r="C390" s="24" t="s">
        <v>8</v>
      </c>
      <c r="D390" t="s">
        <v>19</v>
      </c>
      <c r="E390" t="s">
        <v>329</v>
      </c>
      <c r="F390" t="s">
        <v>460</v>
      </c>
      <c r="G390" s="17">
        <v>1.5</v>
      </c>
      <c r="H390" s="18">
        <v>90000</v>
      </c>
      <c r="I390" s="18">
        <v>100</v>
      </c>
      <c r="J390" s="17">
        <f t="shared" si="18"/>
        <v>1.4999999999999999E-2</v>
      </c>
      <c r="K390" s="18">
        <f t="shared" si="15"/>
        <v>1350</v>
      </c>
    </row>
    <row r="391" spans="1:11" hidden="1" x14ac:dyDescent="0.35">
      <c r="A391" s="24" t="s">
        <v>233</v>
      </c>
      <c r="B391" s="24" t="str">
        <f t="shared" si="17"/>
        <v>Rau má nấu tômRau má</v>
      </c>
      <c r="C391" s="24" t="s">
        <v>8</v>
      </c>
      <c r="D391" t="s">
        <v>12</v>
      </c>
      <c r="E391" t="s">
        <v>330</v>
      </c>
      <c r="F391" s="24" t="s">
        <v>119</v>
      </c>
      <c r="G391" s="17">
        <v>18</v>
      </c>
      <c r="H391" s="18">
        <v>18000</v>
      </c>
      <c r="I391" s="18">
        <v>520</v>
      </c>
      <c r="J391" s="17">
        <f t="shared" si="18"/>
        <v>3.4615384615384617E-2</v>
      </c>
      <c r="K391" s="18">
        <f t="shared" si="15"/>
        <v>623.07692307692309</v>
      </c>
    </row>
    <row r="392" spans="1:11" hidden="1" x14ac:dyDescent="0.35">
      <c r="A392" s="24" t="s">
        <v>232</v>
      </c>
      <c r="B392" s="24" t="str">
        <f t="shared" si="17"/>
        <v>Rau má nấu tômTôm</v>
      </c>
      <c r="C392" s="24" t="s">
        <v>8</v>
      </c>
      <c r="D392" t="s">
        <v>12</v>
      </c>
      <c r="E392" t="s">
        <v>330</v>
      </c>
      <c r="F392" t="s">
        <v>37</v>
      </c>
      <c r="G392" s="17">
        <v>1.5</v>
      </c>
      <c r="H392" s="18">
        <v>130000</v>
      </c>
      <c r="I392" s="18">
        <v>500</v>
      </c>
      <c r="J392" s="17">
        <f t="shared" si="18"/>
        <v>3.0000000000000001E-3</v>
      </c>
      <c r="K392" s="18">
        <f t="shared" si="15"/>
        <v>390</v>
      </c>
    </row>
    <row r="393" spans="1:11" hidden="1" x14ac:dyDescent="0.35">
      <c r="A393" s="24" t="s">
        <v>232</v>
      </c>
      <c r="B393" s="24" t="str">
        <f t="shared" si="17"/>
        <v>Cơm thịt xá xíuHeo đùi mông</v>
      </c>
      <c r="C393" s="24" t="s">
        <v>8</v>
      </c>
      <c r="D393" t="s">
        <v>18</v>
      </c>
      <c r="E393" t="s">
        <v>331</v>
      </c>
      <c r="F393" t="s">
        <v>30</v>
      </c>
      <c r="G393" s="17">
        <v>6</v>
      </c>
      <c r="H393" s="18">
        <v>100000</v>
      </c>
      <c r="I393" s="18">
        <v>100</v>
      </c>
      <c r="J393" s="17">
        <f t="shared" si="18"/>
        <v>0.06</v>
      </c>
      <c r="K393" s="18">
        <f t="shared" si="15"/>
        <v>6000</v>
      </c>
    </row>
    <row r="394" spans="1:11" hidden="1" x14ac:dyDescent="0.35">
      <c r="A394" s="24" t="s">
        <v>233</v>
      </c>
      <c r="B394" s="24" t="str">
        <f t="shared" si="17"/>
        <v>Cơm thịt xá xíuCà chua</v>
      </c>
      <c r="C394" s="24" t="s">
        <v>8</v>
      </c>
      <c r="D394" t="s">
        <v>18</v>
      </c>
      <c r="E394" t="s">
        <v>331</v>
      </c>
      <c r="F394" t="s">
        <v>14</v>
      </c>
      <c r="G394" s="17">
        <v>2</v>
      </c>
      <c r="H394" s="18">
        <v>20000</v>
      </c>
      <c r="I394" s="18">
        <v>100</v>
      </c>
      <c r="J394" s="17">
        <f t="shared" si="18"/>
        <v>0.02</v>
      </c>
      <c r="K394" s="18">
        <f t="shared" si="15"/>
        <v>400</v>
      </c>
    </row>
    <row r="395" spans="1:11" hidden="1" x14ac:dyDescent="0.35">
      <c r="A395" s="24" t="s">
        <v>233</v>
      </c>
      <c r="B395" s="24" t="str">
        <f t="shared" si="17"/>
        <v>Cơm thịt xá xíuDưa leo</v>
      </c>
      <c r="C395" s="24" t="s">
        <v>8</v>
      </c>
      <c r="D395" t="s">
        <v>18</v>
      </c>
      <c r="E395" t="s">
        <v>331</v>
      </c>
      <c r="F395" t="s">
        <v>301</v>
      </c>
      <c r="G395" s="17">
        <v>3</v>
      </c>
      <c r="H395" s="18">
        <v>10000</v>
      </c>
      <c r="I395" s="18">
        <v>100</v>
      </c>
      <c r="J395" s="17">
        <f t="shared" si="18"/>
        <v>0.03</v>
      </c>
      <c r="K395" s="18">
        <f t="shared" si="15"/>
        <v>300</v>
      </c>
    </row>
    <row r="396" spans="1:11" hidden="1" x14ac:dyDescent="0.35">
      <c r="A396" s="24" t="s">
        <v>232</v>
      </c>
      <c r="B396" s="24" t="str">
        <f t="shared" si="17"/>
        <v>Cơm thịt xá xíuTrứng gà</v>
      </c>
      <c r="C396" s="24" t="s">
        <v>8</v>
      </c>
      <c r="D396" t="s">
        <v>18</v>
      </c>
      <c r="E396" t="s">
        <v>331</v>
      </c>
      <c r="F396" t="s">
        <v>13</v>
      </c>
      <c r="G396" s="17">
        <v>100</v>
      </c>
      <c r="H396" s="18">
        <v>2200</v>
      </c>
      <c r="I396" s="18">
        <v>100</v>
      </c>
      <c r="J396" s="17">
        <f t="shared" si="18"/>
        <v>1</v>
      </c>
      <c r="K396" s="18">
        <f t="shared" si="15"/>
        <v>2200</v>
      </c>
    </row>
    <row r="397" spans="1:11" hidden="1" x14ac:dyDescent="0.35">
      <c r="A397" s="24" t="s">
        <v>233</v>
      </c>
      <c r="B397" s="24" t="str">
        <f t="shared" si="17"/>
        <v>Cơm thịt xá xíuRong biển khô</v>
      </c>
      <c r="C397" s="24" t="s">
        <v>8</v>
      </c>
      <c r="D397" t="s">
        <v>18</v>
      </c>
      <c r="E397" t="s">
        <v>331</v>
      </c>
      <c r="F397" t="s">
        <v>332</v>
      </c>
      <c r="G397" s="17">
        <v>0.5</v>
      </c>
      <c r="H397" s="18">
        <v>200000</v>
      </c>
      <c r="I397" s="18">
        <v>150</v>
      </c>
      <c r="J397" s="17">
        <f t="shared" si="18"/>
        <v>3.3333333333333335E-3</v>
      </c>
      <c r="K397" s="18">
        <f t="shared" si="15"/>
        <v>666.66666666666663</v>
      </c>
    </row>
    <row r="398" spans="1:11" hidden="1" x14ac:dyDescent="0.35">
      <c r="A398" s="24" t="s">
        <v>232</v>
      </c>
      <c r="B398" s="24" t="str">
        <f t="shared" si="17"/>
        <v>Cơm thịt xá xíuTôm</v>
      </c>
      <c r="C398" s="24" t="s">
        <v>8</v>
      </c>
      <c r="D398" t="s">
        <v>18</v>
      </c>
      <c r="E398" t="s">
        <v>331</v>
      </c>
      <c r="F398" t="s">
        <v>37</v>
      </c>
      <c r="G398" s="17">
        <v>0.5</v>
      </c>
      <c r="H398" s="18">
        <v>130000</v>
      </c>
      <c r="I398" s="18">
        <v>150</v>
      </c>
      <c r="J398" s="17">
        <f t="shared" si="18"/>
        <v>3.3333333333333335E-3</v>
      </c>
      <c r="K398" s="18">
        <f t="shared" si="15"/>
        <v>433.33333333333331</v>
      </c>
    </row>
    <row r="399" spans="1:11" hidden="1" x14ac:dyDescent="0.35">
      <c r="A399" s="24" t="s">
        <v>232</v>
      </c>
      <c r="B399" s="24" t="str">
        <f t="shared" si="17"/>
        <v>Tim heo xào măngTim heo</v>
      </c>
      <c r="C399" s="24" t="s">
        <v>8</v>
      </c>
      <c r="D399" t="s">
        <v>19</v>
      </c>
      <c r="E399" t="s">
        <v>334</v>
      </c>
      <c r="F399" t="s">
        <v>333</v>
      </c>
      <c r="G399" s="17">
        <v>0.05</v>
      </c>
      <c r="H399" s="18">
        <v>50000</v>
      </c>
      <c r="I399" s="18">
        <v>1</v>
      </c>
      <c r="J399" s="17">
        <f t="shared" si="18"/>
        <v>0.05</v>
      </c>
      <c r="K399" s="18">
        <f t="shared" si="15"/>
        <v>2500</v>
      </c>
    </row>
    <row r="400" spans="1:11" hidden="1" x14ac:dyDescent="0.35">
      <c r="A400" s="24" t="s">
        <v>233</v>
      </c>
      <c r="B400" s="24" t="str">
        <f t="shared" si="17"/>
        <v>Tim heo xào măngMăng vàng</v>
      </c>
      <c r="C400" s="24" t="s">
        <v>8</v>
      </c>
      <c r="D400" t="s">
        <v>19</v>
      </c>
      <c r="E400" t="s">
        <v>334</v>
      </c>
      <c r="F400" t="s">
        <v>136</v>
      </c>
      <c r="G400" s="17">
        <v>0.05</v>
      </c>
      <c r="H400" s="18">
        <v>25000</v>
      </c>
      <c r="I400" s="18">
        <v>1</v>
      </c>
      <c r="J400" s="17">
        <f t="shared" si="18"/>
        <v>0.05</v>
      </c>
      <c r="K400" s="18">
        <f t="shared" si="15"/>
        <v>1250</v>
      </c>
    </row>
    <row r="401" spans="1:14" hidden="1" x14ac:dyDescent="0.35">
      <c r="A401" s="24" t="s">
        <v>232</v>
      </c>
      <c r="B401" s="24" t="str">
        <f t="shared" si="17"/>
        <v>Thịt heo ngâm mắmHeo đùi mông</v>
      </c>
      <c r="C401" s="24" t="s">
        <v>8</v>
      </c>
      <c r="D401" t="s">
        <v>18</v>
      </c>
      <c r="E401" t="s">
        <v>337</v>
      </c>
      <c r="F401" t="s">
        <v>30</v>
      </c>
      <c r="G401" s="17">
        <v>4.5</v>
      </c>
      <c r="H401" s="18">
        <v>100000</v>
      </c>
      <c r="I401" s="18">
        <v>100</v>
      </c>
      <c r="J401" s="17">
        <f t="shared" si="18"/>
        <v>4.4999999999999998E-2</v>
      </c>
      <c r="K401" s="18">
        <f t="shared" si="15"/>
        <v>4500</v>
      </c>
    </row>
    <row r="402" spans="1:14" hidden="1" x14ac:dyDescent="0.35">
      <c r="A402" s="24" t="s">
        <v>232</v>
      </c>
      <c r="B402" s="24" t="str">
        <f t="shared" si="17"/>
        <v>Chả cá chiên sả ớtChả cá tấm</v>
      </c>
      <c r="C402" s="24" t="s">
        <v>8</v>
      </c>
      <c r="D402" t="s">
        <v>19</v>
      </c>
      <c r="E402" t="s">
        <v>338</v>
      </c>
      <c r="F402" t="s">
        <v>339</v>
      </c>
      <c r="G402" s="17">
        <v>3.5</v>
      </c>
      <c r="H402" s="18">
        <v>90000</v>
      </c>
      <c r="I402" s="18">
        <v>100</v>
      </c>
      <c r="J402" s="17">
        <f t="shared" si="18"/>
        <v>3.5000000000000003E-2</v>
      </c>
      <c r="K402" s="18">
        <f t="shared" si="15"/>
        <v>3150</v>
      </c>
    </row>
    <row r="403" spans="1:14" hidden="1" x14ac:dyDescent="0.35">
      <c r="A403" s="24" t="s">
        <v>233</v>
      </c>
      <c r="B403" s="24" t="str">
        <f t="shared" si="17"/>
        <v>Chả cá chiên sả ớtSả</v>
      </c>
      <c r="C403" s="24" t="s">
        <v>8</v>
      </c>
      <c r="D403" t="s">
        <v>19</v>
      </c>
      <c r="E403" t="s">
        <v>338</v>
      </c>
      <c r="F403" t="s">
        <v>207</v>
      </c>
      <c r="G403" s="17">
        <v>0.5</v>
      </c>
      <c r="H403" s="18">
        <v>10000</v>
      </c>
      <c r="I403" s="18">
        <v>100</v>
      </c>
      <c r="J403" s="17">
        <f t="shared" si="18"/>
        <v>5.0000000000000001E-3</v>
      </c>
      <c r="K403" s="18">
        <f t="shared" si="15"/>
        <v>50</v>
      </c>
    </row>
    <row r="404" spans="1:14" hidden="1" x14ac:dyDescent="0.35">
      <c r="A404" s="24" t="s">
        <v>233</v>
      </c>
      <c r="B404" s="24" t="str">
        <f t="shared" si="17"/>
        <v>Canh chuaMăng chua</v>
      </c>
      <c r="C404" s="24" t="s">
        <v>8</v>
      </c>
      <c r="D404" t="s">
        <v>12</v>
      </c>
      <c r="E404" t="s">
        <v>340</v>
      </c>
      <c r="F404" t="s">
        <v>189</v>
      </c>
      <c r="G404" s="17">
        <v>2</v>
      </c>
      <c r="H404" s="18">
        <v>25000</v>
      </c>
      <c r="I404" s="18">
        <v>130</v>
      </c>
      <c r="J404" s="17">
        <f t="shared" si="18"/>
        <v>1.5384615384615385E-2</v>
      </c>
      <c r="K404" s="18">
        <f t="shared" si="15"/>
        <v>384.61538461538464</v>
      </c>
    </row>
    <row r="405" spans="1:14" hidden="1" x14ac:dyDescent="0.35">
      <c r="A405" s="24" t="s">
        <v>233</v>
      </c>
      <c r="B405" s="24" t="str">
        <f t="shared" si="17"/>
        <v>Canh chuaThơm</v>
      </c>
      <c r="C405" s="24" t="s">
        <v>8</v>
      </c>
      <c r="D405" t="s">
        <v>12</v>
      </c>
      <c r="E405" t="s">
        <v>340</v>
      </c>
      <c r="F405" t="s">
        <v>4</v>
      </c>
      <c r="G405" s="17">
        <v>1.5</v>
      </c>
      <c r="H405" s="18">
        <v>18000</v>
      </c>
      <c r="I405" s="18">
        <v>130</v>
      </c>
      <c r="J405" s="17">
        <f t="shared" si="18"/>
        <v>1.1538461538461539E-2</v>
      </c>
      <c r="K405" s="18">
        <f t="shared" si="15"/>
        <v>207.69230769230768</v>
      </c>
    </row>
    <row r="406" spans="1:14" hidden="1" x14ac:dyDescent="0.35">
      <c r="A406" s="24" t="s">
        <v>233</v>
      </c>
      <c r="B406" s="24" t="str">
        <f t="shared" si="17"/>
        <v>Canh chuaCà chua</v>
      </c>
      <c r="C406" s="24" t="s">
        <v>8</v>
      </c>
      <c r="D406" t="s">
        <v>12</v>
      </c>
      <c r="E406" t="s">
        <v>340</v>
      </c>
      <c r="F406" t="s">
        <v>14</v>
      </c>
      <c r="G406" s="17">
        <v>1</v>
      </c>
      <c r="H406" s="18">
        <v>25000</v>
      </c>
      <c r="I406" s="18">
        <v>130</v>
      </c>
      <c r="J406" s="17">
        <f t="shared" si="18"/>
        <v>7.6923076923076927E-3</v>
      </c>
      <c r="K406" s="18">
        <f t="shared" si="15"/>
        <v>192.30769230769232</v>
      </c>
      <c r="N406" s="30"/>
    </row>
    <row r="407" spans="1:14" hidden="1" x14ac:dyDescent="0.35">
      <c r="A407" s="24" t="s">
        <v>233</v>
      </c>
      <c r="B407" s="24" t="str">
        <f t="shared" si="17"/>
        <v>Canh chuaRau ngũ điếc</v>
      </c>
      <c r="C407" s="24" t="s">
        <v>8</v>
      </c>
      <c r="D407" t="s">
        <v>12</v>
      </c>
      <c r="E407" t="s">
        <v>340</v>
      </c>
      <c r="F407" t="s">
        <v>336</v>
      </c>
      <c r="G407" s="17">
        <v>0.5</v>
      </c>
      <c r="H407" s="18">
        <v>30000</v>
      </c>
      <c r="I407" s="18">
        <v>130</v>
      </c>
      <c r="J407" s="17">
        <f t="shared" si="18"/>
        <v>3.8461538461538464E-3</v>
      </c>
      <c r="K407" s="18">
        <f t="shared" si="15"/>
        <v>115.38461538461539</v>
      </c>
    </row>
    <row r="408" spans="1:14" hidden="1" x14ac:dyDescent="0.35">
      <c r="A408" s="24" t="s">
        <v>233</v>
      </c>
      <c r="B408" s="24" t="str">
        <f t="shared" si="17"/>
        <v>Canh chuaHành lá</v>
      </c>
      <c r="C408" s="24" t="s">
        <v>8</v>
      </c>
      <c r="D408" t="s">
        <v>12</v>
      </c>
      <c r="E408" t="s">
        <v>340</v>
      </c>
      <c r="F408" t="s">
        <v>24</v>
      </c>
      <c r="G408" s="17">
        <v>0.5</v>
      </c>
      <c r="H408" s="18">
        <v>25000</v>
      </c>
      <c r="I408" s="18">
        <v>130</v>
      </c>
      <c r="J408" s="17">
        <f t="shared" si="18"/>
        <v>3.8461538461538464E-3</v>
      </c>
      <c r="K408" s="18">
        <f t="shared" si="15"/>
        <v>96.15384615384616</v>
      </c>
    </row>
    <row r="409" spans="1:14" hidden="1" x14ac:dyDescent="0.35">
      <c r="A409" s="24" t="s">
        <v>233</v>
      </c>
      <c r="B409" s="24" t="str">
        <f t="shared" si="17"/>
        <v>Mít non nấu tômMít non</v>
      </c>
      <c r="C409" s="24" t="s">
        <v>8</v>
      </c>
      <c r="D409" t="s">
        <v>12</v>
      </c>
      <c r="E409" t="s">
        <v>342</v>
      </c>
      <c r="F409" t="s">
        <v>343</v>
      </c>
      <c r="G409" s="17">
        <v>22</v>
      </c>
      <c r="H409" s="18">
        <v>15000</v>
      </c>
      <c r="I409" s="18">
        <v>630</v>
      </c>
      <c r="J409" s="17">
        <f t="shared" si="18"/>
        <v>3.4920634920634921E-2</v>
      </c>
      <c r="K409" s="18">
        <f t="shared" si="15"/>
        <v>523.80952380952385</v>
      </c>
    </row>
    <row r="410" spans="1:14" hidden="1" x14ac:dyDescent="0.35">
      <c r="A410" s="24" t="s">
        <v>232</v>
      </c>
      <c r="B410" s="24" t="str">
        <f t="shared" si="17"/>
        <v>Mít non nấu tômTôm</v>
      </c>
      <c r="C410" s="24" t="s">
        <v>8</v>
      </c>
      <c r="D410" t="s">
        <v>12</v>
      </c>
      <c r="E410" t="s">
        <v>342</v>
      </c>
      <c r="F410" t="s">
        <v>37</v>
      </c>
      <c r="G410" s="17">
        <v>1.5</v>
      </c>
      <c r="H410" s="18">
        <v>130000</v>
      </c>
      <c r="I410" s="18">
        <v>630</v>
      </c>
      <c r="J410" s="17">
        <f t="shared" si="18"/>
        <v>2.3809523809523812E-3</v>
      </c>
      <c r="K410" s="18">
        <f t="shared" si="15"/>
        <v>309.52380952380952</v>
      </c>
    </row>
    <row r="411" spans="1:14" hidden="1" x14ac:dyDescent="0.35">
      <c r="A411" s="24" t="s">
        <v>233</v>
      </c>
      <c r="B411" s="24" t="str">
        <f t="shared" si="17"/>
        <v>Mít non nấu tômLá lót</v>
      </c>
      <c r="C411" s="24" t="s">
        <v>8</v>
      </c>
      <c r="D411" t="s">
        <v>12</v>
      </c>
      <c r="E411" t="s">
        <v>342</v>
      </c>
      <c r="F411" t="s">
        <v>341</v>
      </c>
      <c r="G411" s="17">
        <v>1</v>
      </c>
      <c r="H411" s="18">
        <v>25000</v>
      </c>
      <c r="I411" s="18">
        <v>630</v>
      </c>
      <c r="J411" s="17">
        <f t="shared" si="18"/>
        <v>1.5873015873015873E-3</v>
      </c>
      <c r="K411" s="18">
        <f t="shared" si="15"/>
        <v>39.682539682539684</v>
      </c>
    </row>
    <row r="412" spans="1:14" ht="15.5" hidden="1" x14ac:dyDescent="0.35">
      <c r="A412" s="24" t="s">
        <v>232</v>
      </c>
      <c r="B412" s="24" t="str">
        <f t="shared" si="17"/>
        <v>Thịt kho dưa muốiThịt heo nọng</v>
      </c>
      <c r="C412" s="24" t="s">
        <v>8</v>
      </c>
      <c r="D412" t="s">
        <v>18</v>
      </c>
      <c r="E412" t="s">
        <v>347</v>
      </c>
      <c r="F412" t="s">
        <v>346</v>
      </c>
      <c r="G412" s="39">
        <v>0.02</v>
      </c>
      <c r="H412" s="74">
        <v>65000</v>
      </c>
      <c r="I412" s="18">
        <v>1</v>
      </c>
      <c r="J412" s="17">
        <f t="shared" si="18"/>
        <v>0.02</v>
      </c>
      <c r="K412" s="18">
        <f t="shared" si="15"/>
        <v>1300</v>
      </c>
    </row>
    <row r="413" spans="1:14" ht="15.5" hidden="1" x14ac:dyDescent="0.35">
      <c r="A413" s="24" t="s">
        <v>232</v>
      </c>
      <c r="B413" s="24" t="str">
        <f t="shared" si="17"/>
        <v>Thịt kho dưa muốiThịt đùi mông</v>
      </c>
      <c r="C413" s="24" t="s">
        <v>8</v>
      </c>
      <c r="D413" t="s">
        <v>18</v>
      </c>
      <c r="E413" t="s">
        <v>347</v>
      </c>
      <c r="F413" t="s">
        <v>46</v>
      </c>
      <c r="G413" s="39">
        <v>0.02</v>
      </c>
      <c r="H413" s="74">
        <v>100000</v>
      </c>
      <c r="I413" s="18">
        <v>1</v>
      </c>
      <c r="J413" s="17">
        <f t="shared" si="18"/>
        <v>0.02</v>
      </c>
      <c r="K413" s="18">
        <f t="shared" si="15"/>
        <v>2000</v>
      </c>
    </row>
    <row r="414" spans="1:14" ht="15.5" hidden="1" x14ac:dyDescent="0.35">
      <c r="A414" s="24" t="s">
        <v>233</v>
      </c>
      <c r="B414" s="24" t="str">
        <f t="shared" si="17"/>
        <v>Thịt kho dưa muốiDưa trái muối</v>
      </c>
      <c r="C414" s="24" t="s">
        <v>8</v>
      </c>
      <c r="D414" t="s">
        <v>18</v>
      </c>
      <c r="E414" t="s">
        <v>347</v>
      </c>
      <c r="F414" s="39" t="s">
        <v>307</v>
      </c>
      <c r="G414" s="40">
        <v>0.05</v>
      </c>
      <c r="H414" s="18">
        <v>15000</v>
      </c>
      <c r="I414" s="18">
        <v>1</v>
      </c>
      <c r="J414" s="17">
        <f t="shared" si="18"/>
        <v>0.05</v>
      </c>
      <c r="K414" s="18">
        <f t="shared" si="15"/>
        <v>750</v>
      </c>
    </row>
    <row r="415" spans="1:14" ht="15.5" hidden="1" x14ac:dyDescent="0.35">
      <c r="A415" s="24" t="s">
        <v>233</v>
      </c>
      <c r="B415" s="24" t="str">
        <f t="shared" si="17"/>
        <v>Tôm thịt rim củ cảiBa chỉ ĐL</v>
      </c>
      <c r="C415" s="24" t="s">
        <v>8</v>
      </c>
      <c r="D415" t="s">
        <v>18</v>
      </c>
      <c r="E415" t="s">
        <v>352</v>
      </c>
      <c r="F415" s="39" t="s">
        <v>351</v>
      </c>
      <c r="G415" s="40">
        <v>0.03</v>
      </c>
      <c r="H415" s="18">
        <v>80000</v>
      </c>
      <c r="I415" s="18">
        <v>1</v>
      </c>
      <c r="J415" s="17">
        <f t="shared" si="18"/>
        <v>0.03</v>
      </c>
      <c r="K415" s="18">
        <f t="shared" ref="K415:K482" si="19">(G415*H415)/I415</f>
        <v>2400</v>
      </c>
    </row>
    <row r="416" spans="1:14" ht="15.5" hidden="1" x14ac:dyDescent="0.35">
      <c r="A416" s="24" t="s">
        <v>233</v>
      </c>
      <c r="B416" s="24" t="str">
        <f t="shared" si="17"/>
        <v>Tôm thịt rim củ cảiTôm</v>
      </c>
      <c r="C416" s="24" t="s">
        <v>8</v>
      </c>
      <c r="D416" t="s">
        <v>18</v>
      </c>
      <c r="E416" t="s">
        <v>352</v>
      </c>
      <c r="F416" s="39" t="s">
        <v>37</v>
      </c>
      <c r="G416" s="74">
        <v>1</v>
      </c>
      <c r="H416" s="18">
        <v>145000</v>
      </c>
      <c r="I416" s="18">
        <v>60</v>
      </c>
      <c r="J416" s="17">
        <f t="shared" si="18"/>
        <v>1.6666666666666666E-2</v>
      </c>
      <c r="K416" s="18">
        <f t="shared" si="19"/>
        <v>2416.6666666666665</v>
      </c>
    </row>
    <row r="417" spans="1:11" ht="15.5" hidden="1" x14ac:dyDescent="0.35">
      <c r="A417" s="24" t="s">
        <v>233</v>
      </c>
      <c r="B417" s="24" t="str">
        <f t="shared" si="17"/>
        <v>Tôm thịt rim củ cảiCủ cải</v>
      </c>
      <c r="C417" s="24" t="s">
        <v>8</v>
      </c>
      <c r="D417" t="s">
        <v>18</v>
      </c>
      <c r="E417" t="s">
        <v>352</v>
      </c>
      <c r="F417" s="39" t="s">
        <v>202</v>
      </c>
      <c r="G417" s="74">
        <v>0.03</v>
      </c>
      <c r="H417" s="18">
        <v>12000</v>
      </c>
      <c r="I417" s="18">
        <v>1</v>
      </c>
      <c r="J417" s="17">
        <f t="shared" si="18"/>
        <v>0.03</v>
      </c>
      <c r="K417" s="18">
        <f t="shared" si="19"/>
        <v>360</v>
      </c>
    </row>
    <row r="418" spans="1:11" ht="15.5" hidden="1" x14ac:dyDescent="0.35">
      <c r="A418" s="24" t="s">
        <v>233</v>
      </c>
      <c r="B418" s="24" t="str">
        <f t="shared" si="17"/>
        <v>Cải thìa xàoCải thìa</v>
      </c>
      <c r="C418" s="24" t="s">
        <v>8</v>
      </c>
      <c r="D418" t="s">
        <v>47</v>
      </c>
      <c r="E418" t="s">
        <v>353</v>
      </c>
      <c r="F418" s="39" t="s">
        <v>350</v>
      </c>
      <c r="G418" s="74">
        <v>9.5</v>
      </c>
      <c r="H418" s="18">
        <v>10000</v>
      </c>
      <c r="I418" s="18">
        <v>100</v>
      </c>
      <c r="J418" s="17">
        <f t="shared" si="18"/>
        <v>9.5000000000000001E-2</v>
      </c>
      <c r="K418" s="18">
        <f t="shared" si="19"/>
        <v>950</v>
      </c>
    </row>
    <row r="419" spans="1:11" ht="15.5" hidden="1" x14ac:dyDescent="0.35">
      <c r="A419" s="24" t="s">
        <v>233</v>
      </c>
      <c r="B419" s="24" t="str">
        <f t="shared" si="17"/>
        <v>Đậu ve xàoĐậu ve</v>
      </c>
      <c r="C419" s="24" t="s">
        <v>8</v>
      </c>
      <c r="D419" t="s">
        <v>47</v>
      </c>
      <c r="E419" t="s">
        <v>356</v>
      </c>
      <c r="F419" s="39" t="s">
        <v>327</v>
      </c>
      <c r="G419" s="74">
        <v>8.5</v>
      </c>
      <c r="H419" s="18">
        <v>15000</v>
      </c>
      <c r="I419" s="18">
        <v>100</v>
      </c>
      <c r="J419" s="17">
        <f t="shared" si="18"/>
        <v>8.5000000000000006E-2</v>
      </c>
      <c r="K419" s="18">
        <f t="shared" si="19"/>
        <v>1275</v>
      </c>
    </row>
    <row r="420" spans="1:11" ht="15.5" hidden="1" x14ac:dyDescent="0.35">
      <c r="A420" s="24" t="s">
        <v>232</v>
      </c>
      <c r="B420" s="24" t="str">
        <f t="shared" si="17"/>
        <v>Tôm thịt rim mặnTôm ~150c/kg</v>
      </c>
      <c r="C420" s="24" t="s">
        <v>8</v>
      </c>
      <c r="D420" t="s">
        <v>18</v>
      </c>
      <c r="E420" t="s">
        <v>396</v>
      </c>
      <c r="F420" s="39" t="s">
        <v>365</v>
      </c>
      <c r="G420" s="74">
        <v>1</v>
      </c>
      <c r="H420" s="18">
        <v>90000</v>
      </c>
      <c r="I420" s="18">
        <v>37</v>
      </c>
      <c r="J420" s="17">
        <f t="shared" si="18"/>
        <v>2.7027027027027029E-2</v>
      </c>
      <c r="K420" s="18">
        <f t="shared" si="19"/>
        <v>2432.4324324324325</v>
      </c>
    </row>
    <row r="421" spans="1:11" ht="15.5" hidden="1" x14ac:dyDescent="0.35">
      <c r="A421" s="24" t="s">
        <v>232</v>
      </c>
      <c r="B421" s="24" t="str">
        <f t="shared" si="17"/>
        <v>Tôm thịt rim mặnNạc đùi ĐL</v>
      </c>
      <c r="C421" s="24" t="s">
        <v>8</v>
      </c>
      <c r="D421" t="s">
        <v>18</v>
      </c>
      <c r="E421" t="s">
        <v>396</v>
      </c>
      <c r="F421" s="39" t="s">
        <v>385</v>
      </c>
      <c r="G421" s="40">
        <v>0.04</v>
      </c>
      <c r="H421" s="18">
        <v>98000</v>
      </c>
      <c r="I421" s="18">
        <v>1</v>
      </c>
      <c r="J421" s="17">
        <f t="shared" si="18"/>
        <v>0.04</v>
      </c>
      <c r="K421" s="18">
        <f t="shared" si="19"/>
        <v>3920</v>
      </c>
    </row>
    <row r="422" spans="1:11" ht="15.5" hidden="1" x14ac:dyDescent="0.35">
      <c r="A422" s="24" t="s">
        <v>232</v>
      </c>
      <c r="B422" s="24" t="str">
        <f t="shared" si="17"/>
        <v>Lưỡi heo xào thơm càLưỡi heo</v>
      </c>
      <c r="C422" s="24" t="s">
        <v>8</v>
      </c>
      <c r="D422" t="s">
        <v>18</v>
      </c>
      <c r="E422" t="s">
        <v>397</v>
      </c>
      <c r="F422" s="39" t="s">
        <v>383</v>
      </c>
      <c r="G422" s="92">
        <v>5.5E-2</v>
      </c>
      <c r="H422" s="18">
        <v>65000</v>
      </c>
      <c r="I422" s="18">
        <v>1</v>
      </c>
      <c r="J422" s="17">
        <f t="shared" si="18"/>
        <v>5.5E-2</v>
      </c>
      <c r="K422" s="18">
        <f t="shared" si="19"/>
        <v>3575</v>
      </c>
    </row>
    <row r="423" spans="1:11" ht="15.5" hidden="1" x14ac:dyDescent="0.35">
      <c r="A423" s="24" t="s">
        <v>233</v>
      </c>
      <c r="B423" s="24" t="str">
        <f t="shared" si="17"/>
        <v>Lưỡi heo xào thơm càThơm</v>
      </c>
      <c r="C423" s="24" t="s">
        <v>8</v>
      </c>
      <c r="D423" t="s">
        <v>18</v>
      </c>
      <c r="E423" t="s">
        <v>397</v>
      </c>
      <c r="F423" s="39" t="s">
        <v>4</v>
      </c>
      <c r="G423" s="92">
        <v>2.5000000000000001E-2</v>
      </c>
      <c r="H423" s="18">
        <v>18000</v>
      </c>
      <c r="I423" s="18">
        <v>1</v>
      </c>
      <c r="J423" s="17">
        <f t="shared" si="18"/>
        <v>2.5000000000000001E-2</v>
      </c>
      <c r="K423" s="18">
        <f t="shared" si="19"/>
        <v>450</v>
      </c>
    </row>
    <row r="424" spans="1:11" ht="15.5" hidden="1" x14ac:dyDescent="0.35">
      <c r="A424" s="24" t="s">
        <v>233</v>
      </c>
      <c r="B424" s="24" t="str">
        <f t="shared" si="17"/>
        <v>Lưỡi heo xào thơm càCà chua</v>
      </c>
      <c r="C424" s="24" t="s">
        <v>8</v>
      </c>
      <c r="D424" t="s">
        <v>18</v>
      </c>
      <c r="E424" t="s">
        <v>397</v>
      </c>
      <c r="F424" s="39" t="s">
        <v>14</v>
      </c>
      <c r="G424" s="92">
        <v>0.02</v>
      </c>
      <c r="H424" s="18">
        <v>15000</v>
      </c>
      <c r="I424" s="18">
        <v>1</v>
      </c>
      <c r="J424" s="17">
        <f t="shared" si="18"/>
        <v>0.02</v>
      </c>
      <c r="K424" s="18">
        <f t="shared" si="19"/>
        <v>300</v>
      </c>
    </row>
    <row r="425" spans="1:11" ht="15.5" hidden="1" x14ac:dyDescent="0.35">
      <c r="A425" s="24" t="s">
        <v>233</v>
      </c>
      <c r="B425" s="24" t="str">
        <f t="shared" si="17"/>
        <v>Lưỡi heo xào thơm càNgò rí</v>
      </c>
      <c r="C425" s="24" t="s">
        <v>8</v>
      </c>
      <c r="D425" t="s">
        <v>18</v>
      </c>
      <c r="E425" t="s">
        <v>397</v>
      </c>
      <c r="F425" s="39" t="s">
        <v>369</v>
      </c>
      <c r="G425" s="92">
        <v>0.1</v>
      </c>
      <c r="H425" s="18">
        <v>35000</v>
      </c>
      <c r="I425" s="18">
        <v>20</v>
      </c>
      <c r="J425" s="17">
        <f t="shared" si="18"/>
        <v>5.0000000000000001E-3</v>
      </c>
      <c r="K425" s="18">
        <f t="shared" si="19"/>
        <v>175</v>
      </c>
    </row>
    <row r="426" spans="1:11" ht="15.5" hidden="1" x14ac:dyDescent="0.35">
      <c r="A426" s="24" t="s">
        <v>233</v>
      </c>
      <c r="B426" s="24" t="str">
        <f t="shared" si="17"/>
        <v>Bún chayCà rốt</v>
      </c>
      <c r="C426" s="24" t="s">
        <v>393</v>
      </c>
      <c r="D426" t="s">
        <v>18</v>
      </c>
      <c r="E426" t="s">
        <v>375</v>
      </c>
      <c r="F426" s="39" t="s">
        <v>78</v>
      </c>
      <c r="G426" s="74">
        <v>0.5</v>
      </c>
      <c r="H426" s="18">
        <v>15000</v>
      </c>
      <c r="I426" s="18">
        <v>14</v>
      </c>
      <c r="J426" s="17">
        <f t="shared" si="18"/>
        <v>3.5714285714285712E-2</v>
      </c>
      <c r="K426" s="18">
        <f t="shared" si="19"/>
        <v>535.71428571428567</v>
      </c>
    </row>
    <row r="427" spans="1:11" ht="15.5" hidden="1" x14ac:dyDescent="0.35">
      <c r="A427" s="24" t="s">
        <v>233</v>
      </c>
      <c r="B427" s="24" t="str">
        <f t="shared" si="17"/>
        <v>Bún chayCủ cải</v>
      </c>
      <c r="C427" s="24" t="s">
        <v>393</v>
      </c>
      <c r="D427" t="s">
        <v>18</v>
      </c>
      <c r="E427" t="s">
        <v>375</v>
      </c>
      <c r="F427" s="39" t="s">
        <v>202</v>
      </c>
      <c r="G427" s="74">
        <v>0.5</v>
      </c>
      <c r="H427" s="18">
        <v>10000</v>
      </c>
      <c r="I427" s="18">
        <v>14</v>
      </c>
      <c r="J427" s="17">
        <f t="shared" si="18"/>
        <v>3.5714285714285712E-2</v>
      </c>
      <c r="K427" s="18">
        <f t="shared" si="19"/>
        <v>357.14285714285717</v>
      </c>
    </row>
    <row r="428" spans="1:11" ht="15.5" hidden="1" x14ac:dyDescent="0.35">
      <c r="A428" s="24" t="s">
        <v>233</v>
      </c>
      <c r="B428" s="24" t="str">
        <f t="shared" si="17"/>
        <v>Bún chayBí đỏ</v>
      </c>
      <c r="C428" s="24" t="s">
        <v>393</v>
      </c>
      <c r="D428" t="s">
        <v>18</v>
      </c>
      <c r="E428" t="s">
        <v>375</v>
      </c>
      <c r="F428" s="39" t="s">
        <v>103</v>
      </c>
      <c r="G428" s="74">
        <v>0.5</v>
      </c>
      <c r="H428" s="18">
        <v>12000</v>
      </c>
      <c r="I428" s="18">
        <v>14</v>
      </c>
      <c r="J428" s="17">
        <f t="shared" si="18"/>
        <v>3.5714285714285712E-2</v>
      </c>
      <c r="K428" s="18">
        <f t="shared" si="19"/>
        <v>428.57142857142856</v>
      </c>
    </row>
    <row r="429" spans="1:11" ht="15.5" hidden="1" x14ac:dyDescent="0.35">
      <c r="A429" s="24" t="s">
        <v>233</v>
      </c>
      <c r="B429" s="24" t="str">
        <f t="shared" si="17"/>
        <v>Bún chayPhù chúc khô</v>
      </c>
      <c r="C429" s="24" t="s">
        <v>393</v>
      </c>
      <c r="D429" t="s">
        <v>18</v>
      </c>
      <c r="E429" t="s">
        <v>375</v>
      </c>
      <c r="F429" s="39" t="s">
        <v>355</v>
      </c>
      <c r="G429" s="40">
        <v>0.15</v>
      </c>
      <c r="H429" s="18">
        <v>80000</v>
      </c>
      <c r="I429" s="18">
        <v>14</v>
      </c>
      <c r="J429" s="17">
        <f t="shared" si="18"/>
        <v>1.0714285714285714E-2</v>
      </c>
      <c r="K429" s="18">
        <f t="shared" si="19"/>
        <v>857.14285714285711</v>
      </c>
    </row>
    <row r="430" spans="1:11" ht="15.5" hidden="1" x14ac:dyDescent="0.35">
      <c r="A430" s="24" t="s">
        <v>233</v>
      </c>
      <c r="B430" s="24" t="str">
        <f t="shared" si="17"/>
        <v>Bún chayChả chay</v>
      </c>
      <c r="C430" s="24" t="s">
        <v>393</v>
      </c>
      <c r="D430" t="s">
        <v>18</v>
      </c>
      <c r="E430" t="s">
        <v>375</v>
      </c>
      <c r="F430" s="39" t="s">
        <v>344</v>
      </c>
      <c r="G430" s="74">
        <v>0.5</v>
      </c>
      <c r="H430" s="18">
        <v>80000</v>
      </c>
      <c r="I430" s="18">
        <v>14</v>
      </c>
      <c r="J430" s="17">
        <f t="shared" si="18"/>
        <v>3.5714285714285712E-2</v>
      </c>
      <c r="K430" s="18">
        <f t="shared" si="19"/>
        <v>2857.1428571428573</v>
      </c>
    </row>
    <row r="431" spans="1:11" ht="15.5" hidden="1" x14ac:dyDescent="0.35">
      <c r="A431" s="24" t="s">
        <v>233</v>
      </c>
      <c r="B431" s="24" t="str">
        <f t="shared" si="17"/>
        <v>Bún chayNấm dai</v>
      </c>
      <c r="C431" s="24" t="s">
        <v>393</v>
      </c>
      <c r="D431" t="s">
        <v>18</v>
      </c>
      <c r="E431" t="s">
        <v>375</v>
      </c>
      <c r="F431" s="39" t="s">
        <v>325</v>
      </c>
      <c r="G431" s="74">
        <v>0.5</v>
      </c>
      <c r="H431" s="18">
        <v>45000</v>
      </c>
      <c r="I431" s="18">
        <v>14</v>
      </c>
      <c r="J431" s="17">
        <f t="shared" si="18"/>
        <v>3.5714285714285712E-2</v>
      </c>
      <c r="K431" s="18">
        <f t="shared" si="19"/>
        <v>1607.1428571428571</v>
      </c>
    </row>
    <row r="432" spans="1:11" ht="15.5" hidden="1" x14ac:dyDescent="0.35">
      <c r="A432" s="24" t="s">
        <v>233</v>
      </c>
      <c r="B432" s="24" t="str">
        <f t="shared" si="17"/>
        <v>Bún xào căn cuộnCăn cuộn</v>
      </c>
      <c r="C432" s="24" t="s">
        <v>393</v>
      </c>
      <c r="D432" t="s">
        <v>18</v>
      </c>
      <c r="E432" t="s">
        <v>398</v>
      </c>
      <c r="F432" s="39" t="s">
        <v>360</v>
      </c>
      <c r="G432" s="17">
        <v>12</v>
      </c>
      <c r="I432" s="18">
        <v>10</v>
      </c>
      <c r="J432" s="17">
        <f t="shared" si="18"/>
        <v>1.2</v>
      </c>
      <c r="K432" s="18">
        <f t="shared" si="19"/>
        <v>0</v>
      </c>
    </row>
    <row r="433" spans="1:11" ht="15.5" hidden="1" x14ac:dyDescent="0.35">
      <c r="A433" s="24" t="s">
        <v>233</v>
      </c>
      <c r="B433" s="24" t="str">
        <f t="shared" ref="B433:B497" si="20">E433&amp;F433</f>
        <v>Bún xào căn cuộnBún khô</v>
      </c>
      <c r="C433" s="24" t="s">
        <v>393</v>
      </c>
      <c r="D433" t="s">
        <v>18</v>
      </c>
      <c r="E433" t="s">
        <v>398</v>
      </c>
      <c r="F433" s="39" t="s">
        <v>368</v>
      </c>
      <c r="G433" s="17">
        <v>0.03</v>
      </c>
      <c r="I433" s="18">
        <v>10</v>
      </c>
      <c r="J433" s="17">
        <f t="shared" si="18"/>
        <v>3.0000000000000001E-3</v>
      </c>
      <c r="K433" s="18">
        <f t="shared" si="19"/>
        <v>0</v>
      </c>
    </row>
    <row r="434" spans="1:11" ht="15.5" hidden="1" x14ac:dyDescent="0.35">
      <c r="A434" s="24" t="s">
        <v>233</v>
      </c>
      <c r="B434" s="24" t="str">
        <f t="shared" si="20"/>
        <v>Bún xào căn cuộnNgò rí</v>
      </c>
      <c r="C434" s="24" t="s">
        <v>393</v>
      </c>
      <c r="D434" t="s">
        <v>18</v>
      </c>
      <c r="E434" t="s">
        <v>398</v>
      </c>
      <c r="F434" s="39" t="s">
        <v>369</v>
      </c>
      <c r="G434" s="17">
        <v>0.1</v>
      </c>
      <c r="H434" s="18">
        <v>35000</v>
      </c>
      <c r="I434" s="18">
        <v>10</v>
      </c>
      <c r="J434" s="17">
        <f t="shared" si="18"/>
        <v>0.01</v>
      </c>
      <c r="K434" s="18">
        <f t="shared" si="19"/>
        <v>350</v>
      </c>
    </row>
    <row r="435" spans="1:11" ht="15.5" hidden="1" x14ac:dyDescent="0.35">
      <c r="A435" s="24" t="s">
        <v>232</v>
      </c>
      <c r="B435" s="24" t="str">
        <f t="shared" si="20"/>
        <v>Xíu  mại trứng cútChả quết</v>
      </c>
      <c r="C435" s="24" t="s">
        <v>8</v>
      </c>
      <c r="D435" t="s">
        <v>18</v>
      </c>
      <c r="E435" t="s">
        <v>435</v>
      </c>
      <c r="F435" s="39" t="s">
        <v>166</v>
      </c>
      <c r="G435" s="89">
        <v>0.6</v>
      </c>
      <c r="H435" s="18">
        <v>120000</v>
      </c>
      <c r="I435" s="18">
        <v>75</v>
      </c>
      <c r="J435" s="17">
        <f t="shared" si="18"/>
        <v>8.0000000000000002E-3</v>
      </c>
      <c r="K435" s="18">
        <f t="shared" si="19"/>
        <v>960</v>
      </c>
    </row>
    <row r="436" spans="1:11" ht="15.5" hidden="1" x14ac:dyDescent="0.35">
      <c r="A436" s="24" t="s">
        <v>232</v>
      </c>
      <c r="B436" s="24" t="str">
        <f t="shared" si="20"/>
        <v>Xíu  mại trứng cútThịt nọng xay mịn</v>
      </c>
      <c r="C436" s="24" t="s">
        <v>8</v>
      </c>
      <c r="D436" t="s">
        <v>18</v>
      </c>
      <c r="E436" t="s">
        <v>435</v>
      </c>
      <c r="F436" s="39" t="s">
        <v>425</v>
      </c>
      <c r="G436" s="89">
        <v>1.7</v>
      </c>
      <c r="H436" s="18">
        <v>70000</v>
      </c>
      <c r="I436" s="18">
        <v>75</v>
      </c>
      <c r="J436" s="17">
        <f t="shared" si="18"/>
        <v>2.2666666666666665E-2</v>
      </c>
      <c r="K436" s="18">
        <f t="shared" si="19"/>
        <v>1586.6666666666667</v>
      </c>
    </row>
    <row r="437" spans="1:11" ht="15.5" hidden="1" x14ac:dyDescent="0.35">
      <c r="A437" s="24" t="s">
        <v>232</v>
      </c>
      <c r="B437" s="24" t="str">
        <f t="shared" si="20"/>
        <v>Xíu  mại trứng cúttrứng cút lọt sẵn</v>
      </c>
      <c r="C437" s="24" t="s">
        <v>8</v>
      </c>
      <c r="D437" t="s">
        <v>18</v>
      </c>
      <c r="E437" t="s">
        <v>435</v>
      </c>
      <c r="F437" s="39" t="s">
        <v>424</v>
      </c>
      <c r="G437" s="89">
        <v>150</v>
      </c>
      <c r="H437" s="18">
        <v>600</v>
      </c>
      <c r="I437" s="18">
        <v>75</v>
      </c>
      <c r="J437" s="17">
        <f t="shared" si="18"/>
        <v>2</v>
      </c>
      <c r="K437" s="18">
        <f t="shared" si="19"/>
        <v>1200</v>
      </c>
    </row>
    <row r="438" spans="1:11" ht="15.5" hidden="1" x14ac:dyDescent="0.35">
      <c r="A438" s="24" t="s">
        <v>298</v>
      </c>
      <c r="B438" s="24" t="str">
        <f t="shared" si="20"/>
        <v>Xíu  mại trứng cútBún tàu</v>
      </c>
      <c r="C438" s="24" t="s">
        <v>8</v>
      </c>
      <c r="D438" t="s">
        <v>18</v>
      </c>
      <c r="E438" t="s">
        <v>435</v>
      </c>
      <c r="F438" s="39" t="s">
        <v>417</v>
      </c>
      <c r="G438" s="89">
        <v>0.1</v>
      </c>
      <c r="H438" s="18">
        <v>30000</v>
      </c>
      <c r="I438" s="18">
        <v>75</v>
      </c>
      <c r="J438" s="17">
        <f t="shared" si="18"/>
        <v>1.3333333333333335E-3</v>
      </c>
      <c r="K438" s="18">
        <f t="shared" si="19"/>
        <v>40</v>
      </c>
    </row>
    <row r="439" spans="1:11" ht="15.5" hidden="1" x14ac:dyDescent="0.35">
      <c r="A439" s="24" t="s">
        <v>298</v>
      </c>
      <c r="B439" s="24" t="str">
        <f t="shared" si="20"/>
        <v>Xíu  mại trứng cútNấm mèo khô</v>
      </c>
      <c r="C439" s="24" t="s">
        <v>8</v>
      </c>
      <c r="D439" t="s">
        <v>18</v>
      </c>
      <c r="E439" t="s">
        <v>435</v>
      </c>
      <c r="F439" s="39" t="s">
        <v>357</v>
      </c>
      <c r="G439" s="89">
        <v>0.05</v>
      </c>
      <c r="H439" s="18">
        <v>120000</v>
      </c>
      <c r="I439" s="18">
        <v>75</v>
      </c>
      <c r="J439" s="17">
        <f t="shared" si="18"/>
        <v>6.6666666666666675E-4</v>
      </c>
      <c r="K439" s="18">
        <f t="shared" si="19"/>
        <v>80</v>
      </c>
    </row>
    <row r="440" spans="1:11" ht="15.5" hidden="1" x14ac:dyDescent="0.35">
      <c r="A440" s="24" t="s">
        <v>298</v>
      </c>
      <c r="B440" s="24" t="str">
        <f t="shared" si="20"/>
        <v>Xíu  mại trứng cútHành lá</v>
      </c>
      <c r="C440" s="24" t="s">
        <v>8</v>
      </c>
      <c r="D440" t="s">
        <v>18</v>
      </c>
      <c r="E440" t="s">
        <v>435</v>
      </c>
      <c r="F440" s="39" t="s">
        <v>24</v>
      </c>
      <c r="G440" s="89">
        <v>0.4</v>
      </c>
      <c r="H440" s="18">
        <v>20000</v>
      </c>
      <c r="I440" s="18">
        <v>75</v>
      </c>
      <c r="J440" s="17">
        <f t="shared" si="18"/>
        <v>5.333333333333334E-3</v>
      </c>
      <c r="K440" s="18">
        <f t="shared" si="19"/>
        <v>106.66666666666667</v>
      </c>
    </row>
    <row r="441" spans="1:11" ht="15.5" hidden="1" x14ac:dyDescent="0.35">
      <c r="A441" s="24" t="s">
        <v>298</v>
      </c>
      <c r="B441" s="24" t="str">
        <f t="shared" si="20"/>
        <v>Xíu  mại trứng cútCà chua</v>
      </c>
      <c r="C441" s="24" t="s">
        <v>8</v>
      </c>
      <c r="D441" t="s">
        <v>18</v>
      </c>
      <c r="E441" t="s">
        <v>435</v>
      </c>
      <c r="F441" s="39" t="s">
        <v>14</v>
      </c>
      <c r="G441" s="89">
        <v>0.3</v>
      </c>
      <c r="H441" s="18">
        <v>15000</v>
      </c>
      <c r="I441" s="18">
        <v>75</v>
      </c>
      <c r="J441" s="17">
        <f t="shared" si="18"/>
        <v>4.0000000000000001E-3</v>
      </c>
      <c r="K441" s="18">
        <f t="shared" si="19"/>
        <v>60</v>
      </c>
    </row>
    <row r="442" spans="1:11" ht="15.5" hidden="1" x14ac:dyDescent="0.35">
      <c r="A442" s="24" t="s">
        <v>232</v>
      </c>
      <c r="B442" s="24" t="str">
        <f t="shared" si="20"/>
        <v>Mực xào thơm càMực tép</v>
      </c>
      <c r="C442" s="24" t="s">
        <v>8</v>
      </c>
      <c r="D442" t="s">
        <v>18</v>
      </c>
      <c r="E442" s="39" t="s">
        <v>436</v>
      </c>
      <c r="F442" s="39" t="s">
        <v>427</v>
      </c>
      <c r="G442" s="89">
        <v>2.7</v>
      </c>
      <c r="H442" s="18">
        <v>120000</v>
      </c>
      <c r="I442" s="18">
        <v>78</v>
      </c>
      <c r="J442" s="17">
        <f t="shared" si="18"/>
        <v>3.4615384615384617E-2</v>
      </c>
      <c r="K442" s="18">
        <f t="shared" si="19"/>
        <v>4153.8461538461543</v>
      </c>
    </row>
    <row r="443" spans="1:11" ht="15.5" hidden="1" x14ac:dyDescent="0.35">
      <c r="A443" s="24" t="s">
        <v>298</v>
      </c>
      <c r="B443" s="24" t="str">
        <f t="shared" si="20"/>
        <v>Mực xào thơm càThơm</v>
      </c>
      <c r="C443" s="24" t="s">
        <v>8</v>
      </c>
      <c r="D443" t="s">
        <v>18</v>
      </c>
      <c r="E443" s="39" t="s">
        <v>436</v>
      </c>
      <c r="F443" s="39" t="s">
        <v>4</v>
      </c>
      <c r="G443" s="89">
        <v>1.5</v>
      </c>
      <c r="H443" s="18">
        <v>22000</v>
      </c>
      <c r="I443" s="18">
        <v>78</v>
      </c>
      <c r="J443" s="17">
        <f t="shared" ref="J443:J507" si="21">G443/I443</f>
        <v>1.9230769230769232E-2</v>
      </c>
      <c r="K443" s="18">
        <f t="shared" si="19"/>
        <v>423.07692307692309</v>
      </c>
    </row>
    <row r="444" spans="1:11" ht="15.5" hidden="1" x14ac:dyDescent="0.35">
      <c r="A444" s="24" t="s">
        <v>298</v>
      </c>
      <c r="B444" s="24" t="str">
        <f t="shared" si="20"/>
        <v>Mực xào thơm càCà chua</v>
      </c>
      <c r="C444" s="24" t="s">
        <v>8</v>
      </c>
      <c r="D444" t="s">
        <v>18</v>
      </c>
      <c r="E444" s="39" t="s">
        <v>436</v>
      </c>
      <c r="F444" s="39" t="s">
        <v>14</v>
      </c>
      <c r="G444" s="89">
        <v>0.5</v>
      </c>
      <c r="H444" s="18">
        <v>15000</v>
      </c>
      <c r="I444" s="18">
        <v>78</v>
      </c>
      <c r="J444" s="17">
        <f t="shared" si="21"/>
        <v>6.41025641025641E-3</v>
      </c>
      <c r="K444" s="18">
        <f t="shared" si="19"/>
        <v>96.15384615384616</v>
      </c>
    </row>
    <row r="445" spans="1:11" ht="15.5" hidden="1" x14ac:dyDescent="0.35">
      <c r="A445" s="24" t="s">
        <v>298</v>
      </c>
      <c r="B445" s="24" t="str">
        <f t="shared" si="20"/>
        <v>Mực xào thơm càHành tây</v>
      </c>
      <c r="C445" s="24" t="s">
        <v>8</v>
      </c>
      <c r="D445" t="s">
        <v>18</v>
      </c>
      <c r="E445" s="39" t="s">
        <v>436</v>
      </c>
      <c r="F445" s="39" t="s">
        <v>35</v>
      </c>
      <c r="G445" s="89">
        <v>1.5</v>
      </c>
      <c r="H445" s="18">
        <v>12000</v>
      </c>
      <c r="I445" s="18">
        <v>78</v>
      </c>
      <c r="J445" s="17">
        <f t="shared" si="21"/>
        <v>1.9230769230769232E-2</v>
      </c>
      <c r="K445" s="18">
        <f t="shared" si="19"/>
        <v>230.76923076923077</v>
      </c>
    </row>
    <row r="446" spans="1:11" ht="15.5" hidden="1" x14ac:dyDescent="0.35">
      <c r="A446" s="24" t="s">
        <v>298</v>
      </c>
      <c r="B446" s="24" t="str">
        <f t="shared" si="20"/>
        <v>Mực xào thơm càNgò gai</v>
      </c>
      <c r="C446" s="24" t="s">
        <v>8</v>
      </c>
      <c r="D446" t="s">
        <v>18</v>
      </c>
      <c r="E446" s="39" t="s">
        <v>436</v>
      </c>
      <c r="F446" s="39" t="s">
        <v>101</v>
      </c>
      <c r="G446" s="89">
        <v>0.1</v>
      </c>
      <c r="H446" s="18">
        <v>35000</v>
      </c>
      <c r="I446" s="18">
        <v>78</v>
      </c>
      <c r="J446" s="17">
        <f t="shared" si="21"/>
        <v>1.2820512820512821E-3</v>
      </c>
      <c r="K446" s="18">
        <f t="shared" si="19"/>
        <v>44.871794871794869</v>
      </c>
    </row>
    <row r="447" spans="1:11" ht="15.5" hidden="1" x14ac:dyDescent="0.35">
      <c r="A447" s="24" t="s">
        <v>298</v>
      </c>
      <c r="B447" s="24" t="str">
        <f t="shared" si="20"/>
        <v>Giò heo kho măngBắp giò heo</v>
      </c>
      <c r="C447" s="24" t="s">
        <v>8</v>
      </c>
      <c r="D447" t="s">
        <v>18</v>
      </c>
      <c r="E447" s="39" t="s">
        <v>278</v>
      </c>
      <c r="F447" s="39" t="s">
        <v>421</v>
      </c>
      <c r="G447" s="89">
        <v>10.5</v>
      </c>
      <c r="H447" s="18">
        <v>59000</v>
      </c>
      <c r="I447" s="18">
        <v>100</v>
      </c>
      <c r="J447" s="17">
        <f t="shared" si="21"/>
        <v>0.105</v>
      </c>
      <c r="K447" s="18">
        <f t="shared" si="19"/>
        <v>6195</v>
      </c>
    </row>
    <row r="448" spans="1:11" ht="15.5" hidden="1" x14ac:dyDescent="0.35">
      <c r="A448" s="24" t="s">
        <v>298</v>
      </c>
      <c r="B448" s="24" t="str">
        <f t="shared" si="20"/>
        <v>Giò heo kho măngSả</v>
      </c>
      <c r="C448" s="24" t="s">
        <v>8</v>
      </c>
      <c r="D448" t="s">
        <v>18</v>
      </c>
      <c r="E448" s="39" t="s">
        <v>278</v>
      </c>
      <c r="F448" s="39" t="s">
        <v>207</v>
      </c>
      <c r="G448" s="89">
        <v>0.3</v>
      </c>
      <c r="H448" s="18">
        <v>22000</v>
      </c>
      <c r="I448" s="18">
        <v>100</v>
      </c>
      <c r="J448" s="17">
        <f t="shared" si="21"/>
        <v>3.0000000000000001E-3</v>
      </c>
      <c r="K448" s="18">
        <f t="shared" si="19"/>
        <v>66</v>
      </c>
    </row>
    <row r="449" spans="1:11" ht="15.5" hidden="1" x14ac:dyDescent="0.35">
      <c r="A449" s="24" t="s">
        <v>298</v>
      </c>
      <c r="B449" s="24" t="str">
        <f t="shared" si="20"/>
        <v>Giò heo kho măngMăng vàng cục</v>
      </c>
      <c r="C449" s="24" t="s">
        <v>8</v>
      </c>
      <c r="D449" t="s">
        <v>18</v>
      </c>
      <c r="E449" s="39" t="s">
        <v>278</v>
      </c>
      <c r="F449" s="39" t="s">
        <v>388</v>
      </c>
      <c r="G449" s="89">
        <v>3</v>
      </c>
      <c r="H449" s="18">
        <v>25000</v>
      </c>
      <c r="I449" s="18">
        <v>100</v>
      </c>
      <c r="J449" s="17">
        <f t="shared" si="21"/>
        <v>0.03</v>
      </c>
      <c r="K449" s="18">
        <f t="shared" si="19"/>
        <v>750</v>
      </c>
    </row>
    <row r="450" spans="1:11" ht="15.5" hidden="1" x14ac:dyDescent="0.35">
      <c r="A450" s="24" t="s">
        <v>298</v>
      </c>
      <c r="B450" s="24" t="str">
        <f t="shared" si="20"/>
        <v>Chả cá viên sốt càChả cá viên</v>
      </c>
      <c r="C450" s="24" t="s">
        <v>8</v>
      </c>
      <c r="D450" t="s">
        <v>19</v>
      </c>
      <c r="E450" s="39" t="s">
        <v>437</v>
      </c>
      <c r="F450" s="39" t="s">
        <v>430</v>
      </c>
      <c r="G450" s="89">
        <v>1</v>
      </c>
      <c r="H450" s="18">
        <v>70000</v>
      </c>
      <c r="I450" s="18">
        <v>25</v>
      </c>
      <c r="J450" s="17">
        <f t="shared" si="21"/>
        <v>0.04</v>
      </c>
      <c r="K450" s="18">
        <f t="shared" si="19"/>
        <v>2800</v>
      </c>
    </row>
    <row r="451" spans="1:11" ht="15.5" hidden="1" x14ac:dyDescent="0.35">
      <c r="A451" s="24" t="s">
        <v>298</v>
      </c>
      <c r="B451" s="24" t="str">
        <f t="shared" si="20"/>
        <v>Chả cá viên sốt càCà chua</v>
      </c>
      <c r="C451" s="24" t="s">
        <v>8</v>
      </c>
      <c r="D451" t="s">
        <v>19</v>
      </c>
      <c r="E451" s="39" t="s">
        <v>437</v>
      </c>
      <c r="F451" s="39" t="s">
        <v>14</v>
      </c>
      <c r="G451" s="89">
        <v>0.2</v>
      </c>
      <c r="H451" s="18">
        <v>22000</v>
      </c>
      <c r="I451" s="18">
        <v>25</v>
      </c>
      <c r="J451" s="17">
        <f t="shared" si="21"/>
        <v>8.0000000000000002E-3</v>
      </c>
      <c r="K451" s="18">
        <f t="shared" si="19"/>
        <v>176</v>
      </c>
    </row>
    <row r="452" spans="1:11" hidden="1" x14ac:dyDescent="0.35">
      <c r="A452" s="24" t="s">
        <v>298</v>
      </c>
      <c r="B452" s="24" t="str">
        <f t="shared" si="20"/>
        <v>Heo kho đậu khuônHeo nọng nạc</v>
      </c>
      <c r="C452" s="24" t="s">
        <v>8</v>
      </c>
      <c r="D452" t="s">
        <v>18</v>
      </c>
      <c r="E452" t="s">
        <v>438</v>
      </c>
      <c r="F452" t="s">
        <v>370</v>
      </c>
      <c r="G452" s="17">
        <v>1</v>
      </c>
      <c r="H452" s="18">
        <v>70000</v>
      </c>
      <c r="I452" s="18">
        <v>78</v>
      </c>
      <c r="J452" s="17">
        <f t="shared" si="21"/>
        <v>1.282051282051282E-2</v>
      </c>
      <c r="K452" s="18">
        <f t="shared" si="19"/>
        <v>897.43589743589746</v>
      </c>
    </row>
    <row r="453" spans="1:11" hidden="1" x14ac:dyDescent="0.35">
      <c r="A453" s="24" t="s">
        <v>298</v>
      </c>
      <c r="B453" s="24" t="str">
        <f t="shared" si="20"/>
        <v>Heo kho đậu khuônHeo nạc vai</v>
      </c>
      <c r="C453" s="24" t="s">
        <v>8</v>
      </c>
      <c r="D453" t="s">
        <v>18</v>
      </c>
      <c r="E453" t="s">
        <v>438</v>
      </c>
      <c r="F453" t="s">
        <v>283</v>
      </c>
      <c r="G453" s="17">
        <v>1.8</v>
      </c>
      <c r="H453" s="18">
        <v>110000</v>
      </c>
      <c r="I453" s="18">
        <v>78</v>
      </c>
      <c r="J453" s="17">
        <f t="shared" si="21"/>
        <v>2.3076923076923078E-2</v>
      </c>
      <c r="K453" s="18">
        <f t="shared" si="19"/>
        <v>2538.4615384615386</v>
      </c>
    </row>
    <row r="454" spans="1:11" hidden="1" x14ac:dyDescent="0.35">
      <c r="A454" s="24" t="s">
        <v>298</v>
      </c>
      <c r="B454" s="24" t="str">
        <f t="shared" si="20"/>
        <v>Heo kho đậu khuônĐậu khuôn chiên lát nhỏ</v>
      </c>
      <c r="C454" s="24" t="s">
        <v>8</v>
      </c>
      <c r="D454" t="s">
        <v>18</v>
      </c>
      <c r="E454" t="s">
        <v>438</v>
      </c>
      <c r="F454" t="s">
        <v>394</v>
      </c>
      <c r="G454" s="17">
        <v>48</v>
      </c>
      <c r="H454" s="18">
        <v>1600</v>
      </c>
      <c r="I454" s="18">
        <v>78</v>
      </c>
      <c r="J454" s="17">
        <f t="shared" si="21"/>
        <v>0.61538461538461542</v>
      </c>
      <c r="K454" s="18">
        <f t="shared" si="19"/>
        <v>984.61538461538464</v>
      </c>
    </row>
    <row r="455" spans="1:11" hidden="1" x14ac:dyDescent="0.35">
      <c r="A455" s="24" t="s">
        <v>232</v>
      </c>
      <c r="B455" s="24" t="str">
        <f t="shared" si="20"/>
        <v>Tôm xào mướpTôm ~150c</v>
      </c>
      <c r="C455" s="24" t="s">
        <v>8</v>
      </c>
      <c r="D455" t="s">
        <v>19</v>
      </c>
      <c r="E455" t="s">
        <v>439</v>
      </c>
      <c r="F455" t="s">
        <v>411</v>
      </c>
      <c r="G455" s="17">
        <v>2</v>
      </c>
      <c r="H455" s="18">
        <v>90000</v>
      </c>
      <c r="I455" s="18">
        <v>78</v>
      </c>
      <c r="J455" s="17">
        <f t="shared" si="21"/>
        <v>2.564102564102564E-2</v>
      </c>
      <c r="K455" s="18">
        <f t="shared" si="19"/>
        <v>2307.6923076923076</v>
      </c>
    </row>
    <row r="456" spans="1:11" hidden="1" x14ac:dyDescent="0.35">
      <c r="A456" s="24" t="s">
        <v>298</v>
      </c>
      <c r="B456" s="24" t="str">
        <f t="shared" si="20"/>
        <v>Tôm xào mướpMướp</v>
      </c>
      <c r="C456" s="24" t="s">
        <v>8</v>
      </c>
      <c r="D456" t="s">
        <v>19</v>
      </c>
      <c r="E456" t="s">
        <v>439</v>
      </c>
      <c r="F456" t="s">
        <v>72</v>
      </c>
      <c r="G456" s="17">
        <v>5.5</v>
      </c>
      <c r="H456" s="18">
        <v>12000</v>
      </c>
      <c r="I456" s="18">
        <v>78</v>
      </c>
      <c r="J456" s="17">
        <f t="shared" si="21"/>
        <v>7.0512820512820512E-2</v>
      </c>
      <c r="K456" s="18">
        <f t="shared" si="19"/>
        <v>846.15384615384619</v>
      </c>
    </row>
    <row r="457" spans="1:11" hidden="1" x14ac:dyDescent="0.35">
      <c r="A457" s="24" t="s">
        <v>298</v>
      </c>
      <c r="B457" s="24" t="str">
        <f t="shared" si="20"/>
        <v>Tôm xào mướpHành lá</v>
      </c>
      <c r="C457" s="24" t="s">
        <v>8</v>
      </c>
      <c r="D457" t="s">
        <v>19</v>
      </c>
      <c r="E457" t="s">
        <v>439</v>
      </c>
      <c r="F457" t="s">
        <v>24</v>
      </c>
      <c r="G457" s="17">
        <v>0.3</v>
      </c>
      <c r="H457" s="18">
        <v>20000</v>
      </c>
      <c r="I457" s="18">
        <v>78</v>
      </c>
      <c r="J457" s="17">
        <f t="shared" si="21"/>
        <v>3.8461538461538459E-3</v>
      </c>
      <c r="K457" s="18">
        <f t="shared" si="19"/>
        <v>76.92307692307692</v>
      </c>
    </row>
    <row r="458" spans="1:11" hidden="1" x14ac:dyDescent="0.35">
      <c r="A458" s="24" t="s">
        <v>232</v>
      </c>
      <c r="B458" s="24" t="str">
        <f t="shared" si="20"/>
        <v>Gà kho sả nghệmá đùi gà</v>
      </c>
      <c r="C458" s="24" t="s">
        <v>8</v>
      </c>
      <c r="D458" t="s">
        <v>18</v>
      </c>
      <c r="E458" t="s">
        <v>440</v>
      </c>
      <c r="F458" t="s">
        <v>464</v>
      </c>
      <c r="G458" s="17">
        <v>12</v>
      </c>
      <c r="H458" s="18">
        <v>40000</v>
      </c>
      <c r="I458" s="18">
        <v>100</v>
      </c>
      <c r="J458" s="17">
        <f t="shared" si="21"/>
        <v>0.12</v>
      </c>
      <c r="K458" s="18">
        <f t="shared" si="19"/>
        <v>4800</v>
      </c>
    </row>
    <row r="459" spans="1:11" hidden="1" x14ac:dyDescent="0.35">
      <c r="A459" s="24" t="s">
        <v>298</v>
      </c>
      <c r="B459" s="24" t="str">
        <f t="shared" si="20"/>
        <v>Gà kho sả nghệSả</v>
      </c>
      <c r="C459" s="24" t="s">
        <v>8</v>
      </c>
      <c r="D459" t="s">
        <v>18</v>
      </c>
      <c r="E459" t="s">
        <v>440</v>
      </c>
      <c r="F459" t="s">
        <v>207</v>
      </c>
      <c r="G459" s="17">
        <v>0.5</v>
      </c>
      <c r="H459" s="18">
        <v>25000</v>
      </c>
      <c r="I459" s="18">
        <v>100</v>
      </c>
      <c r="J459" s="17">
        <f t="shared" si="21"/>
        <v>5.0000000000000001E-3</v>
      </c>
      <c r="K459" s="18">
        <f t="shared" si="19"/>
        <v>125</v>
      </c>
    </row>
    <row r="460" spans="1:11" hidden="1" x14ac:dyDescent="0.35">
      <c r="A460" s="24" t="s">
        <v>298</v>
      </c>
      <c r="B460" s="24" t="str">
        <f t="shared" si="20"/>
        <v>Gà kho sả nghệNghệ</v>
      </c>
      <c r="C460" s="24" t="s">
        <v>8</v>
      </c>
      <c r="D460" t="s">
        <v>18</v>
      </c>
      <c r="E460" t="s">
        <v>440</v>
      </c>
      <c r="F460" t="s">
        <v>154</v>
      </c>
      <c r="G460" s="17">
        <v>0.5</v>
      </c>
      <c r="H460" s="18">
        <v>25000</v>
      </c>
      <c r="I460" s="18">
        <v>100</v>
      </c>
      <c r="J460" s="17">
        <f t="shared" si="21"/>
        <v>5.0000000000000001E-3</v>
      </c>
      <c r="K460" s="18">
        <f t="shared" si="19"/>
        <v>125</v>
      </c>
    </row>
    <row r="461" spans="1:11" hidden="1" x14ac:dyDescent="0.35">
      <c r="A461" s="24" t="s">
        <v>232</v>
      </c>
      <c r="B461" s="24" t="str">
        <f t="shared" si="20"/>
        <v>Gà xé trộn hànhmá đùi gà</v>
      </c>
      <c r="C461" s="24" t="s">
        <v>8</v>
      </c>
      <c r="D461" t="s">
        <v>18</v>
      </c>
      <c r="E461" t="s">
        <v>441</v>
      </c>
      <c r="F461" t="s">
        <v>464</v>
      </c>
      <c r="G461" s="17">
        <v>8.5</v>
      </c>
      <c r="H461" s="18">
        <v>40000</v>
      </c>
      <c r="I461" s="18">
        <v>100</v>
      </c>
      <c r="J461" s="17">
        <f t="shared" si="21"/>
        <v>8.5000000000000006E-2</v>
      </c>
      <c r="K461" s="18">
        <f t="shared" si="19"/>
        <v>3400</v>
      </c>
    </row>
    <row r="462" spans="1:11" hidden="1" x14ac:dyDescent="0.35">
      <c r="A462" s="24" t="s">
        <v>298</v>
      </c>
      <c r="B462" s="24" t="str">
        <f t="shared" si="20"/>
        <v>Gà xé trộn hànhHành tây</v>
      </c>
      <c r="C462" s="24" t="s">
        <v>8</v>
      </c>
      <c r="D462" t="s">
        <v>18</v>
      </c>
      <c r="E462" t="s">
        <v>441</v>
      </c>
      <c r="F462" t="s">
        <v>35</v>
      </c>
      <c r="G462" s="17">
        <v>3</v>
      </c>
      <c r="H462" s="18">
        <v>15000</v>
      </c>
      <c r="I462" s="18">
        <v>100</v>
      </c>
      <c r="J462" s="17">
        <f t="shared" si="21"/>
        <v>0.03</v>
      </c>
      <c r="K462" s="18">
        <f t="shared" si="19"/>
        <v>450</v>
      </c>
    </row>
    <row r="463" spans="1:11" hidden="1" x14ac:dyDescent="0.35">
      <c r="A463" s="24" t="s">
        <v>298</v>
      </c>
      <c r="B463" s="24" t="str">
        <f t="shared" si="20"/>
        <v>Gà xé trộn hànhRau răm</v>
      </c>
      <c r="C463" s="24" t="s">
        <v>8</v>
      </c>
      <c r="D463" t="s">
        <v>18</v>
      </c>
      <c r="E463" t="s">
        <v>441</v>
      </c>
      <c r="F463" t="s">
        <v>69</v>
      </c>
      <c r="G463" s="17">
        <v>0.5</v>
      </c>
      <c r="H463" s="18">
        <v>30000</v>
      </c>
      <c r="I463" s="18">
        <v>100</v>
      </c>
      <c r="J463" s="17">
        <f t="shared" si="21"/>
        <v>5.0000000000000001E-3</v>
      </c>
      <c r="K463" s="18">
        <f t="shared" si="19"/>
        <v>150</v>
      </c>
    </row>
    <row r="464" spans="1:11" hidden="1" x14ac:dyDescent="0.35">
      <c r="A464" s="24" t="s">
        <v>232</v>
      </c>
      <c r="B464" s="24" t="str">
        <f t="shared" si="20"/>
        <v>Thịt kho sả ruốcHeo nọng nạc</v>
      </c>
      <c r="C464" s="24" t="s">
        <v>8</v>
      </c>
      <c r="D464" t="s">
        <v>18</v>
      </c>
      <c r="E464" t="s">
        <v>442</v>
      </c>
      <c r="F464" t="s">
        <v>370</v>
      </c>
      <c r="G464" s="17">
        <v>1.2</v>
      </c>
      <c r="H464" s="18">
        <v>70000</v>
      </c>
      <c r="I464" s="18">
        <v>78</v>
      </c>
      <c r="J464" s="17">
        <f t="shared" si="21"/>
        <v>1.5384615384615384E-2</v>
      </c>
      <c r="K464" s="18">
        <f t="shared" si="19"/>
        <v>1076.9230769230769</v>
      </c>
    </row>
    <row r="465" spans="1:11" hidden="1" x14ac:dyDescent="0.35">
      <c r="A465" s="24" t="s">
        <v>232</v>
      </c>
      <c r="B465" s="24" t="str">
        <f t="shared" si="20"/>
        <v>Thịt kho sả ruốcThịt nạc vai</v>
      </c>
      <c r="C465" s="24" t="s">
        <v>8</v>
      </c>
      <c r="D465" t="s">
        <v>18</v>
      </c>
      <c r="E465" t="s">
        <v>442</v>
      </c>
      <c r="F465" t="s">
        <v>85</v>
      </c>
      <c r="G465" s="17">
        <v>2.2999999999999998</v>
      </c>
      <c r="H465" s="18">
        <v>110000</v>
      </c>
      <c r="I465" s="18">
        <v>78</v>
      </c>
      <c r="J465" s="17">
        <f t="shared" si="21"/>
        <v>2.9487179487179487E-2</v>
      </c>
      <c r="K465" s="18">
        <f t="shared" si="19"/>
        <v>3243.5897435897432</v>
      </c>
    </row>
    <row r="466" spans="1:11" hidden="1" x14ac:dyDescent="0.35">
      <c r="A466" s="24" t="s">
        <v>298</v>
      </c>
      <c r="B466" s="24" t="str">
        <f t="shared" si="20"/>
        <v>Thịt kho sả ruốcSả</v>
      </c>
      <c r="C466" s="24" t="s">
        <v>8</v>
      </c>
      <c r="D466" t="s">
        <v>18</v>
      </c>
      <c r="E466" t="s">
        <v>442</v>
      </c>
      <c r="F466" t="s">
        <v>207</v>
      </c>
      <c r="G466" s="17">
        <v>0.5</v>
      </c>
      <c r="H466" s="18">
        <v>25000</v>
      </c>
      <c r="I466" s="18">
        <v>78</v>
      </c>
      <c r="J466" s="17">
        <f t="shared" si="21"/>
        <v>6.41025641025641E-3</v>
      </c>
      <c r="K466" s="18">
        <f t="shared" si="19"/>
        <v>160.25641025641025</v>
      </c>
    </row>
    <row r="467" spans="1:11" hidden="1" x14ac:dyDescent="0.35">
      <c r="A467" s="24" t="s">
        <v>232</v>
      </c>
      <c r="B467" s="24" t="str">
        <f t="shared" si="20"/>
        <v>Thịt kho sả ruốcMắm ruốc</v>
      </c>
      <c r="C467" s="24" t="s">
        <v>8</v>
      </c>
      <c r="D467" t="s">
        <v>18</v>
      </c>
      <c r="E467" t="s">
        <v>442</v>
      </c>
      <c r="F467" t="s">
        <v>282</v>
      </c>
      <c r="G467" s="17">
        <v>0.5</v>
      </c>
      <c r="H467" s="18">
        <v>35000</v>
      </c>
      <c r="I467" s="18">
        <v>78</v>
      </c>
      <c r="J467" s="17">
        <f t="shared" si="21"/>
        <v>6.41025641025641E-3</v>
      </c>
      <c r="K467" s="18">
        <f t="shared" si="19"/>
        <v>224.35897435897436</v>
      </c>
    </row>
    <row r="468" spans="1:11" hidden="1" x14ac:dyDescent="0.35">
      <c r="A468" s="24" t="s">
        <v>232</v>
      </c>
      <c r="B468" s="24" t="str">
        <f t="shared" si="20"/>
        <v>Thịt rim chả cáHeo nọng nạc</v>
      </c>
      <c r="C468" s="24" t="s">
        <v>8</v>
      </c>
      <c r="D468" t="s">
        <v>18</v>
      </c>
      <c r="E468" t="s">
        <v>446</v>
      </c>
      <c r="F468" t="s">
        <v>370</v>
      </c>
      <c r="G468" s="17">
        <v>1</v>
      </c>
      <c r="H468" s="18">
        <v>80000</v>
      </c>
      <c r="I468" s="18">
        <v>100</v>
      </c>
      <c r="J468" s="17">
        <f t="shared" si="21"/>
        <v>0.01</v>
      </c>
      <c r="K468" s="18">
        <f t="shared" si="19"/>
        <v>800</v>
      </c>
    </row>
    <row r="469" spans="1:11" hidden="1" x14ac:dyDescent="0.35">
      <c r="A469" s="24" t="s">
        <v>232</v>
      </c>
      <c r="B469" s="24" t="str">
        <f t="shared" si="20"/>
        <v>Thịt rim chả cáNạc vai</v>
      </c>
      <c r="C469" s="24" t="s">
        <v>8</v>
      </c>
      <c r="D469" t="s">
        <v>18</v>
      </c>
      <c r="E469" t="s">
        <v>446</v>
      </c>
      <c r="F469" t="s">
        <v>60</v>
      </c>
      <c r="G469" s="17">
        <v>2.5</v>
      </c>
      <c r="H469" s="18">
        <v>85000</v>
      </c>
      <c r="I469" s="18">
        <v>100</v>
      </c>
      <c r="J469" s="17">
        <f t="shared" si="21"/>
        <v>2.5000000000000001E-2</v>
      </c>
      <c r="K469" s="18">
        <f t="shared" si="19"/>
        <v>2125</v>
      </c>
    </row>
    <row r="470" spans="1:11" hidden="1" x14ac:dyDescent="0.35">
      <c r="A470" s="24" t="s">
        <v>232</v>
      </c>
      <c r="B470" s="24" t="str">
        <f t="shared" si="20"/>
        <v>Thịt rim chả cáChả cá tâm</v>
      </c>
      <c r="C470" s="24" t="s">
        <v>8</v>
      </c>
      <c r="D470" t="s">
        <v>18</v>
      </c>
      <c r="E470" t="s">
        <v>446</v>
      </c>
      <c r="F470" t="s">
        <v>445</v>
      </c>
      <c r="G470" s="17">
        <v>2.5</v>
      </c>
      <c r="H470" s="18">
        <v>60000</v>
      </c>
      <c r="I470" s="18">
        <v>100</v>
      </c>
      <c r="J470" s="17">
        <f t="shared" si="21"/>
        <v>2.5000000000000001E-2</v>
      </c>
      <c r="K470" s="18">
        <f t="shared" si="19"/>
        <v>1500</v>
      </c>
    </row>
    <row r="471" spans="1:11" hidden="1" x14ac:dyDescent="0.35">
      <c r="A471" s="24" t="s">
        <v>232</v>
      </c>
      <c r="B471" s="24" t="str">
        <f t="shared" si="20"/>
        <v>Gà chiên mắmGà enfood</v>
      </c>
      <c r="C471" s="24" t="s">
        <v>8</v>
      </c>
      <c r="D471" t="s">
        <v>18</v>
      </c>
      <c r="E471" t="s">
        <v>455</v>
      </c>
      <c r="F471" t="s">
        <v>407</v>
      </c>
      <c r="G471" s="17">
        <v>13</v>
      </c>
      <c r="H471" s="18">
        <v>55000</v>
      </c>
      <c r="I471" s="18">
        <v>100</v>
      </c>
      <c r="J471" s="17">
        <f t="shared" si="21"/>
        <v>0.13</v>
      </c>
      <c r="K471" s="18">
        <f t="shared" si="19"/>
        <v>7150</v>
      </c>
    </row>
    <row r="472" spans="1:11" hidden="1" x14ac:dyDescent="0.35">
      <c r="A472" s="24" t="s">
        <v>232</v>
      </c>
      <c r="B472" s="24" t="str">
        <f t="shared" si="20"/>
        <v>Gà chiên mắmSả</v>
      </c>
      <c r="C472" s="24" t="s">
        <v>8</v>
      </c>
      <c r="D472" t="s">
        <v>18</v>
      </c>
      <c r="E472" t="s">
        <v>455</v>
      </c>
      <c r="F472" t="s">
        <v>207</v>
      </c>
      <c r="G472" s="17">
        <v>0.5</v>
      </c>
      <c r="H472" s="18">
        <v>25000</v>
      </c>
      <c r="I472" s="18">
        <v>100</v>
      </c>
      <c r="J472" s="17">
        <f t="shared" si="21"/>
        <v>5.0000000000000001E-3</v>
      </c>
      <c r="K472" s="18">
        <f t="shared" si="19"/>
        <v>125</v>
      </c>
    </row>
    <row r="473" spans="1:11" hidden="1" x14ac:dyDescent="0.35">
      <c r="A473" s="24" t="s">
        <v>233</v>
      </c>
      <c r="B473" s="24" t="str">
        <f t="shared" si="20"/>
        <v>Mỳ Thịt xíu trứngMỳ tươi</v>
      </c>
      <c r="C473" s="24" t="s">
        <v>8</v>
      </c>
      <c r="D473" t="s">
        <v>20</v>
      </c>
      <c r="E473" t="s">
        <v>326</v>
      </c>
      <c r="F473" t="s">
        <v>389</v>
      </c>
      <c r="G473" s="17">
        <v>33</v>
      </c>
      <c r="H473" s="18">
        <v>10000</v>
      </c>
      <c r="I473" s="18">
        <v>100</v>
      </c>
      <c r="J473" s="17">
        <f t="shared" si="21"/>
        <v>0.33</v>
      </c>
      <c r="K473" s="18">
        <f t="shared" si="19"/>
        <v>3300</v>
      </c>
    </row>
    <row r="474" spans="1:11" hidden="1" x14ac:dyDescent="0.35">
      <c r="A474" s="24" t="s">
        <v>233</v>
      </c>
      <c r="B474" s="24" t="str">
        <f t="shared" si="20"/>
        <v>Mỳ Thịt xíu trứngcua đồng</v>
      </c>
      <c r="C474" s="24" t="s">
        <v>8</v>
      </c>
      <c r="D474" t="s">
        <v>20</v>
      </c>
      <c r="E474" t="s">
        <v>326</v>
      </c>
      <c r="F474" t="s">
        <v>476</v>
      </c>
      <c r="G474" s="17">
        <v>1</v>
      </c>
      <c r="H474" s="18">
        <v>50000</v>
      </c>
      <c r="I474" s="18">
        <v>100</v>
      </c>
      <c r="J474" s="17">
        <f t="shared" si="21"/>
        <v>0.01</v>
      </c>
      <c r="K474" s="18">
        <f t="shared" si="19"/>
        <v>500</v>
      </c>
    </row>
    <row r="475" spans="1:11" hidden="1" x14ac:dyDescent="0.35">
      <c r="A475" s="24" t="s">
        <v>233</v>
      </c>
      <c r="B475" s="24" t="str">
        <f t="shared" si="20"/>
        <v>Cà ri gà + bánh mìCà rốt</v>
      </c>
      <c r="C475" s="24" t="s">
        <v>8</v>
      </c>
      <c r="D475" t="s">
        <v>20</v>
      </c>
      <c r="E475" t="s">
        <v>480</v>
      </c>
      <c r="F475" t="s">
        <v>78</v>
      </c>
      <c r="G475" s="17">
        <v>10</v>
      </c>
      <c r="H475" s="18">
        <v>15000</v>
      </c>
      <c r="I475" s="18">
        <v>100</v>
      </c>
      <c r="J475" s="17">
        <f t="shared" si="21"/>
        <v>0.1</v>
      </c>
      <c r="K475" s="18">
        <f t="shared" si="19"/>
        <v>1500</v>
      </c>
    </row>
    <row r="476" spans="1:11" hidden="1" x14ac:dyDescent="0.35">
      <c r="A476" s="24" t="s">
        <v>233</v>
      </c>
      <c r="B476" s="24" t="str">
        <f t="shared" si="20"/>
        <v>Cà ri gà + bánh mìKhoai tây</v>
      </c>
      <c r="C476" s="24" t="s">
        <v>8</v>
      </c>
      <c r="D476" t="s">
        <v>20</v>
      </c>
      <c r="E476" t="s">
        <v>480</v>
      </c>
      <c r="F476" t="s">
        <v>77</v>
      </c>
      <c r="G476" s="17">
        <v>10</v>
      </c>
      <c r="H476" s="18">
        <v>12000</v>
      </c>
      <c r="I476" s="18">
        <v>100</v>
      </c>
      <c r="J476" s="17">
        <f t="shared" si="21"/>
        <v>0.1</v>
      </c>
      <c r="K476" s="18">
        <f t="shared" si="19"/>
        <v>1200</v>
      </c>
    </row>
    <row r="477" spans="1:11" hidden="1" x14ac:dyDescent="0.35">
      <c r="A477" s="24" t="s">
        <v>233</v>
      </c>
      <c r="B477" s="24" t="str">
        <f t="shared" si="20"/>
        <v>Cà ri gà + bánh mìKhoai lang</v>
      </c>
      <c r="C477" s="24" t="s">
        <v>8</v>
      </c>
      <c r="D477" t="s">
        <v>20</v>
      </c>
      <c r="E477" t="s">
        <v>480</v>
      </c>
      <c r="F477" t="s">
        <v>404</v>
      </c>
      <c r="G477" s="17">
        <v>6</v>
      </c>
      <c r="H477" s="18">
        <v>20000</v>
      </c>
      <c r="I477" s="18">
        <v>100</v>
      </c>
      <c r="J477" s="17">
        <f t="shared" si="21"/>
        <v>0.06</v>
      </c>
      <c r="K477" s="18">
        <f t="shared" si="19"/>
        <v>1200</v>
      </c>
    </row>
    <row r="478" spans="1:11" hidden="1" x14ac:dyDescent="0.35">
      <c r="A478" s="24" t="s">
        <v>233</v>
      </c>
      <c r="B478" s="24" t="str">
        <f t="shared" si="20"/>
        <v>Cà ri gà + bánh mìHành tây</v>
      </c>
      <c r="C478" s="24" t="s">
        <v>8</v>
      </c>
      <c r="D478" t="s">
        <v>20</v>
      </c>
      <c r="E478" t="s">
        <v>480</v>
      </c>
      <c r="F478" t="s">
        <v>35</v>
      </c>
      <c r="G478" s="17">
        <v>1.2</v>
      </c>
      <c r="H478" s="18">
        <v>15000</v>
      </c>
      <c r="I478" s="18">
        <v>100</v>
      </c>
      <c r="J478" s="17">
        <f t="shared" si="21"/>
        <v>1.2E-2</v>
      </c>
      <c r="K478" s="18">
        <f t="shared" si="19"/>
        <v>180</v>
      </c>
    </row>
    <row r="479" spans="1:11" hidden="1" x14ac:dyDescent="0.35">
      <c r="A479" s="24" t="s">
        <v>233</v>
      </c>
      <c r="B479" s="24" t="str">
        <f t="shared" si="20"/>
        <v>Cà ri gà + bánh mìRau quế</v>
      </c>
      <c r="C479" s="24" t="s">
        <v>8</v>
      </c>
      <c r="D479" t="s">
        <v>20</v>
      </c>
      <c r="E479" t="s">
        <v>480</v>
      </c>
      <c r="F479" t="s">
        <v>23</v>
      </c>
      <c r="G479" s="17">
        <v>0.4</v>
      </c>
      <c r="H479" s="18">
        <v>30000</v>
      </c>
      <c r="I479" s="18">
        <v>100</v>
      </c>
      <c r="J479" s="17">
        <f t="shared" si="21"/>
        <v>4.0000000000000001E-3</v>
      </c>
      <c r="K479" s="18">
        <f t="shared" si="19"/>
        <v>120</v>
      </c>
    </row>
    <row r="480" spans="1:11" hidden="1" x14ac:dyDescent="0.35">
      <c r="A480" s="24" t="s">
        <v>233</v>
      </c>
      <c r="B480" s="24" t="str">
        <f t="shared" si="20"/>
        <v>Cà ri gà + bánh mìHành lá</v>
      </c>
      <c r="C480" s="24" t="s">
        <v>8</v>
      </c>
      <c r="D480" t="s">
        <v>20</v>
      </c>
      <c r="E480" t="s">
        <v>480</v>
      </c>
      <c r="F480" t="s">
        <v>24</v>
      </c>
      <c r="G480" s="17">
        <v>0.5</v>
      </c>
      <c r="H480" s="18">
        <v>20000</v>
      </c>
      <c r="I480" s="18">
        <v>100</v>
      </c>
      <c r="J480" s="17">
        <f t="shared" si="21"/>
        <v>5.0000000000000001E-3</v>
      </c>
      <c r="K480" s="18">
        <f t="shared" si="19"/>
        <v>100</v>
      </c>
    </row>
    <row r="481" spans="1:11" hidden="1" x14ac:dyDescent="0.35">
      <c r="A481" s="24" t="s">
        <v>233</v>
      </c>
      <c r="B481" s="24" t="str">
        <f t="shared" si="20"/>
        <v>Cà ri gà + bánh mìNgò gai</v>
      </c>
      <c r="C481" s="24" t="s">
        <v>8</v>
      </c>
      <c r="D481" t="s">
        <v>20</v>
      </c>
      <c r="E481" t="s">
        <v>480</v>
      </c>
      <c r="F481" t="s">
        <v>101</v>
      </c>
      <c r="G481" s="17">
        <v>0.2</v>
      </c>
      <c r="H481" s="18">
        <v>30000</v>
      </c>
      <c r="I481" s="18">
        <v>100</v>
      </c>
      <c r="J481" s="17">
        <f t="shared" si="21"/>
        <v>2E-3</v>
      </c>
      <c r="K481" s="18">
        <f t="shared" si="19"/>
        <v>60</v>
      </c>
    </row>
    <row r="482" spans="1:11" hidden="1" x14ac:dyDescent="0.35">
      <c r="A482" s="24" t="s">
        <v>233</v>
      </c>
      <c r="B482" s="24" t="str">
        <f t="shared" si="20"/>
        <v>Cà ri gà + bánh mìNước cốt dừa tươi</v>
      </c>
      <c r="C482" s="24" t="s">
        <v>8</v>
      </c>
      <c r="D482" t="s">
        <v>20</v>
      </c>
      <c r="E482" t="s">
        <v>480</v>
      </c>
      <c r="F482" t="s">
        <v>412</v>
      </c>
      <c r="G482" s="17">
        <v>1</v>
      </c>
      <c r="H482" s="18">
        <v>30000</v>
      </c>
      <c r="I482" s="18">
        <v>100</v>
      </c>
      <c r="J482" s="17">
        <f t="shared" si="21"/>
        <v>0.01</v>
      </c>
      <c r="K482" s="18">
        <f t="shared" si="19"/>
        <v>300</v>
      </c>
    </row>
    <row r="483" spans="1:11" hidden="1" x14ac:dyDescent="0.35">
      <c r="A483" s="24" t="s">
        <v>233</v>
      </c>
      <c r="B483" s="24" t="str">
        <f t="shared" si="20"/>
        <v>Cà ri gà + bánh mìSữa tươi ko đường</v>
      </c>
      <c r="C483" s="24" t="s">
        <v>8</v>
      </c>
      <c r="D483" t="s">
        <v>20</v>
      </c>
      <c r="E483" t="s">
        <v>480</v>
      </c>
      <c r="F483" t="s">
        <v>423</v>
      </c>
      <c r="G483" s="17">
        <v>3</v>
      </c>
      <c r="H483" s="18">
        <v>7000</v>
      </c>
      <c r="I483" s="18">
        <v>100</v>
      </c>
      <c r="J483" s="17">
        <f t="shared" si="21"/>
        <v>0.03</v>
      </c>
      <c r="K483" s="18">
        <f t="shared" ref="K483:K548" si="22">(G483*H483)/I483</f>
        <v>210</v>
      </c>
    </row>
    <row r="484" spans="1:11" hidden="1" x14ac:dyDescent="0.35">
      <c r="A484" s="24" t="s">
        <v>233</v>
      </c>
      <c r="B484" s="24" t="str">
        <f t="shared" si="20"/>
        <v>Cà ri gà + bánh mìSốt cà ri</v>
      </c>
      <c r="C484" s="24" t="s">
        <v>8</v>
      </c>
      <c r="D484" t="s">
        <v>20</v>
      </c>
      <c r="E484" t="s">
        <v>480</v>
      </c>
      <c r="F484" t="s">
        <v>422</v>
      </c>
      <c r="G484" s="17">
        <v>2</v>
      </c>
      <c r="H484" s="18">
        <v>10000</v>
      </c>
      <c r="I484" s="18">
        <v>100</v>
      </c>
      <c r="J484" s="17">
        <f t="shared" si="21"/>
        <v>0.02</v>
      </c>
      <c r="K484" s="18">
        <f t="shared" si="22"/>
        <v>200</v>
      </c>
    </row>
    <row r="485" spans="1:11" hidden="1" x14ac:dyDescent="0.35">
      <c r="A485" s="24" t="s">
        <v>233</v>
      </c>
      <c r="B485" s="24" t="str">
        <f t="shared" si="20"/>
        <v>Cà ri gà + bánh mìSả</v>
      </c>
      <c r="C485" s="24" t="s">
        <v>8</v>
      </c>
      <c r="D485" t="s">
        <v>20</v>
      </c>
      <c r="E485" t="s">
        <v>480</v>
      </c>
      <c r="F485" t="s">
        <v>207</v>
      </c>
      <c r="G485" s="17">
        <v>1.2</v>
      </c>
      <c r="H485" s="18">
        <v>30000</v>
      </c>
      <c r="I485" s="18">
        <v>100</v>
      </c>
      <c r="J485" s="17">
        <f t="shared" si="21"/>
        <v>1.2E-2</v>
      </c>
      <c r="K485" s="18">
        <f t="shared" si="22"/>
        <v>360</v>
      </c>
    </row>
    <row r="486" spans="1:11" hidden="1" x14ac:dyDescent="0.35">
      <c r="A486" s="24" t="s">
        <v>233</v>
      </c>
      <c r="B486" s="24" t="str">
        <f t="shared" si="20"/>
        <v>Cà ri gà + bánh mìmá đùi gà</v>
      </c>
      <c r="C486" s="24" t="s">
        <v>8</v>
      </c>
      <c r="D486" t="s">
        <v>20</v>
      </c>
      <c r="E486" t="s">
        <v>480</v>
      </c>
      <c r="F486" t="s">
        <v>464</v>
      </c>
      <c r="G486" s="17">
        <v>18</v>
      </c>
      <c r="H486" s="18">
        <v>40000</v>
      </c>
      <c r="I486" s="18">
        <v>100</v>
      </c>
      <c r="J486" s="17">
        <f t="shared" si="21"/>
        <v>0.18</v>
      </c>
      <c r="K486" s="18">
        <f t="shared" si="22"/>
        <v>7200</v>
      </c>
    </row>
    <row r="487" spans="1:11" hidden="1" x14ac:dyDescent="0.35">
      <c r="A487" s="24" t="s">
        <v>233</v>
      </c>
      <c r="B487" s="24" t="str">
        <f t="shared" si="20"/>
        <v>Cà ri gà + bánh mìtrứng cút lọt sẵn</v>
      </c>
      <c r="C487" s="24" t="s">
        <v>8</v>
      </c>
      <c r="D487" t="s">
        <v>20</v>
      </c>
      <c r="E487" t="s">
        <v>480</v>
      </c>
      <c r="F487" t="s">
        <v>424</v>
      </c>
      <c r="G487" s="17">
        <v>300</v>
      </c>
      <c r="H487" s="18">
        <v>600</v>
      </c>
      <c r="I487" s="18">
        <v>100</v>
      </c>
      <c r="J487" s="17">
        <f t="shared" ref="J487" si="23">G487/I487</f>
        <v>3</v>
      </c>
      <c r="K487" s="18">
        <f t="shared" ref="K487" si="24">(G487*H487)/I487</f>
        <v>1800</v>
      </c>
    </row>
    <row r="488" spans="1:11" hidden="1" x14ac:dyDescent="0.35">
      <c r="A488" s="24" t="s">
        <v>233</v>
      </c>
      <c r="B488" s="24" t="str">
        <f t="shared" si="20"/>
        <v>Cà ri gà + bánh mìBánh mì</v>
      </c>
      <c r="C488" s="24" t="s">
        <v>8</v>
      </c>
      <c r="D488" t="s">
        <v>20</v>
      </c>
      <c r="E488" t="s">
        <v>480</v>
      </c>
      <c r="F488" t="s">
        <v>395</v>
      </c>
      <c r="G488" s="17">
        <v>150</v>
      </c>
      <c r="H488" s="18">
        <v>2000</v>
      </c>
      <c r="I488" s="18">
        <v>100</v>
      </c>
      <c r="J488" s="17">
        <f t="shared" si="21"/>
        <v>1.5</v>
      </c>
      <c r="K488" s="18">
        <f t="shared" si="22"/>
        <v>3000</v>
      </c>
    </row>
    <row r="489" spans="1:11" hidden="1" x14ac:dyDescent="0.35">
      <c r="A489" s="24" t="s">
        <v>233</v>
      </c>
      <c r="B489" s="24" t="str">
        <f t="shared" si="20"/>
        <v>Cà ri gà + bánh mìChanh</v>
      </c>
      <c r="C489" s="24" t="s">
        <v>8</v>
      </c>
      <c r="D489" t="s">
        <v>20</v>
      </c>
      <c r="E489" t="s">
        <v>480</v>
      </c>
      <c r="F489" t="s">
        <v>25</v>
      </c>
      <c r="G489" s="17">
        <v>0.8</v>
      </c>
      <c r="H489" s="18">
        <v>25000</v>
      </c>
      <c r="I489" s="18">
        <v>100</v>
      </c>
      <c r="J489" s="17">
        <f t="shared" si="21"/>
        <v>8.0000000000000002E-3</v>
      </c>
      <c r="K489" s="18">
        <f t="shared" si="22"/>
        <v>200</v>
      </c>
    </row>
    <row r="490" spans="1:11" hidden="1" x14ac:dyDescent="0.35">
      <c r="A490" s="24" t="s">
        <v>233</v>
      </c>
      <c r="B490" s="24" t="str">
        <f t="shared" si="20"/>
        <v>Cà ri bò + bánh mỳCà rốt</v>
      </c>
      <c r="C490" s="24" t="s">
        <v>8</v>
      </c>
      <c r="D490" t="s">
        <v>20</v>
      </c>
      <c r="E490" t="s">
        <v>345</v>
      </c>
      <c r="F490" t="s">
        <v>78</v>
      </c>
      <c r="G490" s="17">
        <v>10</v>
      </c>
      <c r="H490" s="18">
        <v>15000</v>
      </c>
      <c r="I490" s="18">
        <v>100</v>
      </c>
      <c r="J490" s="17">
        <f t="shared" si="21"/>
        <v>0.1</v>
      </c>
      <c r="K490" s="18">
        <f t="shared" si="22"/>
        <v>1500</v>
      </c>
    </row>
    <row r="491" spans="1:11" hidden="1" x14ac:dyDescent="0.35">
      <c r="A491" s="24" t="s">
        <v>233</v>
      </c>
      <c r="B491" s="24" t="str">
        <f t="shared" si="20"/>
        <v>Cà ri bò + bánh mỳKhoai tây</v>
      </c>
      <c r="C491" s="24" t="s">
        <v>8</v>
      </c>
      <c r="D491" t="s">
        <v>20</v>
      </c>
      <c r="E491" t="s">
        <v>345</v>
      </c>
      <c r="F491" t="s">
        <v>77</v>
      </c>
      <c r="G491" s="17">
        <v>10</v>
      </c>
      <c r="H491" s="18">
        <v>12000</v>
      </c>
      <c r="I491" s="18">
        <v>100</v>
      </c>
      <c r="J491" s="17">
        <f t="shared" si="21"/>
        <v>0.1</v>
      </c>
      <c r="K491" s="18">
        <f t="shared" si="22"/>
        <v>1200</v>
      </c>
    </row>
    <row r="492" spans="1:11" hidden="1" x14ac:dyDescent="0.35">
      <c r="A492" s="24" t="s">
        <v>233</v>
      </c>
      <c r="B492" s="24" t="str">
        <f t="shared" si="20"/>
        <v>Cà ri bò + bánh mỳKhoai lang</v>
      </c>
      <c r="C492" s="24" t="s">
        <v>8</v>
      </c>
      <c r="D492" t="s">
        <v>20</v>
      </c>
      <c r="E492" t="s">
        <v>345</v>
      </c>
      <c r="F492" t="s">
        <v>404</v>
      </c>
      <c r="G492" s="17">
        <v>6</v>
      </c>
      <c r="H492" s="18">
        <v>20000</v>
      </c>
      <c r="I492" s="18">
        <v>100</v>
      </c>
      <c r="J492" s="17">
        <f t="shared" si="21"/>
        <v>0.06</v>
      </c>
      <c r="K492" s="18">
        <f t="shared" si="22"/>
        <v>1200</v>
      </c>
    </row>
    <row r="493" spans="1:11" hidden="1" x14ac:dyDescent="0.35">
      <c r="A493" s="24" t="s">
        <v>233</v>
      </c>
      <c r="B493" s="24" t="str">
        <f t="shared" si="20"/>
        <v>Cà ri bò + bánh mỳHành tây</v>
      </c>
      <c r="C493" s="24" t="s">
        <v>8</v>
      </c>
      <c r="D493" t="s">
        <v>20</v>
      </c>
      <c r="E493" t="s">
        <v>345</v>
      </c>
      <c r="F493" t="s">
        <v>35</v>
      </c>
      <c r="G493" s="17">
        <v>1.2</v>
      </c>
      <c r="H493" s="18">
        <v>15000</v>
      </c>
      <c r="I493" s="18">
        <v>100</v>
      </c>
      <c r="J493" s="17">
        <f t="shared" si="21"/>
        <v>1.2E-2</v>
      </c>
      <c r="K493" s="18">
        <f t="shared" si="22"/>
        <v>180</v>
      </c>
    </row>
    <row r="494" spans="1:11" hidden="1" x14ac:dyDescent="0.35">
      <c r="A494" s="24" t="s">
        <v>233</v>
      </c>
      <c r="B494" s="24" t="str">
        <f t="shared" si="20"/>
        <v>Cà ri bò + bánh mỳRau quế</v>
      </c>
      <c r="C494" s="24" t="s">
        <v>8</v>
      </c>
      <c r="D494" t="s">
        <v>20</v>
      </c>
      <c r="E494" t="s">
        <v>345</v>
      </c>
      <c r="F494" t="s">
        <v>23</v>
      </c>
      <c r="G494" s="17">
        <v>0.4</v>
      </c>
      <c r="H494" s="18">
        <v>30000</v>
      </c>
      <c r="I494" s="18">
        <v>100</v>
      </c>
      <c r="J494" s="17">
        <f t="shared" si="21"/>
        <v>4.0000000000000001E-3</v>
      </c>
      <c r="K494" s="18">
        <f t="shared" si="22"/>
        <v>120</v>
      </c>
    </row>
    <row r="495" spans="1:11" hidden="1" x14ac:dyDescent="0.35">
      <c r="A495" s="24" t="s">
        <v>233</v>
      </c>
      <c r="B495" s="24" t="str">
        <f t="shared" si="20"/>
        <v>Cà ri bò + bánh mỳHành lá</v>
      </c>
      <c r="C495" s="24" t="s">
        <v>8</v>
      </c>
      <c r="D495" t="s">
        <v>20</v>
      </c>
      <c r="E495" t="s">
        <v>345</v>
      </c>
      <c r="F495" t="s">
        <v>24</v>
      </c>
      <c r="G495" s="17">
        <v>0.5</v>
      </c>
      <c r="H495" s="18">
        <v>20000</v>
      </c>
      <c r="I495" s="18">
        <v>100</v>
      </c>
      <c r="J495" s="17">
        <f t="shared" si="21"/>
        <v>5.0000000000000001E-3</v>
      </c>
      <c r="K495" s="18">
        <f t="shared" si="22"/>
        <v>100</v>
      </c>
    </row>
    <row r="496" spans="1:11" hidden="1" x14ac:dyDescent="0.35">
      <c r="A496" s="24" t="s">
        <v>233</v>
      </c>
      <c r="B496" s="24" t="str">
        <f t="shared" si="20"/>
        <v>Cà ri bò + bánh mỳNgò gai</v>
      </c>
      <c r="C496" s="24" t="s">
        <v>8</v>
      </c>
      <c r="D496" t="s">
        <v>20</v>
      </c>
      <c r="E496" t="s">
        <v>345</v>
      </c>
      <c r="F496" t="s">
        <v>101</v>
      </c>
      <c r="G496" s="17">
        <v>0.2</v>
      </c>
      <c r="H496" s="18">
        <v>30000</v>
      </c>
      <c r="I496" s="18">
        <v>100</v>
      </c>
      <c r="J496" s="17">
        <f t="shared" si="21"/>
        <v>2E-3</v>
      </c>
      <c r="K496" s="18">
        <f t="shared" si="22"/>
        <v>60</v>
      </c>
    </row>
    <row r="497" spans="1:11" hidden="1" x14ac:dyDescent="0.35">
      <c r="A497" s="24" t="s">
        <v>233</v>
      </c>
      <c r="B497" s="24" t="str">
        <f t="shared" si="20"/>
        <v>Cà ri bò + bánh mỳNước cốt dừa tươi</v>
      </c>
      <c r="C497" s="24" t="s">
        <v>8</v>
      </c>
      <c r="D497" t="s">
        <v>20</v>
      </c>
      <c r="E497" t="s">
        <v>345</v>
      </c>
      <c r="F497" t="s">
        <v>412</v>
      </c>
      <c r="G497" s="17">
        <v>1</v>
      </c>
      <c r="H497" s="18">
        <v>30000</v>
      </c>
      <c r="I497" s="18">
        <v>100</v>
      </c>
      <c r="J497" s="17">
        <f t="shared" si="21"/>
        <v>0.01</v>
      </c>
      <c r="K497" s="18">
        <f t="shared" si="22"/>
        <v>300</v>
      </c>
    </row>
    <row r="498" spans="1:11" hidden="1" x14ac:dyDescent="0.35">
      <c r="A498" s="24" t="s">
        <v>233</v>
      </c>
      <c r="B498" s="24" t="str">
        <f t="shared" ref="B498:B564" si="25">E498&amp;F498</f>
        <v>Cà ri bò + bánh mỳSữa tươi ko đường</v>
      </c>
      <c r="C498" s="24" t="s">
        <v>8</v>
      </c>
      <c r="D498" t="s">
        <v>20</v>
      </c>
      <c r="E498" t="s">
        <v>345</v>
      </c>
      <c r="F498" t="s">
        <v>423</v>
      </c>
      <c r="G498" s="17">
        <v>2</v>
      </c>
      <c r="H498" s="18">
        <v>7000</v>
      </c>
      <c r="I498" s="18">
        <v>100</v>
      </c>
      <c r="J498" s="17">
        <f t="shared" si="21"/>
        <v>0.02</v>
      </c>
      <c r="K498" s="18">
        <f t="shared" si="22"/>
        <v>140</v>
      </c>
    </row>
    <row r="499" spans="1:11" hidden="1" x14ac:dyDescent="0.35">
      <c r="A499" s="24" t="s">
        <v>233</v>
      </c>
      <c r="B499" s="24" t="str">
        <f t="shared" si="25"/>
        <v>Cà ri bò + bánh mỳSốt cà ri</v>
      </c>
      <c r="C499" s="24" t="s">
        <v>8</v>
      </c>
      <c r="D499" t="s">
        <v>20</v>
      </c>
      <c r="E499" t="s">
        <v>345</v>
      </c>
      <c r="F499" t="s">
        <v>422</v>
      </c>
      <c r="G499" s="17">
        <v>2</v>
      </c>
      <c r="H499" s="18">
        <v>10000</v>
      </c>
      <c r="I499" s="18">
        <v>100</v>
      </c>
      <c r="J499" s="17">
        <f t="shared" si="21"/>
        <v>0.02</v>
      </c>
      <c r="K499" s="18">
        <f t="shared" si="22"/>
        <v>200</v>
      </c>
    </row>
    <row r="500" spans="1:11" hidden="1" x14ac:dyDescent="0.35">
      <c r="A500" s="24" t="s">
        <v>233</v>
      </c>
      <c r="B500" s="24" t="str">
        <f t="shared" si="25"/>
        <v>Cà ri bò + bánh mỳSả</v>
      </c>
      <c r="C500" s="24" t="s">
        <v>8</v>
      </c>
      <c r="D500" t="s">
        <v>20</v>
      </c>
      <c r="E500" t="s">
        <v>345</v>
      </c>
      <c r="F500" t="s">
        <v>207</v>
      </c>
      <c r="G500" s="17">
        <v>1.2</v>
      </c>
      <c r="H500" s="18">
        <v>30000</v>
      </c>
      <c r="I500" s="18">
        <v>100</v>
      </c>
      <c r="J500" s="17">
        <f t="shared" si="21"/>
        <v>1.2E-2</v>
      </c>
      <c r="K500" s="18">
        <f t="shared" si="22"/>
        <v>360</v>
      </c>
    </row>
    <row r="501" spans="1:11" hidden="1" x14ac:dyDescent="0.35">
      <c r="A501" s="24" t="s">
        <v>233</v>
      </c>
      <c r="B501" s="24" t="str">
        <f t="shared" si="25"/>
        <v>Cà ri bò + bánh mỳbò M19</v>
      </c>
      <c r="C501" s="24" t="s">
        <v>8</v>
      </c>
      <c r="D501" t="s">
        <v>20</v>
      </c>
      <c r="E501" t="s">
        <v>345</v>
      </c>
      <c r="F501" t="s">
        <v>481</v>
      </c>
      <c r="G501" s="17">
        <v>11</v>
      </c>
      <c r="H501" s="18">
        <v>90000</v>
      </c>
      <c r="I501" s="18">
        <v>100</v>
      </c>
      <c r="J501" s="17">
        <f t="shared" si="21"/>
        <v>0.11</v>
      </c>
      <c r="K501" s="18">
        <f t="shared" si="22"/>
        <v>9900</v>
      </c>
    </row>
    <row r="502" spans="1:11" hidden="1" x14ac:dyDescent="0.35">
      <c r="A502" s="24" t="s">
        <v>233</v>
      </c>
      <c r="B502" s="24" t="str">
        <f t="shared" si="25"/>
        <v>Cà ri bò + bánh mỳBánh mì</v>
      </c>
      <c r="C502" s="24" t="s">
        <v>8</v>
      </c>
      <c r="D502" t="s">
        <v>20</v>
      </c>
      <c r="E502" t="s">
        <v>345</v>
      </c>
      <c r="F502" t="s">
        <v>395</v>
      </c>
      <c r="G502" s="17">
        <v>150</v>
      </c>
      <c r="H502" s="18">
        <v>2000</v>
      </c>
      <c r="I502" s="18">
        <v>100</v>
      </c>
      <c r="J502" s="17">
        <f t="shared" si="21"/>
        <v>1.5</v>
      </c>
      <c r="K502" s="18">
        <f t="shared" si="22"/>
        <v>3000</v>
      </c>
    </row>
    <row r="503" spans="1:11" hidden="1" x14ac:dyDescent="0.35">
      <c r="A503" s="24" t="s">
        <v>233</v>
      </c>
      <c r="B503" s="24" t="str">
        <f t="shared" si="25"/>
        <v>Cà ri bò + bánh mỳChanh</v>
      </c>
      <c r="C503" s="24" t="s">
        <v>8</v>
      </c>
      <c r="D503" t="s">
        <v>20</v>
      </c>
      <c r="E503" t="s">
        <v>345</v>
      </c>
      <c r="F503" t="s">
        <v>25</v>
      </c>
      <c r="G503" s="17">
        <v>0.8</v>
      </c>
      <c r="H503" s="18">
        <v>25000</v>
      </c>
      <c r="I503" s="18">
        <v>100</v>
      </c>
      <c r="J503" s="17">
        <f t="shared" si="21"/>
        <v>8.0000000000000002E-3</v>
      </c>
      <c r="K503" s="18">
        <f t="shared" si="22"/>
        <v>200</v>
      </c>
    </row>
    <row r="504" spans="1:11" hidden="1" x14ac:dyDescent="0.35">
      <c r="A504" s="24" t="s">
        <v>233</v>
      </c>
      <c r="B504" s="24" t="str">
        <f t="shared" si="25"/>
        <v>Phở bòChanh</v>
      </c>
      <c r="C504" s="24" t="s">
        <v>8</v>
      </c>
      <c r="D504" t="s">
        <v>20</v>
      </c>
      <c r="E504" t="s">
        <v>482</v>
      </c>
      <c r="F504" t="s">
        <v>25</v>
      </c>
      <c r="G504" s="17">
        <v>0.8</v>
      </c>
      <c r="H504" s="18">
        <v>25000</v>
      </c>
      <c r="I504" s="18">
        <v>100</v>
      </c>
      <c r="J504" s="17">
        <f t="shared" si="21"/>
        <v>8.0000000000000002E-3</v>
      </c>
      <c r="K504" s="18">
        <f t="shared" si="22"/>
        <v>200</v>
      </c>
    </row>
    <row r="505" spans="1:11" hidden="1" x14ac:dyDescent="0.35">
      <c r="A505" s="24" t="s">
        <v>233</v>
      </c>
      <c r="B505" s="24" t="str">
        <f t="shared" si="25"/>
        <v>Phở bòGiá</v>
      </c>
      <c r="C505" s="24" t="s">
        <v>8</v>
      </c>
      <c r="D505" t="s">
        <v>20</v>
      </c>
      <c r="E505" t="s">
        <v>482</v>
      </c>
      <c r="F505" t="s">
        <v>26</v>
      </c>
      <c r="G505" s="17">
        <v>2.5</v>
      </c>
      <c r="H505" s="18">
        <v>10000</v>
      </c>
      <c r="I505" s="18">
        <v>100</v>
      </c>
      <c r="J505" s="17">
        <f t="shared" si="21"/>
        <v>2.5000000000000001E-2</v>
      </c>
      <c r="K505" s="18">
        <f t="shared" si="22"/>
        <v>250</v>
      </c>
    </row>
    <row r="506" spans="1:11" hidden="1" x14ac:dyDescent="0.35">
      <c r="A506" s="24" t="s">
        <v>233</v>
      </c>
      <c r="B506" s="24" t="str">
        <f t="shared" si="25"/>
        <v>Phở bòHành lá</v>
      </c>
      <c r="C506" s="24" t="s">
        <v>8</v>
      </c>
      <c r="D506" t="s">
        <v>20</v>
      </c>
      <c r="E506" t="s">
        <v>482</v>
      </c>
      <c r="F506" t="s">
        <v>24</v>
      </c>
      <c r="G506" s="17">
        <v>0.5</v>
      </c>
      <c r="H506" s="18">
        <v>25000</v>
      </c>
      <c r="I506" s="18">
        <v>100</v>
      </c>
      <c r="J506" s="17">
        <f t="shared" si="21"/>
        <v>5.0000000000000001E-3</v>
      </c>
      <c r="K506" s="18">
        <f t="shared" si="22"/>
        <v>125</v>
      </c>
    </row>
    <row r="507" spans="1:11" hidden="1" x14ac:dyDescent="0.35">
      <c r="A507" s="24" t="s">
        <v>233</v>
      </c>
      <c r="B507" s="24" t="str">
        <f t="shared" si="25"/>
        <v>Phở bòHành tây</v>
      </c>
      <c r="C507" s="24" t="s">
        <v>8</v>
      </c>
      <c r="D507" t="s">
        <v>20</v>
      </c>
      <c r="E507" t="s">
        <v>482</v>
      </c>
      <c r="F507" t="s">
        <v>35</v>
      </c>
      <c r="G507" s="17">
        <v>1.2</v>
      </c>
      <c r="H507" s="18">
        <v>25000</v>
      </c>
      <c r="I507" s="18">
        <v>100</v>
      </c>
      <c r="J507" s="17">
        <f t="shared" si="21"/>
        <v>1.2E-2</v>
      </c>
      <c r="K507" s="18">
        <f t="shared" si="22"/>
        <v>300</v>
      </c>
    </row>
    <row r="508" spans="1:11" hidden="1" x14ac:dyDescent="0.35">
      <c r="A508" s="24" t="s">
        <v>233</v>
      </c>
      <c r="B508" s="24" t="str">
        <f t="shared" si="25"/>
        <v>Phở bòNgò gai</v>
      </c>
      <c r="C508" s="24" t="s">
        <v>8</v>
      </c>
      <c r="D508" t="s">
        <v>20</v>
      </c>
      <c r="E508" t="s">
        <v>482</v>
      </c>
      <c r="F508" t="s">
        <v>101</v>
      </c>
      <c r="G508" s="17">
        <v>0.2</v>
      </c>
      <c r="H508" s="18">
        <v>25000</v>
      </c>
      <c r="I508" s="18">
        <v>100</v>
      </c>
      <c r="J508" s="17">
        <f t="shared" ref="J508:J574" si="26">G508/I508</f>
        <v>2E-3</v>
      </c>
      <c r="K508" s="18">
        <f t="shared" si="22"/>
        <v>50</v>
      </c>
    </row>
    <row r="509" spans="1:11" hidden="1" x14ac:dyDescent="0.35">
      <c r="A509" s="24" t="s">
        <v>233</v>
      </c>
      <c r="B509" s="24" t="str">
        <f t="shared" si="25"/>
        <v>Phở bòRau quế</v>
      </c>
      <c r="C509" s="24" t="s">
        <v>8</v>
      </c>
      <c r="D509" t="s">
        <v>20</v>
      </c>
      <c r="E509" t="s">
        <v>482</v>
      </c>
      <c r="F509" t="s">
        <v>23</v>
      </c>
      <c r="G509" s="17">
        <v>0.3</v>
      </c>
      <c r="H509" s="18">
        <v>25000</v>
      </c>
      <c r="I509" s="18">
        <v>100</v>
      </c>
      <c r="J509" s="17">
        <f t="shared" si="26"/>
        <v>3.0000000000000001E-3</v>
      </c>
      <c r="K509" s="18">
        <f t="shared" si="22"/>
        <v>75</v>
      </c>
    </row>
    <row r="510" spans="1:11" hidden="1" x14ac:dyDescent="0.35">
      <c r="A510" s="24" t="s">
        <v>233</v>
      </c>
      <c r="B510" s="24" t="str">
        <f t="shared" si="25"/>
        <v>Phở bòBò M42</v>
      </c>
      <c r="C510" s="24" t="s">
        <v>8</v>
      </c>
      <c r="D510" t="s">
        <v>20</v>
      </c>
      <c r="E510" t="s">
        <v>482</v>
      </c>
      <c r="F510" t="s">
        <v>406</v>
      </c>
      <c r="G510" s="17">
        <v>8.5</v>
      </c>
      <c r="H510" s="18">
        <v>155000</v>
      </c>
      <c r="I510" s="18">
        <v>100</v>
      </c>
      <c r="J510" s="17">
        <f t="shared" si="26"/>
        <v>8.5000000000000006E-2</v>
      </c>
      <c r="K510" s="18">
        <f t="shared" si="22"/>
        <v>13175</v>
      </c>
    </row>
    <row r="511" spans="1:11" hidden="1" x14ac:dyDescent="0.35">
      <c r="A511" s="24" t="s">
        <v>233</v>
      </c>
      <c r="B511" s="24" t="str">
        <f t="shared" si="25"/>
        <v>Phở bòxương ống bò</v>
      </c>
      <c r="C511" s="24" t="s">
        <v>8</v>
      </c>
      <c r="D511" t="s">
        <v>20</v>
      </c>
      <c r="E511" t="s">
        <v>482</v>
      </c>
      <c r="F511" t="s">
        <v>432</v>
      </c>
      <c r="G511" s="17">
        <v>2</v>
      </c>
      <c r="H511" s="18">
        <v>25000</v>
      </c>
      <c r="I511" s="18">
        <v>100</v>
      </c>
      <c r="J511" s="17">
        <f t="shared" si="26"/>
        <v>0.02</v>
      </c>
      <c r="K511" s="18">
        <f t="shared" si="22"/>
        <v>500</v>
      </c>
    </row>
    <row r="512" spans="1:11" hidden="1" x14ac:dyDescent="0.35">
      <c r="A512" s="24" t="s">
        <v>233</v>
      </c>
      <c r="B512" s="24" t="str">
        <f t="shared" si="25"/>
        <v>Phở bòXà lách</v>
      </c>
      <c r="C512" s="24" t="s">
        <v>8</v>
      </c>
      <c r="D512" t="s">
        <v>20</v>
      </c>
      <c r="E512" t="s">
        <v>482</v>
      </c>
      <c r="F512" t="s">
        <v>197</v>
      </c>
      <c r="G512" s="17">
        <v>2</v>
      </c>
      <c r="H512" s="18">
        <v>25000</v>
      </c>
      <c r="I512" s="18">
        <v>100</v>
      </c>
      <c r="J512" s="17">
        <f t="shared" si="26"/>
        <v>0.02</v>
      </c>
      <c r="K512" s="18">
        <f t="shared" si="22"/>
        <v>500</v>
      </c>
    </row>
    <row r="513" spans="1:11" hidden="1" x14ac:dyDescent="0.35">
      <c r="A513" s="24" t="s">
        <v>233</v>
      </c>
      <c r="B513" s="24" t="str">
        <f t="shared" si="25"/>
        <v>Phở bòCủ cải</v>
      </c>
      <c r="C513" s="24" t="s">
        <v>8</v>
      </c>
      <c r="D513" t="s">
        <v>20</v>
      </c>
      <c r="E513" t="s">
        <v>482</v>
      </c>
      <c r="F513" t="s">
        <v>202</v>
      </c>
      <c r="G513" s="17">
        <v>1</v>
      </c>
      <c r="H513" s="18">
        <v>12000</v>
      </c>
      <c r="I513" s="18">
        <v>100</v>
      </c>
      <c r="J513" s="17">
        <f t="shared" si="26"/>
        <v>0.01</v>
      </c>
      <c r="K513" s="18">
        <f t="shared" si="22"/>
        <v>120</v>
      </c>
    </row>
    <row r="514" spans="1:11" hidden="1" x14ac:dyDescent="0.35">
      <c r="A514" s="24" t="s">
        <v>233</v>
      </c>
      <c r="B514" s="24" t="str">
        <f t="shared" si="25"/>
        <v>Phở bòĐu đủ xanh</v>
      </c>
      <c r="C514" s="24" t="s">
        <v>8</v>
      </c>
      <c r="D514" t="s">
        <v>20</v>
      </c>
      <c r="E514" t="s">
        <v>482</v>
      </c>
      <c r="F514" t="s">
        <v>302</v>
      </c>
      <c r="G514" s="17">
        <v>0.8</v>
      </c>
      <c r="H514" s="18">
        <v>12000</v>
      </c>
      <c r="I514" s="18">
        <v>100</v>
      </c>
      <c r="J514" s="17">
        <f t="shared" si="26"/>
        <v>8.0000000000000002E-3</v>
      </c>
      <c r="K514" s="18">
        <f t="shared" si="22"/>
        <v>96</v>
      </c>
    </row>
    <row r="515" spans="1:11" hidden="1" x14ac:dyDescent="0.35">
      <c r="A515" s="24" t="s">
        <v>233</v>
      </c>
      <c r="B515" s="24" t="str">
        <f t="shared" si="25"/>
        <v>Phở bòTỏi</v>
      </c>
      <c r="C515" s="24" t="s">
        <v>8</v>
      </c>
      <c r="D515" t="s">
        <v>20</v>
      </c>
      <c r="E515" t="s">
        <v>482</v>
      </c>
      <c r="F515" t="s">
        <v>382</v>
      </c>
      <c r="G515" s="17">
        <v>0.2</v>
      </c>
      <c r="H515" s="18">
        <v>25000</v>
      </c>
      <c r="I515" s="18">
        <v>100</v>
      </c>
      <c r="J515" s="17">
        <f t="shared" si="26"/>
        <v>2E-3</v>
      </c>
      <c r="K515" s="18">
        <f t="shared" si="22"/>
        <v>50</v>
      </c>
    </row>
    <row r="516" spans="1:11" hidden="1" x14ac:dyDescent="0.35">
      <c r="A516" s="24" t="s">
        <v>233</v>
      </c>
      <c r="B516" s="24" t="str">
        <f t="shared" si="25"/>
        <v>Phở bòHành tái</v>
      </c>
      <c r="C516" s="24" t="s">
        <v>8</v>
      </c>
      <c r="D516" t="s">
        <v>20</v>
      </c>
      <c r="E516" t="s">
        <v>482</v>
      </c>
      <c r="F516" t="s">
        <v>371</v>
      </c>
      <c r="G516" s="17">
        <v>0.2</v>
      </c>
      <c r="H516" s="18">
        <v>25000</v>
      </c>
      <c r="I516" s="18">
        <v>100</v>
      </c>
      <c r="J516" s="17">
        <f t="shared" si="26"/>
        <v>2E-3</v>
      </c>
      <c r="K516" s="18">
        <f t="shared" si="22"/>
        <v>50</v>
      </c>
    </row>
    <row r="517" spans="1:11" hidden="1" x14ac:dyDescent="0.35">
      <c r="A517" s="24" t="s">
        <v>233</v>
      </c>
      <c r="B517" s="24" t="str">
        <f t="shared" si="25"/>
        <v>Phở bòCà rốt</v>
      </c>
      <c r="C517" s="24" t="s">
        <v>8</v>
      </c>
      <c r="D517" t="s">
        <v>20</v>
      </c>
      <c r="E517" t="s">
        <v>482</v>
      </c>
      <c r="F517" t="s">
        <v>78</v>
      </c>
      <c r="G517" s="17">
        <v>0.8</v>
      </c>
      <c r="H517" s="18">
        <v>12000</v>
      </c>
      <c r="I517" s="18">
        <v>100</v>
      </c>
      <c r="J517" s="17">
        <f t="shared" si="26"/>
        <v>8.0000000000000002E-3</v>
      </c>
      <c r="K517" s="18">
        <f t="shared" si="22"/>
        <v>96</v>
      </c>
    </row>
    <row r="518" spans="1:11" hidden="1" x14ac:dyDescent="0.35">
      <c r="A518" s="24" t="s">
        <v>233</v>
      </c>
      <c r="B518" s="24" t="str">
        <f t="shared" si="25"/>
        <v>Phở bòỚt sừng</v>
      </c>
      <c r="C518" s="24" t="s">
        <v>8</v>
      </c>
      <c r="D518" t="s">
        <v>20</v>
      </c>
      <c r="E518" t="s">
        <v>482</v>
      </c>
      <c r="F518" t="s">
        <v>203</v>
      </c>
      <c r="G518" s="17">
        <v>0.1</v>
      </c>
      <c r="H518" s="18">
        <v>25000</v>
      </c>
      <c r="I518" s="18">
        <v>100</v>
      </c>
      <c r="J518" s="17">
        <f t="shared" si="26"/>
        <v>1E-3</v>
      </c>
      <c r="K518" s="18">
        <f t="shared" si="22"/>
        <v>25</v>
      </c>
    </row>
    <row r="519" spans="1:11" hidden="1" x14ac:dyDescent="0.35">
      <c r="A519" s="24" t="s">
        <v>233</v>
      </c>
      <c r="B519" s="24" t="str">
        <f t="shared" si="25"/>
        <v>Phở bòQuế hồi</v>
      </c>
      <c r="C519" s="24" t="s">
        <v>8</v>
      </c>
      <c r="D519" t="s">
        <v>20</v>
      </c>
      <c r="E519" t="s">
        <v>482</v>
      </c>
      <c r="F519" t="s">
        <v>379</v>
      </c>
      <c r="G519" s="17">
        <v>0.1</v>
      </c>
      <c r="H519" s="18">
        <v>200000</v>
      </c>
      <c r="I519" s="18">
        <v>100</v>
      </c>
      <c r="J519" s="17">
        <f t="shared" si="26"/>
        <v>1E-3</v>
      </c>
      <c r="K519" s="18">
        <f t="shared" si="22"/>
        <v>200</v>
      </c>
    </row>
    <row r="520" spans="1:11" hidden="1" x14ac:dyDescent="0.35">
      <c r="A520" s="24" t="s">
        <v>233</v>
      </c>
      <c r="B520" s="24" t="str">
        <f t="shared" si="25"/>
        <v>Phở bòTương ớt</v>
      </c>
      <c r="C520" s="24" t="s">
        <v>8</v>
      </c>
      <c r="D520" t="s">
        <v>20</v>
      </c>
      <c r="E520" t="s">
        <v>482</v>
      </c>
      <c r="F520" t="s">
        <v>380</v>
      </c>
      <c r="G520" s="17">
        <v>2</v>
      </c>
      <c r="H520" s="18">
        <v>25000</v>
      </c>
      <c r="I520" s="18">
        <v>100</v>
      </c>
      <c r="J520" s="17">
        <f t="shared" si="26"/>
        <v>0.02</v>
      </c>
      <c r="K520" s="18">
        <f t="shared" si="22"/>
        <v>500</v>
      </c>
    </row>
    <row r="521" spans="1:11" hidden="1" x14ac:dyDescent="0.35">
      <c r="A521" s="24" t="s">
        <v>233</v>
      </c>
      <c r="B521" s="24" t="str">
        <f t="shared" si="25"/>
        <v>Phở bòPhở tươi</v>
      </c>
      <c r="C521" s="24" t="s">
        <v>8</v>
      </c>
      <c r="D521" t="s">
        <v>20</v>
      </c>
      <c r="E521" t="s">
        <v>482</v>
      </c>
      <c r="F521" t="s">
        <v>399</v>
      </c>
      <c r="G521" s="17">
        <v>33</v>
      </c>
      <c r="H521" s="18">
        <v>11000</v>
      </c>
      <c r="I521" s="18">
        <v>100</v>
      </c>
      <c r="J521" s="17">
        <f t="shared" si="26"/>
        <v>0.33</v>
      </c>
      <c r="K521" s="18">
        <f t="shared" si="22"/>
        <v>3630</v>
      </c>
    </row>
    <row r="522" spans="1:11" hidden="1" x14ac:dyDescent="0.35">
      <c r="A522" s="24" t="s">
        <v>233</v>
      </c>
      <c r="B522" s="24" t="str">
        <f t="shared" si="25"/>
        <v>bánh canh tôm chả trứngBánh canh</v>
      </c>
      <c r="C522" s="24" t="s">
        <v>8</v>
      </c>
      <c r="D522" t="s">
        <v>20</v>
      </c>
      <c r="E522" s="24" t="s">
        <v>484</v>
      </c>
      <c r="F522" t="s">
        <v>366</v>
      </c>
      <c r="G522" s="17">
        <v>17</v>
      </c>
      <c r="H522" s="18">
        <v>15000</v>
      </c>
      <c r="I522" s="18">
        <v>100</v>
      </c>
      <c r="J522" s="17">
        <f t="shared" si="26"/>
        <v>0.17</v>
      </c>
      <c r="K522" s="18">
        <f t="shared" si="22"/>
        <v>2550</v>
      </c>
    </row>
    <row r="523" spans="1:11" hidden="1" x14ac:dyDescent="0.35">
      <c r="A523" s="24" t="s">
        <v>233</v>
      </c>
      <c r="B523" s="24" t="str">
        <f t="shared" si="25"/>
        <v>bánh canh tôm chả trứngTrứng cút lột sẵn</v>
      </c>
      <c r="C523" s="24" t="s">
        <v>8</v>
      </c>
      <c r="D523" t="s">
        <v>20</v>
      </c>
      <c r="E523" s="24" t="s">
        <v>484</v>
      </c>
      <c r="F523" t="s">
        <v>390</v>
      </c>
      <c r="G523" s="17">
        <v>300</v>
      </c>
      <c r="H523" s="18">
        <v>600</v>
      </c>
      <c r="I523" s="18">
        <v>100</v>
      </c>
      <c r="J523" s="17">
        <f t="shared" si="26"/>
        <v>3</v>
      </c>
      <c r="K523" s="18">
        <f t="shared" si="22"/>
        <v>1800</v>
      </c>
    </row>
    <row r="524" spans="1:11" hidden="1" x14ac:dyDescent="0.35">
      <c r="A524" s="24" t="s">
        <v>233</v>
      </c>
      <c r="B524" s="24" t="str">
        <f t="shared" si="25"/>
        <v>bánh canh tôm chả trứngHành lá</v>
      </c>
      <c r="C524" s="24" t="s">
        <v>8</v>
      </c>
      <c r="D524" t="s">
        <v>20</v>
      </c>
      <c r="E524" s="24" t="s">
        <v>484</v>
      </c>
      <c r="F524" t="s">
        <v>24</v>
      </c>
      <c r="G524" s="17">
        <v>0.5</v>
      </c>
      <c r="H524" s="18">
        <v>20000</v>
      </c>
      <c r="I524" s="18">
        <v>100</v>
      </c>
      <c r="J524" s="17">
        <f t="shared" si="26"/>
        <v>5.0000000000000001E-3</v>
      </c>
      <c r="K524" s="18">
        <f t="shared" si="22"/>
        <v>100</v>
      </c>
    </row>
    <row r="525" spans="1:11" hidden="1" x14ac:dyDescent="0.35">
      <c r="A525" s="24" t="s">
        <v>233</v>
      </c>
      <c r="B525" s="24" t="str">
        <f t="shared" si="25"/>
        <v>bánh canh tôm chả trứngNgò gai</v>
      </c>
      <c r="C525" s="24" t="s">
        <v>8</v>
      </c>
      <c r="D525" t="s">
        <v>20</v>
      </c>
      <c r="E525" s="24" t="s">
        <v>484</v>
      </c>
      <c r="F525" t="s">
        <v>101</v>
      </c>
      <c r="G525" s="17">
        <v>0.3</v>
      </c>
      <c r="H525" s="18">
        <v>30000</v>
      </c>
      <c r="I525" s="18">
        <v>100</v>
      </c>
      <c r="J525" s="17">
        <f t="shared" si="26"/>
        <v>3.0000000000000001E-3</v>
      </c>
      <c r="K525" s="18">
        <f t="shared" si="22"/>
        <v>90</v>
      </c>
    </row>
    <row r="526" spans="1:11" hidden="1" x14ac:dyDescent="0.35">
      <c r="A526" s="24" t="s">
        <v>233</v>
      </c>
      <c r="B526" s="24" t="str">
        <f t="shared" si="25"/>
        <v>bánh canh tôm chả trứngHành phi</v>
      </c>
      <c r="C526" s="24" t="s">
        <v>8</v>
      </c>
      <c r="D526" t="s">
        <v>20</v>
      </c>
      <c r="E526" s="24" t="s">
        <v>484</v>
      </c>
      <c r="F526" t="s">
        <v>363</v>
      </c>
      <c r="G526" s="17">
        <v>0.3</v>
      </c>
      <c r="H526" s="18">
        <v>50000</v>
      </c>
      <c r="I526" s="18">
        <v>100</v>
      </c>
      <c r="J526" s="17">
        <f t="shared" si="26"/>
        <v>3.0000000000000001E-3</v>
      </c>
      <c r="K526" s="18">
        <f t="shared" si="22"/>
        <v>150</v>
      </c>
    </row>
    <row r="527" spans="1:11" hidden="1" x14ac:dyDescent="0.35">
      <c r="A527" s="24" t="s">
        <v>233</v>
      </c>
      <c r="B527" s="24" t="str">
        <f t="shared" si="25"/>
        <v>bánh canh tôm chả trứngChanh</v>
      </c>
      <c r="C527" s="24" t="s">
        <v>8</v>
      </c>
      <c r="D527" t="s">
        <v>20</v>
      </c>
      <c r="E527" s="24" t="s">
        <v>484</v>
      </c>
      <c r="F527" t="s">
        <v>25</v>
      </c>
      <c r="G527" s="17">
        <v>0.8</v>
      </c>
      <c r="H527" s="18">
        <v>25000</v>
      </c>
      <c r="I527" s="18">
        <v>100</v>
      </c>
      <c r="J527" s="17">
        <f t="shared" si="26"/>
        <v>8.0000000000000002E-3</v>
      </c>
      <c r="K527" s="18">
        <f t="shared" si="22"/>
        <v>200</v>
      </c>
    </row>
    <row r="528" spans="1:11" hidden="1" x14ac:dyDescent="0.35">
      <c r="A528" s="24" t="s">
        <v>233</v>
      </c>
      <c r="B528" s="24" t="str">
        <f t="shared" si="25"/>
        <v>bánh canh tôm chả trứngHành tây</v>
      </c>
      <c r="C528" s="24" t="s">
        <v>8</v>
      </c>
      <c r="D528" t="s">
        <v>20</v>
      </c>
      <c r="E528" s="24" t="s">
        <v>484</v>
      </c>
      <c r="F528" t="s">
        <v>35</v>
      </c>
      <c r="G528" s="17">
        <v>1.2</v>
      </c>
      <c r="H528" s="18">
        <v>15000</v>
      </c>
      <c r="I528" s="18">
        <v>100</v>
      </c>
      <c r="J528" s="17">
        <f t="shared" si="26"/>
        <v>1.2E-2</v>
      </c>
      <c r="K528" s="18">
        <f t="shared" si="22"/>
        <v>180</v>
      </c>
    </row>
    <row r="529" spans="1:11" hidden="1" x14ac:dyDescent="0.35">
      <c r="A529" s="24" t="s">
        <v>233</v>
      </c>
      <c r="B529" s="24" t="str">
        <f t="shared" si="25"/>
        <v>bánh canh tôm chả trứngThơm</v>
      </c>
      <c r="C529" s="24" t="s">
        <v>8</v>
      </c>
      <c r="D529" t="s">
        <v>20</v>
      </c>
      <c r="E529" s="24" t="s">
        <v>484</v>
      </c>
      <c r="F529" t="s">
        <v>4</v>
      </c>
      <c r="G529" s="17">
        <v>1</v>
      </c>
      <c r="H529" s="18">
        <v>17000</v>
      </c>
      <c r="I529" s="18">
        <v>100</v>
      </c>
      <c r="J529" s="17">
        <f t="shared" si="26"/>
        <v>0.01</v>
      </c>
      <c r="K529" s="18">
        <f t="shared" si="22"/>
        <v>170</v>
      </c>
    </row>
    <row r="530" spans="1:11" hidden="1" x14ac:dyDescent="0.35">
      <c r="A530" s="24" t="s">
        <v>233</v>
      </c>
      <c r="B530" s="24" t="str">
        <f t="shared" si="25"/>
        <v>bánh canh tôm chả trứngCua đồng</v>
      </c>
      <c r="C530" s="24" t="s">
        <v>8</v>
      </c>
      <c r="D530" t="s">
        <v>20</v>
      </c>
      <c r="E530" s="24" t="s">
        <v>484</v>
      </c>
      <c r="F530" t="s">
        <v>403</v>
      </c>
      <c r="G530" s="17">
        <v>0.5</v>
      </c>
      <c r="H530" s="18">
        <v>50000</v>
      </c>
      <c r="I530" s="18">
        <v>100</v>
      </c>
      <c r="J530" s="17">
        <f t="shared" si="26"/>
        <v>5.0000000000000001E-3</v>
      </c>
      <c r="K530" s="18">
        <f t="shared" si="22"/>
        <v>250</v>
      </c>
    </row>
    <row r="531" spans="1:11" hidden="1" x14ac:dyDescent="0.35">
      <c r="A531" s="24" t="s">
        <v>233</v>
      </c>
      <c r="B531" s="24" t="str">
        <f t="shared" si="25"/>
        <v>bánh canh tôm chả trứngChả cua</v>
      </c>
      <c r="C531" s="24" t="s">
        <v>8</v>
      </c>
      <c r="D531" t="s">
        <v>20</v>
      </c>
      <c r="E531" s="24" t="s">
        <v>484</v>
      </c>
      <c r="F531" t="s">
        <v>376</v>
      </c>
      <c r="G531" s="17">
        <v>3</v>
      </c>
      <c r="H531" s="18">
        <v>100000</v>
      </c>
      <c r="I531" s="18">
        <v>100</v>
      </c>
      <c r="J531" s="17">
        <f t="shared" si="26"/>
        <v>0.03</v>
      </c>
      <c r="K531" s="18">
        <f t="shared" si="22"/>
        <v>3000</v>
      </c>
    </row>
    <row r="532" spans="1:11" hidden="1" x14ac:dyDescent="0.35">
      <c r="A532" s="24" t="s">
        <v>233</v>
      </c>
      <c r="B532" s="24" t="str">
        <f t="shared" si="25"/>
        <v>bánh canh tôm chả trứngChả cá tấm chiên</v>
      </c>
      <c r="C532" s="24" t="s">
        <v>8</v>
      </c>
      <c r="D532" t="s">
        <v>20</v>
      </c>
      <c r="E532" s="24" t="s">
        <v>484</v>
      </c>
      <c r="F532" t="s">
        <v>268</v>
      </c>
      <c r="G532" s="17">
        <v>4.5</v>
      </c>
      <c r="H532" s="18">
        <v>70000</v>
      </c>
      <c r="I532" s="18">
        <v>100</v>
      </c>
      <c r="J532" s="17">
        <f t="shared" si="26"/>
        <v>4.4999999999999998E-2</v>
      </c>
      <c r="K532" s="18">
        <f t="shared" si="22"/>
        <v>3150</v>
      </c>
    </row>
    <row r="533" spans="1:11" hidden="1" x14ac:dyDescent="0.35">
      <c r="A533" s="24" t="s">
        <v>233</v>
      </c>
      <c r="B533" s="24" t="str">
        <f t="shared" si="25"/>
        <v>bánh canh tôm chả trứngTôm  ~120</v>
      </c>
      <c r="C533" s="24" t="s">
        <v>8</v>
      </c>
      <c r="D533" t="s">
        <v>20</v>
      </c>
      <c r="E533" s="24" t="s">
        <v>484</v>
      </c>
      <c r="F533" t="s">
        <v>483</v>
      </c>
      <c r="G533" s="17">
        <v>2.5</v>
      </c>
      <c r="H533" s="18">
        <v>100000</v>
      </c>
      <c r="I533" s="18">
        <v>100</v>
      </c>
      <c r="J533" s="17">
        <f t="shared" si="26"/>
        <v>2.5000000000000001E-2</v>
      </c>
      <c r="K533" s="18">
        <f t="shared" si="22"/>
        <v>2500</v>
      </c>
    </row>
    <row r="534" spans="1:11" hidden="1" x14ac:dyDescent="0.35">
      <c r="A534" s="24" t="s">
        <v>233</v>
      </c>
      <c r="B534" s="24" t="str">
        <f t="shared" si="25"/>
        <v>bánh canh tôm chả trứngxương ống bò</v>
      </c>
      <c r="C534" s="24" t="s">
        <v>8</v>
      </c>
      <c r="D534" t="s">
        <v>20</v>
      </c>
      <c r="E534" s="24" t="s">
        <v>484</v>
      </c>
      <c r="F534" t="s">
        <v>432</v>
      </c>
      <c r="G534" s="17">
        <v>2</v>
      </c>
      <c r="H534" s="18">
        <v>30000</v>
      </c>
      <c r="I534" s="18">
        <v>100</v>
      </c>
      <c r="J534" s="17">
        <f t="shared" si="26"/>
        <v>0.02</v>
      </c>
      <c r="K534" s="18">
        <f t="shared" si="22"/>
        <v>600</v>
      </c>
    </row>
    <row r="535" spans="1:11" hidden="1" x14ac:dyDescent="0.35">
      <c r="A535" s="24" t="s">
        <v>233</v>
      </c>
      <c r="B535" s="24" t="str">
        <f t="shared" si="25"/>
        <v>bánh canh tôm chả trứngBánh mì</v>
      </c>
      <c r="C535" s="24" t="s">
        <v>8</v>
      </c>
      <c r="D535" t="s">
        <v>20</v>
      </c>
      <c r="E535" s="24" t="s">
        <v>484</v>
      </c>
      <c r="F535" t="s">
        <v>395</v>
      </c>
      <c r="G535" s="17">
        <v>150</v>
      </c>
      <c r="H535" s="18">
        <v>2000</v>
      </c>
      <c r="I535" s="18">
        <v>100</v>
      </c>
      <c r="J535" s="17">
        <f t="shared" si="26"/>
        <v>1.5</v>
      </c>
      <c r="K535" s="18">
        <f t="shared" si="22"/>
        <v>3000</v>
      </c>
    </row>
    <row r="536" spans="1:11" hidden="1" x14ac:dyDescent="0.35">
      <c r="A536" s="24" t="s">
        <v>233</v>
      </c>
      <c r="B536" s="24" t="str">
        <f t="shared" si="25"/>
        <v>bánh canh tôm chả trứngSả</v>
      </c>
      <c r="C536" s="24" t="s">
        <v>8</v>
      </c>
      <c r="D536" t="s">
        <v>20</v>
      </c>
      <c r="E536" s="24" t="s">
        <v>484</v>
      </c>
      <c r="F536" t="s">
        <v>207</v>
      </c>
      <c r="G536" s="17">
        <v>0.3</v>
      </c>
      <c r="H536" s="18">
        <v>30000</v>
      </c>
      <c r="I536" s="18">
        <v>100</v>
      </c>
      <c r="J536" s="17">
        <f t="shared" si="26"/>
        <v>3.0000000000000001E-3</v>
      </c>
      <c r="K536" s="18">
        <f t="shared" si="22"/>
        <v>90</v>
      </c>
    </row>
    <row r="537" spans="1:11" hidden="1" x14ac:dyDescent="0.35">
      <c r="A537" s="24" t="s">
        <v>233</v>
      </c>
      <c r="B537" s="24" t="str">
        <f t="shared" si="25"/>
        <v>Bánh canh cá lócBánh canh</v>
      </c>
      <c r="C537" s="24" t="s">
        <v>8</v>
      </c>
      <c r="D537" t="s">
        <v>20</v>
      </c>
      <c r="E537" s="24" t="s">
        <v>485</v>
      </c>
      <c r="F537" t="s">
        <v>366</v>
      </c>
      <c r="G537" s="17">
        <v>17</v>
      </c>
      <c r="H537" s="18">
        <v>15000</v>
      </c>
      <c r="I537" s="18">
        <v>100</v>
      </c>
      <c r="J537" s="17">
        <f t="shared" si="26"/>
        <v>0.17</v>
      </c>
      <c r="K537" s="18">
        <f t="shared" si="22"/>
        <v>2550</v>
      </c>
    </row>
    <row r="538" spans="1:11" hidden="1" x14ac:dyDescent="0.35">
      <c r="A538" s="24" t="s">
        <v>233</v>
      </c>
      <c r="B538" s="24" t="str">
        <f t="shared" si="25"/>
        <v>Bánh canh cá lócHành lá</v>
      </c>
      <c r="C538" s="24" t="s">
        <v>8</v>
      </c>
      <c r="D538" t="s">
        <v>20</v>
      </c>
      <c r="E538" s="24" t="s">
        <v>485</v>
      </c>
      <c r="F538" t="s">
        <v>24</v>
      </c>
      <c r="G538" s="17">
        <v>0.5</v>
      </c>
      <c r="H538" s="18">
        <v>20000</v>
      </c>
      <c r="I538" s="18">
        <v>100</v>
      </c>
      <c r="J538" s="17">
        <f t="shared" si="26"/>
        <v>5.0000000000000001E-3</v>
      </c>
      <c r="K538" s="18">
        <f t="shared" si="22"/>
        <v>100</v>
      </c>
    </row>
    <row r="539" spans="1:11" hidden="1" x14ac:dyDescent="0.35">
      <c r="A539" s="24" t="s">
        <v>233</v>
      </c>
      <c r="B539" s="24" t="str">
        <f t="shared" si="25"/>
        <v>Bánh canh cá lócNgò gai</v>
      </c>
      <c r="C539" s="24" t="s">
        <v>8</v>
      </c>
      <c r="D539" t="s">
        <v>20</v>
      </c>
      <c r="E539" s="24" t="s">
        <v>485</v>
      </c>
      <c r="F539" t="s">
        <v>101</v>
      </c>
      <c r="G539" s="17">
        <v>0.3</v>
      </c>
      <c r="H539" s="18">
        <v>30000</v>
      </c>
      <c r="I539" s="18">
        <v>100</v>
      </c>
      <c r="J539" s="17">
        <f t="shared" si="26"/>
        <v>3.0000000000000001E-3</v>
      </c>
      <c r="K539" s="18">
        <f t="shared" si="22"/>
        <v>90</v>
      </c>
    </row>
    <row r="540" spans="1:11" hidden="1" x14ac:dyDescent="0.35">
      <c r="A540" s="24" t="s">
        <v>233</v>
      </c>
      <c r="B540" s="24" t="str">
        <f t="shared" si="25"/>
        <v>Bánh canh cá lócHành phi</v>
      </c>
      <c r="C540" s="24" t="s">
        <v>8</v>
      </c>
      <c r="D540" t="s">
        <v>20</v>
      </c>
      <c r="E540" s="24" t="s">
        <v>485</v>
      </c>
      <c r="F540" t="s">
        <v>363</v>
      </c>
      <c r="G540" s="17">
        <v>0.4</v>
      </c>
      <c r="H540" s="18">
        <v>50000</v>
      </c>
      <c r="I540" s="18">
        <v>100</v>
      </c>
      <c r="J540" s="17">
        <f t="shared" si="26"/>
        <v>4.0000000000000001E-3</v>
      </c>
      <c r="K540" s="18">
        <f t="shared" si="22"/>
        <v>200</v>
      </c>
    </row>
    <row r="541" spans="1:11" hidden="1" x14ac:dyDescent="0.35">
      <c r="A541" s="24" t="s">
        <v>233</v>
      </c>
      <c r="B541" s="24" t="str">
        <f t="shared" si="25"/>
        <v>Bánh canh cá lócChanh</v>
      </c>
      <c r="C541" s="24" t="s">
        <v>8</v>
      </c>
      <c r="D541" t="s">
        <v>20</v>
      </c>
      <c r="E541" s="24" t="s">
        <v>485</v>
      </c>
      <c r="F541" t="s">
        <v>25</v>
      </c>
      <c r="G541" s="17">
        <v>0.8</v>
      </c>
      <c r="H541" s="18">
        <v>25000</v>
      </c>
      <c r="I541" s="18">
        <v>100</v>
      </c>
      <c r="J541" s="17">
        <f t="shared" si="26"/>
        <v>8.0000000000000002E-3</v>
      </c>
      <c r="K541" s="18">
        <f t="shared" si="22"/>
        <v>200</v>
      </c>
    </row>
    <row r="542" spans="1:11" hidden="1" x14ac:dyDescent="0.35">
      <c r="A542" s="24" t="s">
        <v>233</v>
      </c>
      <c r="B542" s="24" t="str">
        <f t="shared" si="25"/>
        <v>Bánh canh cá lócHành tây</v>
      </c>
      <c r="C542" s="24" t="s">
        <v>8</v>
      </c>
      <c r="D542" t="s">
        <v>20</v>
      </c>
      <c r="E542" s="24" t="s">
        <v>485</v>
      </c>
      <c r="F542" t="s">
        <v>35</v>
      </c>
      <c r="G542" s="17">
        <v>1.2</v>
      </c>
      <c r="H542" s="18">
        <v>15000</v>
      </c>
      <c r="I542" s="18">
        <v>100</v>
      </c>
      <c r="J542" s="17">
        <f t="shared" si="26"/>
        <v>1.2E-2</v>
      </c>
      <c r="K542" s="18">
        <f t="shared" si="22"/>
        <v>180</v>
      </c>
    </row>
    <row r="543" spans="1:11" hidden="1" x14ac:dyDescent="0.35">
      <c r="A543" s="24" t="s">
        <v>233</v>
      </c>
      <c r="B543" s="24" t="str">
        <f t="shared" si="25"/>
        <v>Bánh canh cá lócrau răm</v>
      </c>
      <c r="C543" s="24" t="s">
        <v>8</v>
      </c>
      <c r="D543" t="s">
        <v>20</v>
      </c>
      <c r="E543" s="24" t="s">
        <v>485</v>
      </c>
      <c r="F543" t="s">
        <v>420</v>
      </c>
      <c r="G543" s="17">
        <v>0.1</v>
      </c>
      <c r="H543" s="18">
        <v>30000</v>
      </c>
      <c r="I543" s="18">
        <v>100</v>
      </c>
      <c r="J543" s="17">
        <f t="shared" si="26"/>
        <v>1E-3</v>
      </c>
      <c r="K543" s="18">
        <f t="shared" si="22"/>
        <v>30</v>
      </c>
    </row>
    <row r="544" spans="1:11" hidden="1" x14ac:dyDescent="0.35">
      <c r="A544" s="24" t="s">
        <v>233</v>
      </c>
      <c r="B544" s="24" t="str">
        <f t="shared" si="25"/>
        <v>Bánh canh cá lócCá lóc</v>
      </c>
      <c r="C544" s="24" t="s">
        <v>8</v>
      </c>
      <c r="D544" t="s">
        <v>20</v>
      </c>
      <c r="E544" s="24" t="s">
        <v>485</v>
      </c>
      <c r="F544" t="s">
        <v>111</v>
      </c>
      <c r="G544" s="17">
        <v>16</v>
      </c>
      <c r="H544" s="18">
        <v>70000</v>
      </c>
      <c r="I544" s="18">
        <v>100</v>
      </c>
      <c r="J544" s="17">
        <f t="shared" si="26"/>
        <v>0.16</v>
      </c>
      <c r="K544" s="18">
        <f t="shared" si="22"/>
        <v>11200</v>
      </c>
    </row>
    <row r="545" spans="1:11" hidden="1" x14ac:dyDescent="0.35">
      <c r="A545" s="24" t="s">
        <v>233</v>
      </c>
      <c r="B545" s="24" t="str">
        <f t="shared" si="25"/>
        <v>Bánh canh cá lócBánh mì</v>
      </c>
      <c r="C545" s="24" t="s">
        <v>8</v>
      </c>
      <c r="D545" t="s">
        <v>20</v>
      </c>
      <c r="E545" s="24" t="s">
        <v>485</v>
      </c>
      <c r="F545" t="s">
        <v>395</v>
      </c>
      <c r="G545" s="17">
        <v>150</v>
      </c>
      <c r="H545" s="18">
        <v>2000</v>
      </c>
      <c r="I545" s="18">
        <v>100</v>
      </c>
      <c r="J545" s="17">
        <f t="shared" si="26"/>
        <v>1.5</v>
      </c>
      <c r="K545" s="18">
        <f t="shared" si="22"/>
        <v>3000</v>
      </c>
    </row>
    <row r="546" spans="1:11" hidden="1" x14ac:dyDescent="0.35">
      <c r="A546" s="24" t="s">
        <v>233</v>
      </c>
      <c r="B546" s="24" t="str">
        <f t="shared" si="25"/>
        <v>Bánh canh cá lócSả</v>
      </c>
      <c r="C546" s="24" t="s">
        <v>8</v>
      </c>
      <c r="D546" t="s">
        <v>20</v>
      </c>
      <c r="E546" s="24" t="s">
        <v>485</v>
      </c>
      <c r="F546" t="s">
        <v>207</v>
      </c>
      <c r="G546" s="17">
        <v>0.3</v>
      </c>
      <c r="H546" s="18">
        <v>30000</v>
      </c>
      <c r="I546" s="18">
        <v>100</v>
      </c>
      <c r="J546" s="17">
        <f t="shared" si="26"/>
        <v>3.0000000000000001E-3</v>
      </c>
      <c r="K546" s="18">
        <f t="shared" si="22"/>
        <v>90</v>
      </c>
    </row>
    <row r="547" spans="1:11" hidden="1" x14ac:dyDescent="0.35">
      <c r="A547" s="24" t="s">
        <v>233</v>
      </c>
      <c r="B547" s="24" t="str">
        <f t="shared" si="25"/>
        <v>Bánh canh chả cuaBánh canh</v>
      </c>
      <c r="C547" s="24" t="s">
        <v>8</v>
      </c>
      <c r="D547" t="s">
        <v>20</v>
      </c>
      <c r="E547" s="24" t="s">
        <v>486</v>
      </c>
      <c r="F547" t="s">
        <v>366</v>
      </c>
      <c r="G547" s="17">
        <v>17</v>
      </c>
      <c r="H547" s="18">
        <v>15000</v>
      </c>
      <c r="I547" s="18">
        <v>100</v>
      </c>
      <c r="J547" s="17">
        <f t="shared" si="26"/>
        <v>0.17</v>
      </c>
      <c r="K547" s="18">
        <f t="shared" si="22"/>
        <v>2550</v>
      </c>
    </row>
    <row r="548" spans="1:11" hidden="1" x14ac:dyDescent="0.35">
      <c r="A548" s="24" t="s">
        <v>233</v>
      </c>
      <c r="B548" s="24" t="str">
        <f t="shared" si="25"/>
        <v>Bánh canh chả cuaTrứng cút lột sẵn</v>
      </c>
      <c r="C548" s="24" t="s">
        <v>8</v>
      </c>
      <c r="D548" t="s">
        <v>20</v>
      </c>
      <c r="E548" s="24" t="s">
        <v>486</v>
      </c>
      <c r="F548" t="s">
        <v>390</v>
      </c>
      <c r="G548" s="17">
        <v>300</v>
      </c>
      <c r="H548" s="18">
        <v>600</v>
      </c>
      <c r="I548" s="18">
        <v>100</v>
      </c>
      <c r="J548" s="17">
        <f t="shared" si="26"/>
        <v>3</v>
      </c>
      <c r="K548" s="18">
        <f t="shared" si="22"/>
        <v>1800</v>
      </c>
    </row>
    <row r="549" spans="1:11" hidden="1" x14ac:dyDescent="0.35">
      <c r="A549" s="24" t="s">
        <v>233</v>
      </c>
      <c r="B549" s="24" t="str">
        <f t="shared" si="25"/>
        <v>Bánh canh chả cuaHành lá</v>
      </c>
      <c r="C549" s="24" t="s">
        <v>8</v>
      </c>
      <c r="D549" t="s">
        <v>20</v>
      </c>
      <c r="E549" s="24" t="s">
        <v>486</v>
      </c>
      <c r="F549" t="s">
        <v>24</v>
      </c>
      <c r="G549" s="17">
        <v>0.5</v>
      </c>
      <c r="H549" s="18">
        <v>20000</v>
      </c>
      <c r="I549" s="18">
        <v>100</v>
      </c>
      <c r="J549" s="17">
        <f t="shared" si="26"/>
        <v>5.0000000000000001E-3</v>
      </c>
      <c r="K549" s="18">
        <f t="shared" ref="K549:K603" si="27">(G549*H549)/I549</f>
        <v>100</v>
      </c>
    </row>
    <row r="550" spans="1:11" hidden="1" x14ac:dyDescent="0.35">
      <c r="A550" s="24" t="s">
        <v>233</v>
      </c>
      <c r="B550" s="24" t="str">
        <f t="shared" si="25"/>
        <v>Bánh canh chả cuaNgò gai</v>
      </c>
      <c r="C550" s="24" t="s">
        <v>8</v>
      </c>
      <c r="D550" t="s">
        <v>20</v>
      </c>
      <c r="E550" s="24" t="s">
        <v>486</v>
      </c>
      <c r="F550" t="s">
        <v>101</v>
      </c>
      <c r="G550" s="17">
        <v>0.3</v>
      </c>
      <c r="H550" s="18">
        <v>30000</v>
      </c>
      <c r="I550" s="18">
        <v>100</v>
      </c>
      <c r="J550" s="17">
        <f t="shared" si="26"/>
        <v>3.0000000000000001E-3</v>
      </c>
      <c r="K550" s="18">
        <f t="shared" si="27"/>
        <v>90</v>
      </c>
    </row>
    <row r="551" spans="1:11" hidden="1" x14ac:dyDescent="0.35">
      <c r="A551" s="24" t="s">
        <v>233</v>
      </c>
      <c r="B551" s="24" t="str">
        <f t="shared" si="25"/>
        <v>Bánh canh chả cuaHành phi</v>
      </c>
      <c r="C551" s="24" t="s">
        <v>8</v>
      </c>
      <c r="D551" t="s">
        <v>20</v>
      </c>
      <c r="E551" s="24" t="s">
        <v>486</v>
      </c>
      <c r="F551" t="s">
        <v>363</v>
      </c>
      <c r="G551" s="17">
        <v>0.3</v>
      </c>
      <c r="H551" s="18">
        <v>50000</v>
      </c>
      <c r="I551" s="18">
        <v>100</v>
      </c>
      <c r="J551" s="17">
        <f t="shared" si="26"/>
        <v>3.0000000000000001E-3</v>
      </c>
      <c r="K551" s="18">
        <f t="shared" si="27"/>
        <v>150</v>
      </c>
    </row>
    <row r="552" spans="1:11" hidden="1" x14ac:dyDescent="0.35">
      <c r="A552" s="24" t="s">
        <v>233</v>
      </c>
      <c r="B552" s="24" t="str">
        <f t="shared" si="25"/>
        <v>Bánh canh chả cuaChanh</v>
      </c>
      <c r="C552" s="24" t="s">
        <v>8</v>
      </c>
      <c r="D552" t="s">
        <v>20</v>
      </c>
      <c r="E552" s="24" t="s">
        <v>486</v>
      </c>
      <c r="F552" t="s">
        <v>25</v>
      </c>
      <c r="G552" s="17">
        <v>0.8</v>
      </c>
      <c r="H552" s="18">
        <v>25000</v>
      </c>
      <c r="I552" s="18">
        <v>100</v>
      </c>
      <c r="J552" s="17">
        <f t="shared" si="26"/>
        <v>8.0000000000000002E-3</v>
      </c>
      <c r="K552" s="18">
        <f t="shared" si="27"/>
        <v>200</v>
      </c>
    </row>
    <row r="553" spans="1:11" hidden="1" x14ac:dyDescent="0.35">
      <c r="A553" s="24" t="s">
        <v>233</v>
      </c>
      <c r="B553" s="24" t="str">
        <f t="shared" si="25"/>
        <v>Bánh canh chả cuaHành tây</v>
      </c>
      <c r="C553" s="24" t="s">
        <v>8</v>
      </c>
      <c r="D553" t="s">
        <v>20</v>
      </c>
      <c r="E553" s="24" t="s">
        <v>486</v>
      </c>
      <c r="F553" t="s">
        <v>35</v>
      </c>
      <c r="G553" s="17">
        <v>1.2</v>
      </c>
      <c r="H553" s="18">
        <v>15000</v>
      </c>
      <c r="I553" s="18">
        <v>100</v>
      </c>
      <c r="J553" s="17">
        <f t="shared" si="26"/>
        <v>1.2E-2</v>
      </c>
      <c r="K553" s="18">
        <f t="shared" si="27"/>
        <v>180</v>
      </c>
    </row>
    <row r="554" spans="1:11" hidden="1" x14ac:dyDescent="0.35">
      <c r="A554" s="24" t="s">
        <v>233</v>
      </c>
      <c r="B554" s="24" t="str">
        <f t="shared" si="25"/>
        <v>Bánh canh chả cuaThơm</v>
      </c>
      <c r="C554" s="24" t="s">
        <v>8</v>
      </c>
      <c r="D554" t="s">
        <v>20</v>
      </c>
      <c r="E554" s="24" t="s">
        <v>486</v>
      </c>
      <c r="F554" t="s">
        <v>4</v>
      </c>
      <c r="G554" s="17">
        <v>1</v>
      </c>
      <c r="H554" s="18">
        <v>17000</v>
      </c>
      <c r="I554" s="18">
        <v>100</v>
      </c>
      <c r="J554" s="17">
        <f t="shared" si="26"/>
        <v>0.01</v>
      </c>
      <c r="K554" s="18">
        <f t="shared" si="27"/>
        <v>170</v>
      </c>
    </row>
    <row r="555" spans="1:11" hidden="1" x14ac:dyDescent="0.35">
      <c r="A555" s="24" t="s">
        <v>233</v>
      </c>
      <c r="B555" s="24" t="str">
        <f t="shared" si="25"/>
        <v>Bánh canh chả cuaCua đồng</v>
      </c>
      <c r="C555" s="24" t="s">
        <v>8</v>
      </c>
      <c r="D555" t="s">
        <v>20</v>
      </c>
      <c r="E555" s="24" t="s">
        <v>486</v>
      </c>
      <c r="F555" t="s">
        <v>403</v>
      </c>
      <c r="G555" s="17">
        <v>0.5</v>
      </c>
      <c r="H555" s="18">
        <v>50000</v>
      </c>
      <c r="I555" s="18">
        <v>100</v>
      </c>
      <c r="J555" s="17">
        <f t="shared" si="26"/>
        <v>5.0000000000000001E-3</v>
      </c>
      <c r="K555" s="18">
        <f t="shared" si="27"/>
        <v>250</v>
      </c>
    </row>
    <row r="556" spans="1:11" hidden="1" x14ac:dyDescent="0.35">
      <c r="A556" s="24" t="s">
        <v>233</v>
      </c>
      <c r="B556" s="24" t="str">
        <f t="shared" si="25"/>
        <v>Bánh canh chả cuatôm 120</v>
      </c>
      <c r="C556" s="24" t="s">
        <v>8</v>
      </c>
      <c r="D556" t="s">
        <v>20</v>
      </c>
      <c r="E556" s="24" t="s">
        <v>486</v>
      </c>
      <c r="F556" t="s">
        <v>519</v>
      </c>
      <c r="G556" s="17">
        <v>2.5</v>
      </c>
      <c r="H556" s="18">
        <v>100000</v>
      </c>
      <c r="I556" s="18">
        <v>100</v>
      </c>
      <c r="J556" s="17">
        <f t="shared" si="26"/>
        <v>2.5000000000000001E-2</v>
      </c>
      <c r="K556" s="18">
        <f t="shared" si="27"/>
        <v>2500</v>
      </c>
    </row>
    <row r="557" spans="1:11" hidden="1" x14ac:dyDescent="0.35">
      <c r="A557" s="24" t="s">
        <v>233</v>
      </c>
      <c r="B557" s="24" t="str">
        <f t="shared" si="25"/>
        <v>Bánh canh chả cuaChả cua</v>
      </c>
      <c r="C557" s="24" t="s">
        <v>8</v>
      </c>
      <c r="D557" t="s">
        <v>20</v>
      </c>
      <c r="E557" s="24" t="s">
        <v>486</v>
      </c>
      <c r="F557" t="s">
        <v>376</v>
      </c>
      <c r="G557" s="17">
        <v>6</v>
      </c>
      <c r="H557" s="18">
        <v>110000</v>
      </c>
      <c r="I557" s="18">
        <v>100</v>
      </c>
      <c r="J557" s="17">
        <f t="shared" si="26"/>
        <v>0.06</v>
      </c>
      <c r="K557" s="18">
        <f t="shared" si="27"/>
        <v>6600</v>
      </c>
    </row>
    <row r="558" spans="1:11" hidden="1" x14ac:dyDescent="0.35">
      <c r="A558" s="24" t="s">
        <v>233</v>
      </c>
      <c r="B558" s="24" t="str">
        <f t="shared" si="25"/>
        <v>Bánh canh chả cuaBánh mì</v>
      </c>
      <c r="C558" s="24" t="s">
        <v>8</v>
      </c>
      <c r="D558" t="s">
        <v>20</v>
      </c>
      <c r="E558" s="24" t="s">
        <v>486</v>
      </c>
      <c r="F558" t="s">
        <v>395</v>
      </c>
      <c r="G558" s="17">
        <v>150</v>
      </c>
      <c r="H558" s="18">
        <v>2000</v>
      </c>
      <c r="I558" s="18">
        <v>100</v>
      </c>
      <c r="J558" s="17">
        <f t="shared" si="26"/>
        <v>1.5</v>
      </c>
      <c r="K558" s="18">
        <f t="shared" si="27"/>
        <v>3000</v>
      </c>
    </row>
    <row r="559" spans="1:11" hidden="1" x14ac:dyDescent="0.35">
      <c r="A559" s="24" t="s">
        <v>233</v>
      </c>
      <c r="B559" s="24" t="str">
        <f t="shared" si="25"/>
        <v>Bánh canh chả cuaSả</v>
      </c>
      <c r="C559" s="24" t="s">
        <v>8</v>
      </c>
      <c r="D559" t="s">
        <v>20</v>
      </c>
      <c r="E559" s="24" t="s">
        <v>486</v>
      </c>
      <c r="F559" t="s">
        <v>207</v>
      </c>
      <c r="G559" s="17">
        <v>0.3</v>
      </c>
      <c r="H559" s="18">
        <v>30000</v>
      </c>
      <c r="I559" s="18">
        <v>100</v>
      </c>
      <c r="J559" s="17">
        <f t="shared" si="26"/>
        <v>3.0000000000000001E-3</v>
      </c>
      <c r="K559" s="18">
        <f t="shared" si="27"/>
        <v>90</v>
      </c>
    </row>
    <row r="560" spans="1:11" hidden="1" x14ac:dyDescent="0.35">
      <c r="A560" s="24" t="s">
        <v>233</v>
      </c>
      <c r="B560" s="24" t="str">
        <f t="shared" si="25"/>
        <v>Bánh canh chả cuaxương ống bò</v>
      </c>
      <c r="C560" s="24" t="s">
        <v>8</v>
      </c>
      <c r="D560" t="s">
        <v>20</v>
      </c>
      <c r="E560" s="24" t="s">
        <v>486</v>
      </c>
      <c r="F560" t="s">
        <v>432</v>
      </c>
      <c r="G560" s="17">
        <v>2</v>
      </c>
      <c r="H560" s="18">
        <v>30000</v>
      </c>
      <c r="I560" s="18">
        <v>100</v>
      </c>
      <c r="J560" s="17">
        <f t="shared" si="26"/>
        <v>0.02</v>
      </c>
      <c r="K560" s="18">
        <f t="shared" si="27"/>
        <v>600</v>
      </c>
    </row>
    <row r="561" spans="1:11" hidden="1" x14ac:dyDescent="0.35">
      <c r="A561" s="24" t="s">
        <v>233</v>
      </c>
      <c r="B561" s="24" t="str">
        <f t="shared" si="25"/>
        <v>bún xương heoChanh</v>
      </c>
      <c r="C561" s="24" t="s">
        <v>8</v>
      </c>
      <c r="D561" t="s">
        <v>20</v>
      </c>
      <c r="E561" s="24" t="s">
        <v>487</v>
      </c>
      <c r="F561" t="s">
        <v>25</v>
      </c>
      <c r="G561" s="17">
        <v>0.8</v>
      </c>
      <c r="H561" s="18">
        <v>26000</v>
      </c>
      <c r="I561" s="18">
        <v>100</v>
      </c>
      <c r="J561" s="17">
        <f t="shared" si="26"/>
        <v>8.0000000000000002E-3</v>
      </c>
      <c r="K561" s="18">
        <f t="shared" si="27"/>
        <v>208</v>
      </c>
    </row>
    <row r="562" spans="1:11" hidden="1" x14ac:dyDescent="0.35">
      <c r="A562" s="24" t="s">
        <v>233</v>
      </c>
      <c r="B562" s="24" t="str">
        <f t="shared" si="25"/>
        <v>bún xương heoGiá</v>
      </c>
      <c r="C562" s="24" t="s">
        <v>8</v>
      </c>
      <c r="D562" t="s">
        <v>20</v>
      </c>
      <c r="E562" s="24" t="s">
        <v>487</v>
      </c>
      <c r="F562" t="s">
        <v>26</v>
      </c>
      <c r="G562" s="17">
        <v>2.5</v>
      </c>
      <c r="H562" s="18">
        <v>10000</v>
      </c>
      <c r="I562" s="18">
        <v>100</v>
      </c>
      <c r="J562" s="17">
        <f t="shared" si="26"/>
        <v>2.5000000000000001E-2</v>
      </c>
      <c r="K562" s="18">
        <f t="shared" si="27"/>
        <v>250</v>
      </c>
    </row>
    <row r="563" spans="1:11" hidden="1" x14ac:dyDescent="0.35">
      <c r="A563" s="24" t="s">
        <v>233</v>
      </c>
      <c r="B563" s="24" t="str">
        <f t="shared" si="25"/>
        <v>bún xương heoHành lá</v>
      </c>
      <c r="C563" s="24" t="s">
        <v>8</v>
      </c>
      <c r="D563" t="s">
        <v>20</v>
      </c>
      <c r="E563" s="24" t="s">
        <v>487</v>
      </c>
      <c r="F563" t="s">
        <v>24</v>
      </c>
      <c r="G563" s="17">
        <v>0.4</v>
      </c>
      <c r="H563" s="18">
        <v>20000</v>
      </c>
      <c r="I563" s="18">
        <v>100</v>
      </c>
      <c r="J563" s="17">
        <f t="shared" si="26"/>
        <v>4.0000000000000001E-3</v>
      </c>
      <c r="K563" s="18">
        <f t="shared" si="27"/>
        <v>80</v>
      </c>
    </row>
    <row r="564" spans="1:11" hidden="1" x14ac:dyDescent="0.35">
      <c r="A564" s="24" t="s">
        <v>233</v>
      </c>
      <c r="B564" s="24" t="str">
        <f t="shared" si="25"/>
        <v>bún xương heoHành tây</v>
      </c>
      <c r="C564" s="24" t="s">
        <v>8</v>
      </c>
      <c r="D564" t="s">
        <v>20</v>
      </c>
      <c r="E564" s="24" t="s">
        <v>487</v>
      </c>
      <c r="F564" t="s">
        <v>35</v>
      </c>
      <c r="G564" s="17">
        <v>1.5</v>
      </c>
      <c r="H564" s="18">
        <v>15000</v>
      </c>
      <c r="I564" s="18">
        <v>100</v>
      </c>
      <c r="J564" s="17">
        <f t="shared" si="26"/>
        <v>1.4999999999999999E-2</v>
      </c>
      <c r="K564" s="18">
        <f t="shared" si="27"/>
        <v>225</v>
      </c>
    </row>
    <row r="565" spans="1:11" hidden="1" x14ac:dyDescent="0.35">
      <c r="A565" s="24" t="s">
        <v>233</v>
      </c>
      <c r="B565" s="24" t="str">
        <f t="shared" ref="B565:B631" si="28">E565&amp;F565</f>
        <v>bún xương heoNgò rí</v>
      </c>
      <c r="C565" s="24" t="s">
        <v>8</v>
      </c>
      <c r="D565" t="s">
        <v>20</v>
      </c>
      <c r="E565" s="24" t="s">
        <v>487</v>
      </c>
      <c r="F565" t="s">
        <v>369</v>
      </c>
      <c r="G565" s="17">
        <v>0.2</v>
      </c>
      <c r="H565" s="18">
        <v>35000</v>
      </c>
      <c r="I565" s="18">
        <v>100</v>
      </c>
      <c r="J565" s="17">
        <f t="shared" si="26"/>
        <v>2E-3</v>
      </c>
      <c r="K565" s="18">
        <f t="shared" si="27"/>
        <v>70</v>
      </c>
    </row>
    <row r="566" spans="1:11" hidden="1" x14ac:dyDescent="0.35">
      <c r="A566" s="24" t="s">
        <v>233</v>
      </c>
      <c r="B566" s="24" t="str">
        <f t="shared" si="28"/>
        <v>bún xương heoRau quế</v>
      </c>
      <c r="C566" s="24" t="s">
        <v>8</v>
      </c>
      <c r="D566" t="s">
        <v>20</v>
      </c>
      <c r="E566" s="24" t="s">
        <v>487</v>
      </c>
      <c r="F566" t="s">
        <v>23</v>
      </c>
      <c r="G566" s="17">
        <v>0.3</v>
      </c>
      <c r="H566" s="18">
        <v>30000</v>
      </c>
      <c r="I566" s="18">
        <v>100</v>
      </c>
      <c r="J566" s="17">
        <f t="shared" si="26"/>
        <v>3.0000000000000001E-3</v>
      </c>
      <c r="K566" s="18">
        <f t="shared" si="27"/>
        <v>90</v>
      </c>
    </row>
    <row r="567" spans="1:11" hidden="1" x14ac:dyDescent="0.35">
      <c r="A567" s="24" t="s">
        <v>233</v>
      </c>
      <c r="B567" s="24" t="str">
        <f t="shared" si="28"/>
        <v>bún xương heoxương mềm</v>
      </c>
      <c r="C567" s="24" t="s">
        <v>8</v>
      </c>
      <c r="D567" t="s">
        <v>20</v>
      </c>
      <c r="E567" s="24" t="s">
        <v>487</v>
      </c>
      <c r="F567" t="s">
        <v>488</v>
      </c>
      <c r="G567" s="17">
        <v>15</v>
      </c>
      <c r="H567" s="18">
        <v>90000</v>
      </c>
      <c r="I567" s="18">
        <v>100</v>
      </c>
      <c r="J567" s="17">
        <f t="shared" si="26"/>
        <v>0.15</v>
      </c>
      <c r="K567" s="18">
        <f t="shared" si="27"/>
        <v>13500</v>
      </c>
    </row>
    <row r="568" spans="1:11" hidden="1" x14ac:dyDescent="0.35">
      <c r="A568" s="24" t="s">
        <v>233</v>
      </c>
      <c r="B568" s="24" t="str">
        <f t="shared" si="28"/>
        <v>bún xương heochả cua</v>
      </c>
      <c r="C568" s="24" t="s">
        <v>8</v>
      </c>
      <c r="D568" t="s">
        <v>20</v>
      </c>
      <c r="E568" s="24" t="s">
        <v>487</v>
      </c>
      <c r="F568" t="s">
        <v>470</v>
      </c>
      <c r="G568" s="17">
        <v>1.8</v>
      </c>
      <c r="H568" s="18">
        <v>90000</v>
      </c>
      <c r="I568" s="18">
        <v>100</v>
      </c>
      <c r="J568" s="17">
        <f t="shared" ref="J568" si="29">G568/I568</f>
        <v>1.8000000000000002E-2</v>
      </c>
      <c r="K568" s="18">
        <f t="shared" ref="K568" si="30">(G568*H568)/I568</f>
        <v>1620</v>
      </c>
    </row>
    <row r="569" spans="1:11" hidden="1" x14ac:dyDescent="0.35">
      <c r="A569" s="24" t="s">
        <v>233</v>
      </c>
      <c r="B569" s="24" t="str">
        <f t="shared" si="28"/>
        <v>bún xương heoHuyết bò</v>
      </c>
      <c r="C569" s="24" t="s">
        <v>8</v>
      </c>
      <c r="D569" t="s">
        <v>20</v>
      </c>
      <c r="E569" s="24" t="s">
        <v>487</v>
      </c>
      <c r="F569" t="s">
        <v>167</v>
      </c>
      <c r="G569" s="17">
        <v>2.5</v>
      </c>
      <c r="H569" s="18">
        <v>25000</v>
      </c>
      <c r="I569" s="18">
        <v>100</v>
      </c>
      <c r="J569" s="17">
        <f t="shared" si="26"/>
        <v>2.5000000000000001E-2</v>
      </c>
      <c r="K569" s="18">
        <f t="shared" si="27"/>
        <v>625</v>
      </c>
    </row>
    <row r="570" spans="1:11" hidden="1" x14ac:dyDescent="0.35">
      <c r="A570" s="24" t="s">
        <v>233</v>
      </c>
      <c r="B570" s="24" t="str">
        <f t="shared" si="28"/>
        <v>bún xương heoXà lách</v>
      </c>
      <c r="C570" s="24" t="s">
        <v>8</v>
      </c>
      <c r="D570" t="s">
        <v>20</v>
      </c>
      <c r="E570" s="24" t="s">
        <v>487</v>
      </c>
      <c r="F570" t="s">
        <v>197</v>
      </c>
      <c r="G570" s="17">
        <v>2</v>
      </c>
      <c r="H570" s="18">
        <v>22000</v>
      </c>
      <c r="I570" s="18">
        <v>100</v>
      </c>
      <c r="J570" s="17">
        <f t="shared" si="26"/>
        <v>0.02</v>
      </c>
      <c r="K570" s="18">
        <f t="shared" si="27"/>
        <v>440</v>
      </c>
    </row>
    <row r="571" spans="1:11" hidden="1" x14ac:dyDescent="0.35">
      <c r="A571" s="24" t="s">
        <v>233</v>
      </c>
      <c r="B571" s="24" t="str">
        <f t="shared" si="28"/>
        <v>bún xương heoCủ cải</v>
      </c>
      <c r="C571" s="24" t="s">
        <v>8</v>
      </c>
      <c r="D571" t="s">
        <v>20</v>
      </c>
      <c r="E571" s="24" t="s">
        <v>487</v>
      </c>
      <c r="F571" t="s">
        <v>202</v>
      </c>
      <c r="G571" s="17">
        <v>1</v>
      </c>
      <c r="H571" s="18">
        <v>12000</v>
      </c>
      <c r="I571" s="18">
        <v>100</v>
      </c>
      <c r="J571" s="17">
        <f t="shared" si="26"/>
        <v>0.01</v>
      </c>
      <c r="K571" s="18">
        <f t="shared" si="27"/>
        <v>120</v>
      </c>
    </row>
    <row r="572" spans="1:11" hidden="1" x14ac:dyDescent="0.35">
      <c r="A572" s="24" t="s">
        <v>233</v>
      </c>
      <c r="B572" s="24" t="str">
        <f t="shared" si="28"/>
        <v>bún xương heoĐu đủ xanh</v>
      </c>
      <c r="C572" s="24" t="s">
        <v>8</v>
      </c>
      <c r="D572" t="s">
        <v>20</v>
      </c>
      <c r="E572" s="24" t="s">
        <v>487</v>
      </c>
      <c r="F572" t="s">
        <v>302</v>
      </c>
      <c r="G572" s="17">
        <v>0.8</v>
      </c>
      <c r="H572" s="18">
        <v>12000</v>
      </c>
      <c r="I572" s="18">
        <v>100</v>
      </c>
      <c r="J572" s="17">
        <f t="shared" si="26"/>
        <v>8.0000000000000002E-3</v>
      </c>
      <c r="K572" s="18">
        <f t="shared" si="27"/>
        <v>96</v>
      </c>
    </row>
    <row r="573" spans="1:11" hidden="1" x14ac:dyDescent="0.35">
      <c r="A573" s="24" t="s">
        <v>233</v>
      </c>
      <c r="B573" s="24" t="str">
        <f t="shared" si="28"/>
        <v>bún xương heoHành tái</v>
      </c>
      <c r="C573" s="24" t="s">
        <v>8</v>
      </c>
      <c r="D573" t="s">
        <v>20</v>
      </c>
      <c r="E573" s="24" t="s">
        <v>487</v>
      </c>
      <c r="F573" t="s">
        <v>371</v>
      </c>
      <c r="G573" s="17">
        <v>0.3</v>
      </c>
      <c r="H573" s="18">
        <v>20000</v>
      </c>
      <c r="I573" s="18">
        <v>100</v>
      </c>
      <c r="J573" s="17">
        <f t="shared" si="26"/>
        <v>3.0000000000000001E-3</v>
      </c>
      <c r="K573" s="18">
        <f t="shared" si="27"/>
        <v>60</v>
      </c>
    </row>
    <row r="574" spans="1:11" hidden="1" x14ac:dyDescent="0.35">
      <c r="A574" s="24" t="s">
        <v>233</v>
      </c>
      <c r="B574" s="24" t="str">
        <f t="shared" si="28"/>
        <v>bún xương heoCà rốt</v>
      </c>
      <c r="C574" s="24" t="s">
        <v>8</v>
      </c>
      <c r="D574" t="s">
        <v>20</v>
      </c>
      <c r="E574" s="24" t="s">
        <v>487</v>
      </c>
      <c r="F574" t="s">
        <v>78</v>
      </c>
      <c r="G574" s="17">
        <v>0.8</v>
      </c>
      <c r="H574" s="18">
        <v>15000</v>
      </c>
      <c r="I574" s="18">
        <v>100</v>
      </c>
      <c r="J574" s="17">
        <f t="shared" si="26"/>
        <v>8.0000000000000002E-3</v>
      </c>
      <c r="K574" s="18">
        <f t="shared" si="27"/>
        <v>120</v>
      </c>
    </row>
    <row r="575" spans="1:11" hidden="1" x14ac:dyDescent="0.35">
      <c r="A575" s="24" t="s">
        <v>233</v>
      </c>
      <c r="B575" s="24" t="str">
        <f t="shared" si="28"/>
        <v>bún xương heobún tươi</v>
      </c>
      <c r="C575" s="24" t="s">
        <v>8</v>
      </c>
      <c r="D575" t="s">
        <v>20</v>
      </c>
      <c r="E575" s="24" t="s">
        <v>487</v>
      </c>
      <c r="F575" t="s">
        <v>467</v>
      </c>
      <c r="G575" s="17">
        <v>33</v>
      </c>
      <c r="H575" s="18">
        <v>9500</v>
      </c>
      <c r="I575" s="18">
        <v>100</v>
      </c>
      <c r="J575" s="17">
        <f t="shared" ref="J575:J639" si="31">G575/I575</f>
        <v>0.33</v>
      </c>
      <c r="K575" s="18">
        <f>(G575*H575)/I575</f>
        <v>3135</v>
      </c>
    </row>
    <row r="576" spans="1:11" hidden="1" x14ac:dyDescent="0.35">
      <c r="A576" s="24" t="s">
        <v>233</v>
      </c>
      <c r="B576" s="24" t="str">
        <f t="shared" si="28"/>
        <v>bún riêu cuaBún tươi</v>
      </c>
      <c r="C576" s="24" t="s">
        <v>8</v>
      </c>
      <c r="D576" t="s">
        <v>20</v>
      </c>
      <c r="E576" s="24" t="s">
        <v>489</v>
      </c>
      <c r="F576" t="s">
        <v>387</v>
      </c>
      <c r="G576" s="17">
        <v>33</v>
      </c>
      <c r="H576" s="18">
        <v>9500</v>
      </c>
      <c r="I576" s="18">
        <v>100</v>
      </c>
      <c r="J576" s="17">
        <f t="shared" si="31"/>
        <v>0.33</v>
      </c>
      <c r="K576" s="18">
        <f t="shared" ref="K576:K639" si="32">(G576*H576)/I576</f>
        <v>3135</v>
      </c>
    </row>
    <row r="577" spans="1:11" hidden="1" x14ac:dyDescent="0.35">
      <c r="A577" s="24" t="s">
        <v>233</v>
      </c>
      <c r="B577" s="24" t="str">
        <f t="shared" si="28"/>
        <v>bún riêu cuaHuyết bò</v>
      </c>
      <c r="C577" s="24" t="s">
        <v>8</v>
      </c>
      <c r="D577" t="s">
        <v>20</v>
      </c>
      <c r="E577" s="24" t="s">
        <v>489</v>
      </c>
      <c r="F577" t="s">
        <v>167</v>
      </c>
      <c r="G577" s="17">
        <v>2.5</v>
      </c>
      <c r="H577" s="18">
        <v>30000</v>
      </c>
      <c r="I577" s="18">
        <v>100</v>
      </c>
      <c r="J577" s="17">
        <f t="shared" si="31"/>
        <v>2.5000000000000001E-2</v>
      </c>
      <c r="K577" s="18">
        <f t="shared" si="32"/>
        <v>750</v>
      </c>
    </row>
    <row r="578" spans="1:11" hidden="1" x14ac:dyDescent="0.35">
      <c r="A578" s="24" t="s">
        <v>233</v>
      </c>
      <c r="B578" s="24" t="str">
        <f t="shared" si="28"/>
        <v>bún riêu cuađậu khuôn chiên lát nhỏ</v>
      </c>
      <c r="C578" s="24" t="s">
        <v>8</v>
      </c>
      <c r="D578" t="s">
        <v>20</v>
      </c>
      <c r="E578" s="24" t="s">
        <v>489</v>
      </c>
      <c r="F578" t="s">
        <v>465</v>
      </c>
      <c r="G578" s="17">
        <v>70</v>
      </c>
      <c r="H578" s="18">
        <v>1600</v>
      </c>
      <c r="I578" s="18">
        <v>100</v>
      </c>
      <c r="J578" s="17">
        <f t="shared" si="31"/>
        <v>0.7</v>
      </c>
      <c r="K578" s="18">
        <f t="shared" si="32"/>
        <v>1120</v>
      </c>
    </row>
    <row r="579" spans="1:11" hidden="1" x14ac:dyDescent="0.35">
      <c r="A579" s="24" t="s">
        <v>233</v>
      </c>
      <c r="B579" s="24" t="str">
        <f t="shared" si="28"/>
        <v>bún riêu cuaCua đồng</v>
      </c>
      <c r="C579" s="24" t="s">
        <v>8</v>
      </c>
      <c r="D579" t="s">
        <v>20</v>
      </c>
      <c r="E579" s="24" t="s">
        <v>489</v>
      </c>
      <c r="F579" t="s">
        <v>403</v>
      </c>
      <c r="G579" s="17">
        <v>3</v>
      </c>
      <c r="H579" s="18">
        <v>50000</v>
      </c>
      <c r="I579" s="18">
        <v>100</v>
      </c>
      <c r="J579" s="17">
        <f t="shared" si="31"/>
        <v>0.03</v>
      </c>
      <c r="K579" s="18">
        <f t="shared" si="32"/>
        <v>1500</v>
      </c>
    </row>
    <row r="580" spans="1:11" hidden="1" x14ac:dyDescent="0.35">
      <c r="A580" s="24" t="s">
        <v>233</v>
      </c>
      <c r="B580" s="24" t="str">
        <f t="shared" si="28"/>
        <v>bún riêu cuaThịt xay mịn</v>
      </c>
      <c r="C580" s="24" t="s">
        <v>8</v>
      </c>
      <c r="D580" t="s">
        <v>20</v>
      </c>
      <c r="E580" s="24" t="s">
        <v>489</v>
      </c>
      <c r="F580" t="s">
        <v>431</v>
      </c>
      <c r="G580" s="17">
        <v>4</v>
      </c>
      <c r="H580" s="18">
        <v>120000</v>
      </c>
      <c r="I580" s="18">
        <v>100</v>
      </c>
      <c r="J580" s="17">
        <f t="shared" si="31"/>
        <v>0.04</v>
      </c>
      <c r="K580" s="18">
        <f t="shared" si="32"/>
        <v>4800</v>
      </c>
    </row>
    <row r="581" spans="1:11" hidden="1" x14ac:dyDescent="0.35">
      <c r="A581" s="24" t="s">
        <v>233</v>
      </c>
      <c r="B581" s="24" t="str">
        <f t="shared" si="28"/>
        <v>bún riêu cuaTrứng gà trung</v>
      </c>
      <c r="C581" s="24" t="s">
        <v>8</v>
      </c>
      <c r="D581" t="s">
        <v>20</v>
      </c>
      <c r="E581" s="24" t="s">
        <v>489</v>
      </c>
      <c r="F581" t="s">
        <v>416</v>
      </c>
      <c r="G581" s="17">
        <v>4</v>
      </c>
      <c r="H581" s="18">
        <v>2000</v>
      </c>
      <c r="I581" s="18">
        <v>100</v>
      </c>
      <c r="J581" s="17">
        <f t="shared" si="31"/>
        <v>0.04</v>
      </c>
      <c r="K581" s="18">
        <f t="shared" si="32"/>
        <v>80</v>
      </c>
    </row>
    <row r="582" spans="1:11" hidden="1" x14ac:dyDescent="0.35">
      <c r="A582" s="24" t="s">
        <v>233</v>
      </c>
      <c r="B582" s="24" t="str">
        <f t="shared" si="28"/>
        <v>bún riêu cuaChả quế chiên</v>
      </c>
      <c r="C582" s="24" t="s">
        <v>8</v>
      </c>
      <c r="D582" t="s">
        <v>20</v>
      </c>
      <c r="E582" s="24" t="s">
        <v>489</v>
      </c>
      <c r="F582" t="s">
        <v>458</v>
      </c>
      <c r="G582" s="17">
        <v>3.2</v>
      </c>
      <c r="H582" s="18">
        <v>140000</v>
      </c>
      <c r="I582" s="18">
        <v>100</v>
      </c>
      <c r="J582" s="17">
        <f t="shared" si="31"/>
        <v>3.2000000000000001E-2</v>
      </c>
      <c r="K582" s="18">
        <f t="shared" si="32"/>
        <v>4480</v>
      </c>
    </row>
    <row r="583" spans="1:11" hidden="1" x14ac:dyDescent="0.35">
      <c r="A583" s="24" t="s">
        <v>233</v>
      </c>
      <c r="B583" s="24" t="str">
        <f t="shared" si="28"/>
        <v>bún riêu cuaGiá giò</v>
      </c>
      <c r="C583" s="24" t="s">
        <v>8</v>
      </c>
      <c r="D583" t="s">
        <v>20</v>
      </c>
      <c r="E583" s="24" t="s">
        <v>489</v>
      </c>
      <c r="F583" t="s">
        <v>384</v>
      </c>
      <c r="G583" s="17">
        <v>2</v>
      </c>
      <c r="H583" s="18">
        <v>10000</v>
      </c>
      <c r="I583" s="18">
        <v>100</v>
      </c>
      <c r="J583" s="17">
        <f t="shared" si="31"/>
        <v>0.02</v>
      </c>
      <c r="K583" s="18">
        <f t="shared" si="32"/>
        <v>200</v>
      </c>
    </row>
    <row r="584" spans="1:11" hidden="1" x14ac:dyDescent="0.35">
      <c r="A584" s="24" t="s">
        <v>233</v>
      </c>
      <c r="B584" s="24" t="str">
        <f t="shared" si="28"/>
        <v>bún riêu cuaNgò gai</v>
      </c>
      <c r="C584" s="24" t="s">
        <v>8</v>
      </c>
      <c r="D584" t="s">
        <v>20</v>
      </c>
      <c r="E584" s="24" t="s">
        <v>489</v>
      </c>
      <c r="F584" t="s">
        <v>101</v>
      </c>
      <c r="G584" s="17">
        <v>0.3</v>
      </c>
      <c r="H584" s="18">
        <v>30000</v>
      </c>
      <c r="I584" s="18">
        <v>100</v>
      </c>
      <c r="J584" s="17">
        <f t="shared" si="31"/>
        <v>3.0000000000000001E-3</v>
      </c>
      <c r="K584" s="18">
        <f t="shared" si="32"/>
        <v>90</v>
      </c>
    </row>
    <row r="585" spans="1:11" hidden="1" x14ac:dyDescent="0.35">
      <c r="A585" s="24" t="s">
        <v>233</v>
      </c>
      <c r="B585" s="24" t="str">
        <f t="shared" si="28"/>
        <v>bún riêu cuaHành lá</v>
      </c>
      <c r="C585" s="24" t="s">
        <v>8</v>
      </c>
      <c r="D585" t="s">
        <v>20</v>
      </c>
      <c r="E585" s="24" t="s">
        <v>489</v>
      </c>
      <c r="F585" t="s">
        <v>24</v>
      </c>
      <c r="G585" s="17">
        <v>0.4</v>
      </c>
      <c r="H585" s="18">
        <v>20000</v>
      </c>
      <c r="I585" s="18">
        <v>100</v>
      </c>
      <c r="J585" s="17">
        <f t="shared" si="31"/>
        <v>4.0000000000000001E-3</v>
      </c>
      <c r="K585" s="18">
        <f t="shared" si="32"/>
        <v>80</v>
      </c>
    </row>
    <row r="586" spans="1:11" hidden="1" x14ac:dyDescent="0.35">
      <c r="A586" s="24" t="s">
        <v>233</v>
      </c>
      <c r="B586" s="24" t="str">
        <f t="shared" si="28"/>
        <v>bún riêu cuaRau tía tô</v>
      </c>
      <c r="C586" s="24" t="s">
        <v>8</v>
      </c>
      <c r="D586" t="s">
        <v>20</v>
      </c>
      <c r="E586" s="24" t="s">
        <v>489</v>
      </c>
      <c r="F586" t="s">
        <v>419</v>
      </c>
      <c r="G586" s="17">
        <v>0.3</v>
      </c>
      <c r="H586" s="18">
        <v>25000</v>
      </c>
      <c r="I586" s="18">
        <v>100</v>
      </c>
      <c r="J586" s="17">
        <f t="shared" si="31"/>
        <v>3.0000000000000001E-3</v>
      </c>
      <c r="K586" s="18">
        <f t="shared" si="32"/>
        <v>75</v>
      </c>
    </row>
    <row r="587" spans="1:11" hidden="1" x14ac:dyDescent="0.35">
      <c r="A587" s="24" t="s">
        <v>233</v>
      </c>
      <c r="B587" s="24" t="str">
        <f t="shared" si="28"/>
        <v>bún riêu cuaSu trắng</v>
      </c>
      <c r="C587" s="24" t="s">
        <v>8</v>
      </c>
      <c r="D587" t="s">
        <v>20</v>
      </c>
      <c r="E587" s="24" t="s">
        <v>489</v>
      </c>
      <c r="F587" t="s">
        <v>39</v>
      </c>
      <c r="G587" s="17">
        <v>2</v>
      </c>
      <c r="H587" s="18">
        <v>10000</v>
      </c>
      <c r="I587" s="18">
        <v>100</v>
      </c>
      <c r="J587" s="17">
        <f t="shared" si="31"/>
        <v>0.02</v>
      </c>
      <c r="K587" s="18">
        <f t="shared" si="32"/>
        <v>200</v>
      </c>
    </row>
    <row r="588" spans="1:11" hidden="1" x14ac:dyDescent="0.35">
      <c r="A588" s="24" t="s">
        <v>233</v>
      </c>
      <c r="B588" s="24" t="str">
        <f t="shared" si="28"/>
        <v>bún riêu cuaXà lách</v>
      </c>
      <c r="C588" s="24" t="s">
        <v>8</v>
      </c>
      <c r="D588" t="s">
        <v>20</v>
      </c>
      <c r="E588" s="24" t="s">
        <v>489</v>
      </c>
      <c r="F588" t="s">
        <v>197</v>
      </c>
      <c r="G588" s="17">
        <v>2</v>
      </c>
      <c r="H588" s="18">
        <v>20000</v>
      </c>
      <c r="I588" s="18">
        <v>100</v>
      </c>
      <c r="J588" s="17">
        <f t="shared" si="31"/>
        <v>0.02</v>
      </c>
      <c r="K588" s="18">
        <f t="shared" si="32"/>
        <v>400</v>
      </c>
    </row>
    <row r="589" spans="1:11" hidden="1" x14ac:dyDescent="0.35">
      <c r="A589" s="24" t="s">
        <v>233</v>
      </c>
      <c r="B589" s="24" t="str">
        <f t="shared" si="28"/>
        <v>bún riêu cuaTương rim</v>
      </c>
      <c r="C589" s="24" t="s">
        <v>8</v>
      </c>
      <c r="D589" t="s">
        <v>20</v>
      </c>
      <c r="E589" s="24" t="s">
        <v>489</v>
      </c>
      <c r="F589" t="s">
        <v>358</v>
      </c>
      <c r="G589" s="17">
        <v>1</v>
      </c>
      <c r="H589" s="18">
        <v>15000</v>
      </c>
      <c r="I589" s="18">
        <v>100</v>
      </c>
      <c r="J589" s="17">
        <f t="shared" si="31"/>
        <v>0.01</v>
      </c>
      <c r="K589" s="18">
        <f t="shared" si="32"/>
        <v>150</v>
      </c>
    </row>
    <row r="590" spans="1:11" hidden="1" x14ac:dyDescent="0.35">
      <c r="A590" s="24" t="s">
        <v>233</v>
      </c>
      <c r="B590" s="24" t="str">
        <f t="shared" si="28"/>
        <v>bún riêu cuaCà rốt</v>
      </c>
      <c r="C590" s="24" t="s">
        <v>8</v>
      </c>
      <c r="D590" t="s">
        <v>20</v>
      </c>
      <c r="E590" s="24" t="s">
        <v>489</v>
      </c>
      <c r="F590" t="s">
        <v>78</v>
      </c>
      <c r="G590" s="17">
        <v>0.8</v>
      </c>
      <c r="H590" s="18">
        <v>15000</v>
      </c>
      <c r="I590" s="18">
        <v>100</v>
      </c>
      <c r="J590" s="17">
        <f t="shared" si="31"/>
        <v>8.0000000000000002E-3</v>
      </c>
      <c r="K590" s="18">
        <f t="shared" si="32"/>
        <v>120</v>
      </c>
    </row>
    <row r="591" spans="1:11" hidden="1" x14ac:dyDescent="0.35">
      <c r="A591" s="24" t="s">
        <v>233</v>
      </c>
      <c r="B591" s="24" t="str">
        <f t="shared" si="28"/>
        <v>bún riêu cuaĐu đủ xanh</v>
      </c>
      <c r="C591" s="24" t="s">
        <v>8</v>
      </c>
      <c r="D591" t="s">
        <v>20</v>
      </c>
      <c r="E591" s="24" t="s">
        <v>489</v>
      </c>
      <c r="F591" t="s">
        <v>302</v>
      </c>
      <c r="G591" s="17">
        <v>0.8</v>
      </c>
      <c r="H591" s="18">
        <v>12000</v>
      </c>
      <c r="I591" s="18">
        <v>100</v>
      </c>
      <c r="J591" s="17">
        <f t="shared" si="31"/>
        <v>8.0000000000000002E-3</v>
      </c>
      <c r="K591" s="18">
        <f t="shared" si="32"/>
        <v>96</v>
      </c>
    </row>
    <row r="592" spans="1:11" hidden="1" x14ac:dyDescent="0.35">
      <c r="A592" s="24" t="s">
        <v>233</v>
      </c>
      <c r="B592" s="24" t="str">
        <f t="shared" si="28"/>
        <v>bún riêu cuaHành tái</v>
      </c>
      <c r="C592" s="24" t="s">
        <v>8</v>
      </c>
      <c r="D592" t="s">
        <v>20</v>
      </c>
      <c r="E592" s="24" t="s">
        <v>489</v>
      </c>
      <c r="F592" t="s">
        <v>371</v>
      </c>
      <c r="G592" s="17">
        <v>0.3</v>
      </c>
      <c r="H592" s="18">
        <v>20000</v>
      </c>
      <c r="I592" s="18">
        <v>100</v>
      </c>
      <c r="J592" s="17">
        <f t="shared" si="31"/>
        <v>3.0000000000000001E-3</v>
      </c>
      <c r="K592" s="18">
        <f t="shared" si="32"/>
        <v>60</v>
      </c>
    </row>
    <row r="593" spans="1:11" hidden="1" x14ac:dyDescent="0.35">
      <c r="A593" s="24" t="s">
        <v>232</v>
      </c>
      <c r="B593" s="24" t="str">
        <f t="shared" si="28"/>
        <v>vịt nấu laguVịt</v>
      </c>
      <c r="C593" s="24" t="s">
        <v>8</v>
      </c>
      <c r="D593" t="s">
        <v>491</v>
      </c>
      <c r="E593" s="24" t="s">
        <v>490</v>
      </c>
      <c r="F593" t="s">
        <v>163</v>
      </c>
      <c r="G593" s="17">
        <v>12</v>
      </c>
      <c r="H593" s="18">
        <v>55000</v>
      </c>
      <c r="I593" s="18">
        <v>100</v>
      </c>
      <c r="J593" s="17">
        <f t="shared" si="31"/>
        <v>0.12</v>
      </c>
      <c r="K593" s="18">
        <f t="shared" si="32"/>
        <v>6600</v>
      </c>
    </row>
    <row r="594" spans="1:11" hidden="1" x14ac:dyDescent="0.35">
      <c r="A594" s="24" t="s">
        <v>233</v>
      </c>
      <c r="B594" s="24" t="str">
        <f t="shared" si="28"/>
        <v>vịt nấu laguCủ cải</v>
      </c>
      <c r="C594" s="24" t="s">
        <v>8</v>
      </c>
      <c r="D594" t="s">
        <v>491</v>
      </c>
      <c r="E594" s="24" t="s">
        <v>490</v>
      </c>
      <c r="F594" t="s">
        <v>202</v>
      </c>
      <c r="G594" s="17">
        <v>1.5</v>
      </c>
      <c r="H594" s="18">
        <v>10000</v>
      </c>
      <c r="I594" s="18">
        <v>100</v>
      </c>
      <c r="J594" s="17">
        <f t="shared" si="31"/>
        <v>1.4999999999999999E-2</v>
      </c>
      <c r="K594" s="18">
        <f t="shared" si="32"/>
        <v>150</v>
      </c>
    </row>
    <row r="595" spans="1:11" hidden="1" x14ac:dyDescent="0.35">
      <c r="A595" s="24" t="s">
        <v>233</v>
      </c>
      <c r="B595" s="24" t="str">
        <f t="shared" si="28"/>
        <v>vịt nấu laguKhoai tây</v>
      </c>
      <c r="C595" s="24" t="s">
        <v>8</v>
      </c>
      <c r="D595" t="s">
        <v>491</v>
      </c>
      <c r="E595" s="24" t="s">
        <v>490</v>
      </c>
      <c r="F595" t="s">
        <v>77</v>
      </c>
      <c r="G595" s="17">
        <v>1.5</v>
      </c>
      <c r="H595" s="18">
        <v>12000</v>
      </c>
      <c r="I595" s="18">
        <v>100</v>
      </c>
      <c r="J595" s="17">
        <f t="shared" si="31"/>
        <v>1.4999999999999999E-2</v>
      </c>
      <c r="K595" s="18">
        <f t="shared" si="32"/>
        <v>180</v>
      </c>
    </row>
    <row r="596" spans="1:11" hidden="1" x14ac:dyDescent="0.35">
      <c r="A596" s="24" t="s">
        <v>233</v>
      </c>
      <c r="B596" s="24" t="str">
        <f t="shared" si="28"/>
        <v>vịt nấu laguCà rốt</v>
      </c>
      <c r="C596" s="24" t="s">
        <v>8</v>
      </c>
      <c r="D596" t="s">
        <v>491</v>
      </c>
      <c r="E596" s="24" t="s">
        <v>490</v>
      </c>
      <c r="F596" t="s">
        <v>78</v>
      </c>
      <c r="G596" s="17">
        <v>1.5</v>
      </c>
      <c r="H596" s="18">
        <v>15000</v>
      </c>
      <c r="I596" s="18">
        <v>100</v>
      </c>
      <c r="J596" s="17">
        <f t="shared" si="31"/>
        <v>1.4999999999999999E-2</v>
      </c>
      <c r="K596" s="18">
        <f t="shared" si="32"/>
        <v>225</v>
      </c>
    </row>
    <row r="597" spans="1:11" hidden="1" x14ac:dyDescent="0.35">
      <c r="A597" s="24" t="s">
        <v>233</v>
      </c>
      <c r="B597" s="24" t="str">
        <f t="shared" si="28"/>
        <v>Ram tôm thịtTôm nhỏ 170c/kg</v>
      </c>
      <c r="C597" s="24" t="s">
        <v>8</v>
      </c>
      <c r="D597" t="s">
        <v>19</v>
      </c>
      <c r="E597" s="24" t="s">
        <v>495</v>
      </c>
      <c r="F597" t="s">
        <v>494</v>
      </c>
      <c r="G597" s="17">
        <v>1.5</v>
      </c>
      <c r="H597" s="18">
        <v>80000</v>
      </c>
      <c r="I597" s="18">
        <v>80</v>
      </c>
      <c r="J597" s="17">
        <f t="shared" si="31"/>
        <v>1.8749999999999999E-2</v>
      </c>
      <c r="K597" s="18">
        <f t="shared" si="32"/>
        <v>1500</v>
      </c>
    </row>
    <row r="598" spans="1:11" hidden="1" x14ac:dyDescent="0.35">
      <c r="A598" s="24" t="s">
        <v>233</v>
      </c>
      <c r="B598" s="24" t="str">
        <f t="shared" si="28"/>
        <v>Ram tôm thịtThịt nọng xay</v>
      </c>
      <c r="C598" s="24" t="s">
        <v>8</v>
      </c>
      <c r="D598" t="s">
        <v>19</v>
      </c>
      <c r="E598" s="24" t="s">
        <v>495</v>
      </c>
      <c r="F598" t="s">
        <v>362</v>
      </c>
      <c r="G598" s="17">
        <v>1.2</v>
      </c>
      <c r="H598" s="18">
        <v>70000</v>
      </c>
      <c r="I598" s="18">
        <v>80</v>
      </c>
      <c r="J598" s="17">
        <f t="shared" si="31"/>
        <v>1.4999999999999999E-2</v>
      </c>
      <c r="K598" s="18">
        <f t="shared" si="32"/>
        <v>1050</v>
      </c>
    </row>
    <row r="599" spans="1:11" hidden="1" x14ac:dyDescent="0.35">
      <c r="A599" s="24" t="s">
        <v>233</v>
      </c>
      <c r="B599" s="24" t="str">
        <f t="shared" si="28"/>
        <v>Ram tôm thịtBánh tráng rế</v>
      </c>
      <c r="C599" s="24" t="s">
        <v>8</v>
      </c>
      <c r="D599" t="s">
        <v>19</v>
      </c>
      <c r="E599" s="24" t="s">
        <v>495</v>
      </c>
      <c r="F599" t="s">
        <v>415</v>
      </c>
      <c r="G599" s="17">
        <v>5</v>
      </c>
      <c r="H599" s="18">
        <v>15000</v>
      </c>
      <c r="I599" s="18">
        <v>80</v>
      </c>
      <c r="J599" s="17">
        <f t="shared" si="31"/>
        <v>6.25E-2</v>
      </c>
      <c r="K599" s="18">
        <f t="shared" si="32"/>
        <v>937.5</v>
      </c>
    </row>
    <row r="600" spans="1:11" hidden="1" x14ac:dyDescent="0.35">
      <c r="A600" s="24" t="s">
        <v>233</v>
      </c>
      <c r="B600" s="24" t="str">
        <f t="shared" si="28"/>
        <v>Ram tôm thịthành lá</v>
      </c>
      <c r="C600" s="24" t="s">
        <v>8</v>
      </c>
      <c r="D600" t="s">
        <v>19</v>
      </c>
      <c r="E600" s="24" t="s">
        <v>495</v>
      </c>
      <c r="F600" t="s">
        <v>408</v>
      </c>
      <c r="G600" s="17">
        <v>0.3</v>
      </c>
      <c r="H600" s="18">
        <v>20000</v>
      </c>
      <c r="I600" s="18">
        <v>80</v>
      </c>
      <c r="J600" s="17">
        <f t="shared" si="31"/>
        <v>3.7499999999999999E-3</v>
      </c>
      <c r="K600" s="18">
        <f t="shared" si="32"/>
        <v>75</v>
      </c>
    </row>
    <row r="601" spans="1:11" hidden="1" x14ac:dyDescent="0.35">
      <c r="A601" s="24" t="s">
        <v>233</v>
      </c>
      <c r="B601" s="24" t="str">
        <f t="shared" si="28"/>
        <v>Ram tôm thịtCà rốt</v>
      </c>
      <c r="C601" s="24" t="s">
        <v>8</v>
      </c>
      <c r="D601" t="s">
        <v>19</v>
      </c>
      <c r="E601" s="24" t="s">
        <v>495</v>
      </c>
      <c r="F601" t="s">
        <v>78</v>
      </c>
      <c r="G601" s="17">
        <v>0.5</v>
      </c>
      <c r="H601" s="18">
        <v>15000</v>
      </c>
      <c r="I601" s="18">
        <v>80</v>
      </c>
      <c r="J601" s="17">
        <f t="shared" si="31"/>
        <v>6.2500000000000003E-3</v>
      </c>
      <c r="K601" s="18">
        <f t="shared" si="32"/>
        <v>93.75</v>
      </c>
    </row>
    <row r="602" spans="1:11" hidden="1" x14ac:dyDescent="0.35">
      <c r="A602" s="24" t="s">
        <v>233</v>
      </c>
      <c r="B602" s="24" t="str">
        <f t="shared" si="28"/>
        <v>cá lóc um chuốiCá lóc</v>
      </c>
      <c r="C602" s="24" t="s">
        <v>8</v>
      </c>
      <c r="D602" t="s">
        <v>491</v>
      </c>
      <c r="E602" s="24" t="s">
        <v>477</v>
      </c>
      <c r="F602" t="s">
        <v>111</v>
      </c>
      <c r="G602" s="17">
        <v>9</v>
      </c>
      <c r="H602" s="18">
        <v>70000</v>
      </c>
      <c r="I602" s="18">
        <v>100</v>
      </c>
      <c r="J602" s="17">
        <f t="shared" si="31"/>
        <v>0.09</v>
      </c>
      <c r="K602" s="18">
        <f t="shared" si="32"/>
        <v>6300</v>
      </c>
    </row>
    <row r="603" spans="1:11" hidden="1" x14ac:dyDescent="0.35">
      <c r="A603" s="24" t="s">
        <v>233</v>
      </c>
      <c r="B603" s="24" t="str">
        <f t="shared" si="28"/>
        <v>cá lóc um chuốiChuối lùn sống</v>
      </c>
      <c r="C603" s="24" t="s">
        <v>8</v>
      </c>
      <c r="D603" t="s">
        <v>491</v>
      </c>
      <c r="E603" s="24" t="s">
        <v>477</v>
      </c>
      <c r="F603" t="s">
        <v>409</v>
      </c>
      <c r="G603" s="17">
        <v>3</v>
      </c>
      <c r="H603" s="18">
        <v>15000</v>
      </c>
      <c r="I603" s="18">
        <v>100</v>
      </c>
      <c r="J603" s="17">
        <f t="shared" si="31"/>
        <v>0.03</v>
      </c>
      <c r="K603" s="18">
        <f t="shared" si="32"/>
        <v>450</v>
      </c>
    </row>
    <row r="604" spans="1:11" hidden="1" x14ac:dyDescent="0.35">
      <c r="A604" s="24" t="s">
        <v>233</v>
      </c>
      <c r="B604" s="24" t="str">
        <f t="shared" si="28"/>
        <v>cá lóc um chuốiLá lót</v>
      </c>
      <c r="C604" s="24" t="s">
        <v>8</v>
      </c>
      <c r="D604" t="s">
        <v>491</v>
      </c>
      <c r="E604" s="24" t="s">
        <v>477</v>
      </c>
      <c r="F604" t="s">
        <v>341</v>
      </c>
      <c r="G604" s="17">
        <v>0.2</v>
      </c>
      <c r="H604" s="18">
        <v>25000</v>
      </c>
      <c r="I604" s="18">
        <v>100</v>
      </c>
      <c r="J604" s="17">
        <f t="shared" si="31"/>
        <v>2E-3</v>
      </c>
      <c r="K604" s="18">
        <f t="shared" si="32"/>
        <v>50</v>
      </c>
    </row>
    <row r="605" spans="1:11" hidden="1" x14ac:dyDescent="0.35">
      <c r="A605" s="24" t="s">
        <v>233</v>
      </c>
      <c r="B605" s="24" t="str">
        <f t="shared" si="28"/>
        <v>cá lóc um chuốiTía tô</v>
      </c>
      <c r="C605" s="24" t="s">
        <v>8</v>
      </c>
      <c r="D605" t="s">
        <v>491</v>
      </c>
      <c r="E605" s="24" t="s">
        <v>477</v>
      </c>
      <c r="F605" t="s">
        <v>410</v>
      </c>
      <c r="G605" s="17">
        <v>0.2</v>
      </c>
      <c r="H605" s="18">
        <v>25000</v>
      </c>
      <c r="I605" s="18">
        <v>100</v>
      </c>
      <c r="J605" s="17">
        <f t="shared" si="31"/>
        <v>2E-3</v>
      </c>
      <c r="K605" s="18">
        <f t="shared" si="32"/>
        <v>50</v>
      </c>
    </row>
    <row r="606" spans="1:11" hidden="1" x14ac:dyDescent="0.35">
      <c r="A606" s="24" t="s">
        <v>233</v>
      </c>
      <c r="B606" s="24" t="str">
        <f t="shared" si="28"/>
        <v>khổ qua nhồi thịtKhổ qua</v>
      </c>
      <c r="C606" s="24" t="s">
        <v>8</v>
      </c>
      <c r="D606" t="s">
        <v>12</v>
      </c>
      <c r="E606" t="s">
        <v>496</v>
      </c>
      <c r="F606" t="s">
        <v>178</v>
      </c>
      <c r="G606" s="17">
        <v>3.5</v>
      </c>
      <c r="H606" s="18">
        <v>20000</v>
      </c>
      <c r="I606" s="18">
        <v>60</v>
      </c>
      <c r="J606" s="17">
        <f t="shared" si="31"/>
        <v>5.8333333333333334E-2</v>
      </c>
      <c r="K606" s="18">
        <f t="shared" si="32"/>
        <v>1166.6666666666667</v>
      </c>
    </row>
    <row r="607" spans="1:11" hidden="1" x14ac:dyDescent="0.35">
      <c r="A607" s="24" t="s">
        <v>233</v>
      </c>
      <c r="B607" s="24" t="str">
        <f t="shared" si="28"/>
        <v>khổ qua nhồi thịtChả quết</v>
      </c>
      <c r="C607" s="24" t="s">
        <v>8</v>
      </c>
      <c r="D607" t="s">
        <v>12</v>
      </c>
      <c r="E607" t="s">
        <v>496</v>
      </c>
      <c r="F607" t="s">
        <v>166</v>
      </c>
      <c r="G607" s="17">
        <v>0.7</v>
      </c>
      <c r="H607" s="18">
        <v>13000</v>
      </c>
      <c r="I607" s="18">
        <v>60</v>
      </c>
      <c r="J607" s="17">
        <f t="shared" si="31"/>
        <v>1.1666666666666665E-2</v>
      </c>
      <c r="K607" s="18">
        <f t="shared" si="32"/>
        <v>151.66666666666666</v>
      </c>
    </row>
    <row r="608" spans="1:11" hidden="1" x14ac:dyDescent="0.35">
      <c r="A608" s="24" t="s">
        <v>233</v>
      </c>
      <c r="B608" s="24" t="str">
        <f t="shared" si="28"/>
        <v>khổ qua nhồi thịtThịt xay có mỡ</v>
      </c>
      <c r="C608" s="24" t="s">
        <v>8</v>
      </c>
      <c r="D608" t="s">
        <v>12</v>
      </c>
      <c r="E608" t="s">
        <v>496</v>
      </c>
      <c r="F608" t="s">
        <v>429</v>
      </c>
      <c r="G608" s="17">
        <v>0.5</v>
      </c>
      <c r="H608" s="18">
        <v>70000</v>
      </c>
      <c r="I608" s="18">
        <v>60</v>
      </c>
      <c r="J608" s="17">
        <f t="shared" si="31"/>
        <v>8.3333333333333332E-3</v>
      </c>
      <c r="K608" s="18">
        <f t="shared" si="32"/>
        <v>583.33333333333337</v>
      </c>
    </row>
    <row r="609" spans="1:11" hidden="1" x14ac:dyDescent="0.35">
      <c r="A609" s="24" t="s">
        <v>233</v>
      </c>
      <c r="B609" s="24" t="str">
        <f t="shared" si="28"/>
        <v>khổ qua nhồi thịtNấm mèo khô</v>
      </c>
      <c r="C609" s="24" t="s">
        <v>8</v>
      </c>
      <c r="D609" t="s">
        <v>12</v>
      </c>
      <c r="E609" t="s">
        <v>496</v>
      </c>
      <c r="F609" t="s">
        <v>357</v>
      </c>
      <c r="G609" s="17">
        <v>0.2</v>
      </c>
      <c r="H609" s="18">
        <v>220000</v>
      </c>
      <c r="I609" s="18">
        <v>60</v>
      </c>
      <c r="J609" s="17">
        <f t="shared" si="31"/>
        <v>3.3333333333333335E-3</v>
      </c>
      <c r="K609" s="18">
        <f t="shared" si="32"/>
        <v>733.33333333333337</v>
      </c>
    </row>
    <row r="610" spans="1:11" hidden="1" x14ac:dyDescent="0.35">
      <c r="A610" s="24" t="s">
        <v>233</v>
      </c>
      <c r="B610" s="24" t="str">
        <f t="shared" si="28"/>
        <v>khổ qua nhồi thịtHành lá</v>
      </c>
      <c r="C610" s="24" t="s">
        <v>8</v>
      </c>
      <c r="D610" t="s">
        <v>12</v>
      </c>
      <c r="E610" t="s">
        <v>496</v>
      </c>
      <c r="F610" t="s">
        <v>24</v>
      </c>
      <c r="G610" s="17">
        <v>0.3</v>
      </c>
      <c r="H610" s="18">
        <v>20000</v>
      </c>
      <c r="I610" s="18">
        <v>60</v>
      </c>
      <c r="J610" s="17">
        <f t="shared" si="31"/>
        <v>5.0000000000000001E-3</v>
      </c>
      <c r="K610" s="18">
        <f t="shared" si="32"/>
        <v>100</v>
      </c>
    </row>
    <row r="611" spans="1:11" hidden="1" x14ac:dyDescent="0.35">
      <c r="A611" s="24" t="s">
        <v>233</v>
      </c>
      <c r="B611" s="24" t="str">
        <f t="shared" si="28"/>
        <v>canh chua cá đuốiThơm</v>
      </c>
      <c r="C611" s="24" t="s">
        <v>8</v>
      </c>
      <c r="D611" t="s">
        <v>12</v>
      </c>
      <c r="E611" t="s">
        <v>497</v>
      </c>
      <c r="F611" t="s">
        <v>4</v>
      </c>
      <c r="G611" s="17">
        <v>2</v>
      </c>
      <c r="H611" s="18">
        <v>17000</v>
      </c>
      <c r="I611" s="18">
        <v>175</v>
      </c>
      <c r="J611" s="17">
        <f t="shared" si="31"/>
        <v>1.1428571428571429E-2</v>
      </c>
      <c r="K611" s="18">
        <f t="shared" si="32"/>
        <v>194.28571428571428</v>
      </c>
    </row>
    <row r="612" spans="1:11" hidden="1" x14ac:dyDescent="0.35">
      <c r="A612" s="24" t="s">
        <v>233</v>
      </c>
      <c r="B612" s="24" t="str">
        <f t="shared" si="28"/>
        <v>canh chua cá đuốiCà chua</v>
      </c>
      <c r="C612" s="24" t="s">
        <v>8</v>
      </c>
      <c r="D612" t="s">
        <v>12</v>
      </c>
      <c r="E612" t="s">
        <v>497</v>
      </c>
      <c r="F612" t="s">
        <v>14</v>
      </c>
      <c r="G612" s="17">
        <v>0.5</v>
      </c>
      <c r="H612" s="18">
        <v>15000</v>
      </c>
      <c r="I612" s="18">
        <v>175</v>
      </c>
      <c r="J612" s="17">
        <f t="shared" si="31"/>
        <v>2.8571428571428571E-3</v>
      </c>
      <c r="K612" s="18">
        <f t="shared" si="32"/>
        <v>42.857142857142854</v>
      </c>
    </row>
    <row r="613" spans="1:11" hidden="1" x14ac:dyDescent="0.35">
      <c r="A613" s="24" t="s">
        <v>233</v>
      </c>
      <c r="B613" s="24" t="str">
        <f t="shared" si="28"/>
        <v>canh chua cá đuốiMăng chua</v>
      </c>
      <c r="C613" s="24" t="s">
        <v>8</v>
      </c>
      <c r="D613" t="s">
        <v>12</v>
      </c>
      <c r="E613" t="s">
        <v>497</v>
      </c>
      <c r="F613" t="s">
        <v>189</v>
      </c>
      <c r="G613" s="17">
        <v>1</v>
      </c>
      <c r="H613" s="18">
        <v>25000</v>
      </c>
      <c r="I613" s="18">
        <v>175</v>
      </c>
      <c r="J613" s="17">
        <f t="shared" si="31"/>
        <v>5.7142857142857143E-3</v>
      </c>
      <c r="K613" s="18">
        <f t="shared" si="32"/>
        <v>142.85714285714286</v>
      </c>
    </row>
    <row r="614" spans="1:11" hidden="1" x14ac:dyDescent="0.35">
      <c r="A614" s="24" t="s">
        <v>233</v>
      </c>
      <c r="B614" s="24" t="str">
        <f t="shared" si="28"/>
        <v>canh chua cá đuốiGiá giò</v>
      </c>
      <c r="C614" s="24" t="s">
        <v>8</v>
      </c>
      <c r="D614" t="s">
        <v>12</v>
      </c>
      <c r="E614" t="s">
        <v>497</v>
      </c>
      <c r="F614" t="s">
        <v>384</v>
      </c>
      <c r="G614" s="17">
        <v>3</v>
      </c>
      <c r="H614" s="18">
        <v>10000</v>
      </c>
      <c r="I614" s="18">
        <v>175</v>
      </c>
      <c r="J614" s="17">
        <f t="shared" si="31"/>
        <v>1.7142857142857144E-2</v>
      </c>
      <c r="K614" s="18">
        <f t="shared" si="32"/>
        <v>171.42857142857142</v>
      </c>
    </row>
    <row r="615" spans="1:11" hidden="1" x14ac:dyDescent="0.35">
      <c r="A615" s="24" t="s">
        <v>233</v>
      </c>
      <c r="B615" s="24" t="str">
        <f t="shared" si="28"/>
        <v>canh chua cá đuốiLá lót</v>
      </c>
      <c r="C615" s="24" t="s">
        <v>8</v>
      </c>
      <c r="D615" t="s">
        <v>12</v>
      </c>
      <c r="E615" t="s">
        <v>497</v>
      </c>
      <c r="F615" t="s">
        <v>341</v>
      </c>
      <c r="G615" s="17">
        <v>0.2</v>
      </c>
      <c r="H615" s="18">
        <v>25000</v>
      </c>
      <c r="I615" s="18">
        <v>175</v>
      </c>
      <c r="J615" s="17">
        <f t="shared" si="31"/>
        <v>1.1428571428571429E-3</v>
      </c>
      <c r="K615" s="18">
        <f t="shared" si="32"/>
        <v>28.571428571428573</v>
      </c>
    </row>
    <row r="616" spans="1:11" hidden="1" x14ac:dyDescent="0.35">
      <c r="A616" s="24" t="s">
        <v>233</v>
      </c>
      <c r="B616" s="24" t="str">
        <f t="shared" si="28"/>
        <v>canh chua cá đuốiNgũ điếc</v>
      </c>
      <c r="C616" s="24" t="s">
        <v>8</v>
      </c>
      <c r="D616" t="s">
        <v>12</v>
      </c>
      <c r="E616" t="s">
        <v>497</v>
      </c>
      <c r="F616" t="s">
        <v>373</v>
      </c>
      <c r="G616" s="17">
        <v>0.2</v>
      </c>
      <c r="H616" s="18">
        <v>25000</v>
      </c>
      <c r="I616" s="18">
        <v>175</v>
      </c>
      <c r="J616" s="17">
        <f t="shared" si="31"/>
        <v>1.1428571428571429E-3</v>
      </c>
      <c r="K616" s="18">
        <f t="shared" si="32"/>
        <v>28.571428571428573</v>
      </c>
    </row>
    <row r="617" spans="1:11" hidden="1" x14ac:dyDescent="0.35">
      <c r="A617" s="24" t="s">
        <v>233</v>
      </c>
      <c r="B617" s="24" t="str">
        <f t="shared" si="28"/>
        <v>canh chua cá đuốiMe chua</v>
      </c>
      <c r="C617" s="24" t="s">
        <v>8</v>
      </c>
      <c r="D617" t="s">
        <v>12</v>
      </c>
      <c r="E617" t="s">
        <v>497</v>
      </c>
      <c r="F617" t="s">
        <v>391</v>
      </c>
      <c r="G617" s="17">
        <v>0.2</v>
      </c>
      <c r="H617" s="18">
        <v>15000</v>
      </c>
      <c r="I617" s="18">
        <v>175</v>
      </c>
      <c r="J617" s="17">
        <f t="shared" si="31"/>
        <v>1.1428571428571429E-3</v>
      </c>
      <c r="K617" s="18">
        <f t="shared" si="32"/>
        <v>17.142857142857142</v>
      </c>
    </row>
    <row r="618" spans="1:11" hidden="1" x14ac:dyDescent="0.35">
      <c r="A618" s="24" t="s">
        <v>233</v>
      </c>
      <c r="B618" s="24" t="str">
        <f t="shared" si="28"/>
        <v>canh chua cá đuốiCá đuối nhỏ</v>
      </c>
      <c r="C618" s="24" t="s">
        <v>8</v>
      </c>
      <c r="D618" t="s">
        <v>12</v>
      </c>
      <c r="E618" t="s">
        <v>497</v>
      </c>
      <c r="F618" t="s">
        <v>453</v>
      </c>
      <c r="G618" s="17">
        <v>7</v>
      </c>
      <c r="H618" s="18">
        <v>70000</v>
      </c>
      <c r="I618" s="18">
        <v>175</v>
      </c>
      <c r="J618" s="17">
        <f t="shared" si="31"/>
        <v>0.04</v>
      </c>
      <c r="K618" s="18">
        <f t="shared" si="32"/>
        <v>2800</v>
      </c>
    </row>
    <row r="619" spans="1:11" x14ac:dyDescent="0.35">
      <c r="A619" s="24" t="s">
        <v>233</v>
      </c>
      <c r="B619" s="24" t="str">
        <f t="shared" si="28"/>
        <v>heo quayBa chỉ heo lóc sườn</v>
      </c>
      <c r="C619" s="24" t="s">
        <v>8</v>
      </c>
      <c r="D619" t="s">
        <v>498</v>
      </c>
      <c r="E619" t="s">
        <v>499</v>
      </c>
      <c r="F619" t="s">
        <v>454</v>
      </c>
      <c r="G619" s="17">
        <v>6.3</v>
      </c>
      <c r="H619" s="18">
        <v>90000</v>
      </c>
      <c r="I619" s="18">
        <v>56</v>
      </c>
      <c r="J619" s="17">
        <f t="shared" si="31"/>
        <v>0.1125</v>
      </c>
      <c r="K619" s="18">
        <f t="shared" si="32"/>
        <v>10125</v>
      </c>
    </row>
    <row r="620" spans="1:11" x14ac:dyDescent="0.35">
      <c r="A620" s="24" t="s">
        <v>233</v>
      </c>
      <c r="B620" s="24" t="str">
        <f t="shared" si="28"/>
        <v>heo quaySả</v>
      </c>
      <c r="C620" s="24" t="s">
        <v>8</v>
      </c>
      <c r="D620" t="s">
        <v>498</v>
      </c>
      <c r="E620" t="s">
        <v>499</v>
      </c>
      <c r="F620" t="s">
        <v>207</v>
      </c>
      <c r="G620" s="17">
        <v>0.3</v>
      </c>
      <c r="H620" s="18">
        <v>25000</v>
      </c>
      <c r="I620" s="18">
        <v>56</v>
      </c>
      <c r="J620" s="17">
        <f t="shared" si="31"/>
        <v>5.3571428571428572E-3</v>
      </c>
      <c r="K620" s="18">
        <f t="shared" si="32"/>
        <v>133.92857142857142</v>
      </c>
    </row>
    <row r="621" spans="1:11" x14ac:dyDescent="0.35">
      <c r="A621" s="24" t="s">
        <v>233</v>
      </c>
      <c r="B621" s="24" t="str">
        <f t="shared" si="28"/>
        <v>heo quayCà chua</v>
      </c>
      <c r="C621" s="24" t="s">
        <v>8</v>
      </c>
      <c r="D621" t="s">
        <v>498</v>
      </c>
      <c r="E621" t="s">
        <v>499</v>
      </c>
      <c r="F621" t="s">
        <v>14</v>
      </c>
      <c r="G621" s="17">
        <v>0.5</v>
      </c>
      <c r="H621" s="18">
        <v>15000</v>
      </c>
      <c r="I621" s="18">
        <v>56</v>
      </c>
      <c r="J621" s="17">
        <f t="shared" si="31"/>
        <v>8.9285714285714281E-3</v>
      </c>
      <c r="K621" s="18">
        <f t="shared" si="32"/>
        <v>133.92857142857142</v>
      </c>
    </row>
    <row r="622" spans="1:11" x14ac:dyDescent="0.35">
      <c r="A622" s="24" t="s">
        <v>233</v>
      </c>
      <c r="B622" s="24" t="str">
        <f t="shared" si="28"/>
        <v>heo quayDưa leo</v>
      </c>
      <c r="C622" s="24" t="s">
        <v>8</v>
      </c>
      <c r="D622" t="s">
        <v>498</v>
      </c>
      <c r="E622" t="s">
        <v>499</v>
      </c>
      <c r="F622" t="s">
        <v>301</v>
      </c>
      <c r="G622" s="17">
        <v>1</v>
      </c>
      <c r="H622" s="18">
        <v>12000</v>
      </c>
      <c r="I622" s="18">
        <v>56</v>
      </c>
      <c r="J622" s="17">
        <f t="shared" si="31"/>
        <v>1.7857142857142856E-2</v>
      </c>
      <c r="K622" s="18">
        <f t="shared" si="32"/>
        <v>214.28571428571428</v>
      </c>
    </row>
    <row r="623" spans="1:11" x14ac:dyDescent="0.35">
      <c r="A623" s="24" t="s">
        <v>233</v>
      </c>
      <c r="B623" s="24" t="str">
        <f t="shared" si="28"/>
        <v>đùi gà rô tyđùi gà tỏi lớn</v>
      </c>
      <c r="C623" s="24" t="s">
        <v>8</v>
      </c>
      <c r="D623" t="s">
        <v>498</v>
      </c>
      <c r="E623" t="s">
        <v>501</v>
      </c>
      <c r="F623" t="s">
        <v>500</v>
      </c>
      <c r="G623" s="17">
        <v>15</v>
      </c>
      <c r="H623" s="18">
        <v>40000</v>
      </c>
      <c r="I623" s="18">
        <v>60</v>
      </c>
      <c r="J623" s="17">
        <f t="shared" si="31"/>
        <v>0.25</v>
      </c>
      <c r="K623" s="18">
        <f t="shared" si="32"/>
        <v>10000</v>
      </c>
    </row>
    <row r="624" spans="1:11" x14ac:dyDescent="0.35">
      <c r="A624" s="24" t="s">
        <v>233</v>
      </c>
      <c r="B624" s="24" t="str">
        <f t="shared" si="28"/>
        <v>đùi gà rô tySả</v>
      </c>
      <c r="C624" s="24" t="s">
        <v>8</v>
      </c>
      <c r="D624" t="s">
        <v>498</v>
      </c>
      <c r="E624" t="s">
        <v>501</v>
      </c>
      <c r="F624" t="s">
        <v>207</v>
      </c>
      <c r="G624" s="17">
        <v>0.3</v>
      </c>
      <c r="H624" s="18">
        <v>25000</v>
      </c>
      <c r="I624" s="18">
        <v>60</v>
      </c>
      <c r="J624" s="17">
        <f t="shared" si="31"/>
        <v>5.0000000000000001E-3</v>
      </c>
      <c r="K624" s="18">
        <f t="shared" si="32"/>
        <v>125</v>
      </c>
    </row>
    <row r="625" spans="1:11" x14ac:dyDescent="0.35">
      <c r="A625" s="24" t="s">
        <v>233</v>
      </c>
      <c r="B625" s="24" t="str">
        <f t="shared" si="28"/>
        <v>đùi gà rô tyCà chua</v>
      </c>
      <c r="C625" s="24" t="s">
        <v>8</v>
      </c>
      <c r="D625" t="s">
        <v>498</v>
      </c>
      <c r="E625" t="s">
        <v>501</v>
      </c>
      <c r="F625" t="s">
        <v>14</v>
      </c>
      <c r="G625" s="17">
        <v>0.64262295081967213</v>
      </c>
      <c r="H625" s="18">
        <v>15000</v>
      </c>
      <c r="I625" s="18">
        <v>60</v>
      </c>
      <c r="J625" s="17">
        <f t="shared" si="31"/>
        <v>1.0710382513661203E-2</v>
      </c>
      <c r="K625" s="18">
        <f t="shared" si="32"/>
        <v>160.65573770491804</v>
      </c>
    </row>
    <row r="626" spans="1:11" x14ac:dyDescent="0.35">
      <c r="A626" s="24" t="s">
        <v>233</v>
      </c>
      <c r="B626" s="24" t="str">
        <f t="shared" si="28"/>
        <v>đùi gà rô tyDưa leo</v>
      </c>
      <c r="C626" s="24" t="s">
        <v>8</v>
      </c>
      <c r="D626" t="s">
        <v>498</v>
      </c>
      <c r="E626" t="s">
        <v>501</v>
      </c>
      <c r="F626" t="s">
        <v>301</v>
      </c>
      <c r="G626" s="17">
        <v>1.2</v>
      </c>
      <c r="H626" s="18">
        <v>12000</v>
      </c>
      <c r="I626" s="18">
        <v>60</v>
      </c>
      <c r="J626" s="17">
        <f t="shared" si="31"/>
        <v>0.02</v>
      </c>
      <c r="K626" s="18">
        <f t="shared" si="32"/>
        <v>240</v>
      </c>
    </row>
    <row r="627" spans="1:11" x14ac:dyDescent="0.35">
      <c r="A627" s="24" t="s">
        <v>233</v>
      </c>
      <c r="B627" s="24" t="str">
        <f t="shared" si="28"/>
        <v>gà chặt phâygà kiến thùng</v>
      </c>
      <c r="C627" s="24" t="s">
        <v>8</v>
      </c>
      <c r="D627" t="s">
        <v>498</v>
      </c>
      <c r="E627" s="24" t="s">
        <v>502</v>
      </c>
      <c r="F627" s="24" t="s">
        <v>503</v>
      </c>
      <c r="G627" s="17">
        <v>15</v>
      </c>
      <c r="H627" s="18">
        <v>70000</v>
      </c>
      <c r="I627" s="18">
        <v>100</v>
      </c>
      <c r="J627" s="17">
        <f t="shared" si="31"/>
        <v>0.15</v>
      </c>
      <c r="K627" s="18">
        <f t="shared" si="32"/>
        <v>10500</v>
      </c>
    </row>
    <row r="628" spans="1:11" x14ac:dyDescent="0.35">
      <c r="A628" s="24" t="s">
        <v>233</v>
      </c>
      <c r="B628" s="24" t="str">
        <f t="shared" si="28"/>
        <v>gà chặt phâyhành tây</v>
      </c>
      <c r="C628" s="24" t="s">
        <v>8</v>
      </c>
      <c r="D628" t="s">
        <v>498</v>
      </c>
      <c r="E628" s="24" t="s">
        <v>502</v>
      </c>
      <c r="F628" s="24" t="s">
        <v>418</v>
      </c>
      <c r="G628" s="17">
        <v>2.5</v>
      </c>
      <c r="H628" s="18">
        <v>15000</v>
      </c>
      <c r="I628" s="18">
        <v>100</v>
      </c>
      <c r="J628" s="17">
        <f t="shared" si="31"/>
        <v>2.5000000000000001E-2</v>
      </c>
      <c r="K628" s="18">
        <f t="shared" si="32"/>
        <v>375</v>
      </c>
    </row>
    <row r="629" spans="1:11" x14ac:dyDescent="0.35">
      <c r="A629" s="24" t="s">
        <v>233</v>
      </c>
      <c r="B629" s="24" t="str">
        <f t="shared" si="28"/>
        <v>gà chặt phâyrau răm</v>
      </c>
      <c r="C629" s="24" t="s">
        <v>8</v>
      </c>
      <c r="D629" t="s">
        <v>498</v>
      </c>
      <c r="E629" s="24" t="s">
        <v>502</v>
      </c>
      <c r="F629" s="24" t="s">
        <v>420</v>
      </c>
      <c r="G629" s="17">
        <v>0.4</v>
      </c>
      <c r="H629" s="18">
        <v>25000</v>
      </c>
      <c r="I629" s="18">
        <v>100</v>
      </c>
      <c r="J629" s="17">
        <f t="shared" si="31"/>
        <v>4.0000000000000001E-3</v>
      </c>
      <c r="K629" s="18">
        <f t="shared" si="32"/>
        <v>100</v>
      </c>
    </row>
    <row r="630" spans="1:11" x14ac:dyDescent="0.35">
      <c r="A630" s="24" t="s">
        <v>233</v>
      </c>
      <c r="B630" s="24" t="str">
        <f t="shared" si="28"/>
        <v>gà chặt phâyrau quế</v>
      </c>
      <c r="C630" s="24" t="s">
        <v>8</v>
      </c>
      <c r="D630" t="s">
        <v>498</v>
      </c>
      <c r="E630" s="24" t="s">
        <v>502</v>
      </c>
      <c r="F630" s="24" t="s">
        <v>401</v>
      </c>
      <c r="G630" s="17">
        <v>0.3</v>
      </c>
      <c r="H630" s="18">
        <v>25000</v>
      </c>
      <c r="I630" s="18">
        <v>100</v>
      </c>
      <c r="J630" s="17">
        <f t="shared" si="31"/>
        <v>3.0000000000000001E-3</v>
      </c>
      <c r="K630" s="18">
        <f t="shared" si="32"/>
        <v>75</v>
      </c>
    </row>
    <row r="631" spans="1:11" x14ac:dyDescent="0.35">
      <c r="A631" s="24" t="s">
        <v>233</v>
      </c>
      <c r="B631" s="24" t="str">
        <f t="shared" si="28"/>
        <v>cơm gà xégà kiến thùng</v>
      </c>
      <c r="C631" s="24" t="s">
        <v>8</v>
      </c>
      <c r="D631" t="s">
        <v>498</v>
      </c>
      <c r="E631" s="24" t="s">
        <v>504</v>
      </c>
      <c r="F631" s="24" t="s">
        <v>503</v>
      </c>
      <c r="G631" s="17">
        <v>12</v>
      </c>
      <c r="H631" s="18">
        <v>70000</v>
      </c>
      <c r="I631" s="18">
        <v>100</v>
      </c>
      <c r="J631" s="17">
        <f t="shared" si="31"/>
        <v>0.12</v>
      </c>
      <c r="K631" s="18">
        <f t="shared" si="32"/>
        <v>8400</v>
      </c>
    </row>
    <row r="632" spans="1:11" x14ac:dyDescent="0.35">
      <c r="A632" s="24" t="s">
        <v>233</v>
      </c>
      <c r="B632" s="24" t="str">
        <f t="shared" ref="B632:B697" si="33">E632&amp;F632</f>
        <v>cơm gà xéhành tây</v>
      </c>
      <c r="C632" s="24" t="s">
        <v>8</v>
      </c>
      <c r="D632" t="s">
        <v>498</v>
      </c>
      <c r="E632" s="24" t="s">
        <v>504</v>
      </c>
      <c r="F632" s="24" t="s">
        <v>418</v>
      </c>
      <c r="G632" s="17">
        <v>3</v>
      </c>
      <c r="H632" s="18">
        <v>15000</v>
      </c>
      <c r="I632" s="18">
        <v>100</v>
      </c>
      <c r="J632" s="17">
        <f t="shared" si="31"/>
        <v>0.03</v>
      </c>
      <c r="K632" s="18">
        <f t="shared" si="32"/>
        <v>450</v>
      </c>
    </row>
    <row r="633" spans="1:11" x14ac:dyDescent="0.35">
      <c r="A633" s="24" t="s">
        <v>233</v>
      </c>
      <c r="B633" s="24" t="str">
        <f t="shared" si="33"/>
        <v>cơm gà xérau răm</v>
      </c>
      <c r="C633" s="24" t="s">
        <v>8</v>
      </c>
      <c r="D633" t="s">
        <v>498</v>
      </c>
      <c r="E633" s="24" t="s">
        <v>504</v>
      </c>
      <c r="F633" s="24" t="s">
        <v>420</v>
      </c>
      <c r="G633" s="17">
        <v>0.4</v>
      </c>
      <c r="H633" s="18">
        <v>25000</v>
      </c>
      <c r="I633" s="18">
        <v>100</v>
      </c>
      <c r="J633" s="17">
        <f t="shared" si="31"/>
        <v>4.0000000000000001E-3</v>
      </c>
      <c r="K633" s="18">
        <f t="shared" si="32"/>
        <v>100</v>
      </c>
    </row>
    <row r="634" spans="1:11" x14ac:dyDescent="0.35">
      <c r="A634" s="24" t="s">
        <v>233</v>
      </c>
      <c r="B634" s="24" t="str">
        <f t="shared" si="33"/>
        <v>cơm gà xérau quế</v>
      </c>
      <c r="C634" s="24" t="s">
        <v>8</v>
      </c>
      <c r="D634" t="s">
        <v>498</v>
      </c>
      <c r="E634" s="24" t="s">
        <v>504</v>
      </c>
      <c r="F634" s="24" t="s">
        <v>401</v>
      </c>
      <c r="G634" s="17">
        <v>0.3</v>
      </c>
      <c r="H634" s="18">
        <v>25000</v>
      </c>
      <c r="I634" s="18">
        <v>100</v>
      </c>
      <c r="J634" s="17">
        <f t="shared" si="31"/>
        <v>3.0000000000000001E-3</v>
      </c>
      <c r="K634" s="18">
        <f t="shared" si="32"/>
        <v>75</v>
      </c>
    </row>
    <row r="635" spans="1:11" x14ac:dyDescent="0.35">
      <c r="A635" s="24" t="s">
        <v>233</v>
      </c>
      <c r="B635" s="24" t="str">
        <f t="shared" si="33"/>
        <v>cơm gà xémá đùi gà</v>
      </c>
      <c r="C635" s="24" t="s">
        <v>8</v>
      </c>
      <c r="D635" t="s">
        <v>498</v>
      </c>
      <c r="E635" s="24" t="s">
        <v>504</v>
      </c>
      <c r="F635" s="24" t="s">
        <v>464</v>
      </c>
      <c r="G635" s="17">
        <v>3</v>
      </c>
      <c r="H635" s="18">
        <v>40000</v>
      </c>
      <c r="I635" s="18">
        <v>100</v>
      </c>
      <c r="J635" s="17">
        <f t="shared" si="31"/>
        <v>0.03</v>
      </c>
      <c r="K635" s="18">
        <f t="shared" si="32"/>
        <v>1200</v>
      </c>
    </row>
    <row r="636" spans="1:11" x14ac:dyDescent="0.35">
      <c r="A636" s="24" t="s">
        <v>233</v>
      </c>
      <c r="B636" s="24" t="str">
        <f t="shared" si="33"/>
        <v>cơm gà xéhành phi</v>
      </c>
      <c r="C636" s="24" t="s">
        <v>8</v>
      </c>
      <c r="D636" t="s">
        <v>498</v>
      </c>
      <c r="E636" s="24" t="s">
        <v>504</v>
      </c>
      <c r="F636" s="24" t="s">
        <v>449</v>
      </c>
      <c r="G636" s="17">
        <v>0.4</v>
      </c>
      <c r="H636" s="18">
        <v>50000</v>
      </c>
      <c r="I636" s="18">
        <v>100</v>
      </c>
      <c r="J636" s="17">
        <f t="shared" si="31"/>
        <v>4.0000000000000001E-3</v>
      </c>
      <c r="K636" s="18">
        <f t="shared" si="32"/>
        <v>200</v>
      </c>
    </row>
    <row r="637" spans="1:11" x14ac:dyDescent="0.35">
      <c r="A637" s="24" t="s">
        <v>233</v>
      </c>
      <c r="B637" s="24" t="str">
        <f t="shared" si="33"/>
        <v>sườn non nướngsườn bẹ heo pater</v>
      </c>
      <c r="C637" s="24" t="s">
        <v>8</v>
      </c>
      <c r="D637" t="s">
        <v>498</v>
      </c>
      <c r="E637" s="24" t="s">
        <v>505</v>
      </c>
      <c r="F637" s="24" t="s">
        <v>506</v>
      </c>
      <c r="G637" s="17">
        <v>11</v>
      </c>
      <c r="H637" s="18">
        <v>80000</v>
      </c>
      <c r="I637" s="18">
        <v>100</v>
      </c>
      <c r="J637" s="17">
        <f t="shared" si="31"/>
        <v>0.11</v>
      </c>
      <c r="K637" s="18">
        <f t="shared" si="32"/>
        <v>8800</v>
      </c>
    </row>
    <row r="638" spans="1:11" x14ac:dyDescent="0.35">
      <c r="A638" s="24" t="s">
        <v>233</v>
      </c>
      <c r="B638" s="24" t="str">
        <f t="shared" si="33"/>
        <v>sườn non nướngXà lách</v>
      </c>
      <c r="C638" s="24" t="s">
        <v>8</v>
      </c>
      <c r="D638" t="s">
        <v>498</v>
      </c>
      <c r="E638" s="24" t="s">
        <v>505</v>
      </c>
      <c r="F638" s="24" t="s">
        <v>197</v>
      </c>
      <c r="G638" s="17">
        <v>1</v>
      </c>
      <c r="H638" s="18">
        <v>20000</v>
      </c>
      <c r="I638" s="18">
        <v>100</v>
      </c>
      <c r="J638" s="17">
        <f t="shared" si="31"/>
        <v>0.01</v>
      </c>
      <c r="K638" s="18">
        <f t="shared" si="32"/>
        <v>200</v>
      </c>
    </row>
    <row r="639" spans="1:11" x14ac:dyDescent="0.35">
      <c r="A639" s="24" t="s">
        <v>233</v>
      </c>
      <c r="B639" s="24" t="str">
        <f t="shared" si="33"/>
        <v>sườn non nướngCà chua</v>
      </c>
      <c r="C639" s="24" t="s">
        <v>8</v>
      </c>
      <c r="D639" t="s">
        <v>498</v>
      </c>
      <c r="E639" s="24" t="s">
        <v>505</v>
      </c>
      <c r="F639" t="s">
        <v>14</v>
      </c>
      <c r="G639" s="17">
        <v>0.8</v>
      </c>
      <c r="H639" s="18">
        <v>15000</v>
      </c>
      <c r="I639" s="18">
        <v>100</v>
      </c>
      <c r="J639" s="17">
        <f t="shared" si="31"/>
        <v>8.0000000000000002E-3</v>
      </c>
      <c r="K639" s="18">
        <f t="shared" si="32"/>
        <v>120</v>
      </c>
    </row>
    <row r="640" spans="1:11" x14ac:dyDescent="0.35">
      <c r="A640" s="24" t="s">
        <v>233</v>
      </c>
      <c r="B640" s="24" t="str">
        <f t="shared" si="33"/>
        <v>sườn non nướngDưa leo</v>
      </c>
      <c r="C640" s="24" t="s">
        <v>8</v>
      </c>
      <c r="D640" t="s">
        <v>498</v>
      </c>
      <c r="E640" s="24" t="s">
        <v>505</v>
      </c>
      <c r="F640" t="s">
        <v>301</v>
      </c>
      <c r="G640" s="17">
        <v>1.5</v>
      </c>
      <c r="H640" s="18">
        <v>12000</v>
      </c>
      <c r="I640" s="18">
        <v>100</v>
      </c>
      <c r="J640" s="17">
        <f t="shared" ref="J640:J675" si="34">G640/I640</f>
        <v>1.4999999999999999E-2</v>
      </c>
      <c r="K640" s="18">
        <f t="shared" ref="K640:K673" si="35">(G640*H640)/I640</f>
        <v>180</v>
      </c>
    </row>
    <row r="641" spans="1:11" hidden="1" x14ac:dyDescent="0.35">
      <c r="A641" s="24" t="s">
        <v>233</v>
      </c>
      <c r="B641" s="24" t="str">
        <f t="shared" si="33"/>
        <v>canh chua cá lócThơm</v>
      </c>
      <c r="C641" s="24" t="s">
        <v>8</v>
      </c>
      <c r="D641" t="s">
        <v>508</v>
      </c>
      <c r="E641" s="24" t="s">
        <v>507</v>
      </c>
      <c r="F641" t="s">
        <v>4</v>
      </c>
      <c r="G641" s="17">
        <v>2</v>
      </c>
      <c r="H641" s="18">
        <v>17000</v>
      </c>
      <c r="I641" s="18">
        <v>175</v>
      </c>
      <c r="J641" s="17">
        <f t="shared" si="34"/>
        <v>1.1428571428571429E-2</v>
      </c>
      <c r="K641" s="18">
        <f t="shared" si="35"/>
        <v>194.28571428571428</v>
      </c>
    </row>
    <row r="642" spans="1:11" hidden="1" x14ac:dyDescent="0.35">
      <c r="A642" s="24" t="s">
        <v>233</v>
      </c>
      <c r="B642" s="24" t="str">
        <f t="shared" si="33"/>
        <v>canh chua cá lócCà chua</v>
      </c>
      <c r="C642" s="24" t="s">
        <v>8</v>
      </c>
      <c r="D642" t="s">
        <v>508</v>
      </c>
      <c r="E642" s="24" t="s">
        <v>507</v>
      </c>
      <c r="F642" t="s">
        <v>14</v>
      </c>
      <c r="G642" s="17">
        <v>0.5</v>
      </c>
      <c r="H642" s="18">
        <v>15000</v>
      </c>
      <c r="I642" s="18">
        <v>175</v>
      </c>
      <c r="J642" s="17">
        <f t="shared" si="34"/>
        <v>2.8571428571428571E-3</v>
      </c>
      <c r="K642" s="18">
        <f t="shared" si="35"/>
        <v>42.857142857142854</v>
      </c>
    </row>
    <row r="643" spans="1:11" hidden="1" x14ac:dyDescent="0.35">
      <c r="A643" s="24" t="s">
        <v>233</v>
      </c>
      <c r="B643" s="24" t="str">
        <f t="shared" si="33"/>
        <v>canh chua cá lócMăng chua</v>
      </c>
      <c r="C643" s="24" t="s">
        <v>8</v>
      </c>
      <c r="D643" t="s">
        <v>508</v>
      </c>
      <c r="E643" s="24" t="s">
        <v>507</v>
      </c>
      <c r="F643" t="s">
        <v>189</v>
      </c>
      <c r="G643" s="17">
        <v>1</v>
      </c>
      <c r="H643" s="18">
        <v>25000</v>
      </c>
      <c r="I643" s="18">
        <v>175</v>
      </c>
      <c r="J643" s="17">
        <f t="shared" si="34"/>
        <v>5.7142857142857143E-3</v>
      </c>
      <c r="K643" s="18">
        <f t="shared" si="35"/>
        <v>142.85714285714286</v>
      </c>
    </row>
    <row r="644" spans="1:11" hidden="1" x14ac:dyDescent="0.35">
      <c r="A644" s="24" t="s">
        <v>233</v>
      </c>
      <c r="B644" s="24" t="str">
        <f t="shared" si="33"/>
        <v>canh chua cá lócGiá giò</v>
      </c>
      <c r="C644" s="24" t="s">
        <v>8</v>
      </c>
      <c r="D644" t="s">
        <v>508</v>
      </c>
      <c r="E644" s="24" t="s">
        <v>507</v>
      </c>
      <c r="F644" t="s">
        <v>384</v>
      </c>
      <c r="G644" s="17">
        <v>3</v>
      </c>
      <c r="H644" s="18">
        <v>10000</v>
      </c>
      <c r="I644" s="18">
        <v>175</v>
      </c>
      <c r="J644" s="17">
        <f t="shared" si="34"/>
        <v>1.7142857142857144E-2</v>
      </c>
      <c r="K644" s="18">
        <f t="shared" si="35"/>
        <v>171.42857142857142</v>
      </c>
    </row>
    <row r="645" spans="1:11" hidden="1" x14ac:dyDescent="0.35">
      <c r="A645" s="24" t="s">
        <v>233</v>
      </c>
      <c r="B645" s="24" t="str">
        <f t="shared" si="33"/>
        <v>canh chua cá lócLá lót</v>
      </c>
      <c r="C645" s="24" t="s">
        <v>8</v>
      </c>
      <c r="D645" t="s">
        <v>508</v>
      </c>
      <c r="E645" s="24" t="s">
        <v>507</v>
      </c>
      <c r="F645" t="s">
        <v>341</v>
      </c>
      <c r="G645" s="17">
        <v>0.2</v>
      </c>
      <c r="H645" s="18">
        <v>25000</v>
      </c>
      <c r="I645" s="18">
        <v>175</v>
      </c>
      <c r="J645" s="17">
        <f t="shared" si="34"/>
        <v>1.1428571428571429E-3</v>
      </c>
      <c r="K645" s="18">
        <f t="shared" si="35"/>
        <v>28.571428571428573</v>
      </c>
    </row>
    <row r="646" spans="1:11" hidden="1" x14ac:dyDescent="0.35">
      <c r="A646" s="24" t="s">
        <v>233</v>
      </c>
      <c r="B646" s="24" t="str">
        <f t="shared" si="33"/>
        <v>canh chua cá lócNgũ điếc</v>
      </c>
      <c r="C646" s="24" t="s">
        <v>8</v>
      </c>
      <c r="D646" t="s">
        <v>508</v>
      </c>
      <c r="E646" s="24" t="s">
        <v>507</v>
      </c>
      <c r="F646" t="s">
        <v>373</v>
      </c>
      <c r="G646" s="17">
        <v>0.2</v>
      </c>
      <c r="H646" s="18">
        <v>25000</v>
      </c>
      <c r="I646" s="18">
        <v>175</v>
      </c>
      <c r="J646" s="17">
        <f t="shared" si="34"/>
        <v>1.1428571428571429E-3</v>
      </c>
      <c r="K646" s="18">
        <f t="shared" si="35"/>
        <v>28.571428571428573</v>
      </c>
    </row>
    <row r="647" spans="1:11" hidden="1" x14ac:dyDescent="0.35">
      <c r="A647" s="24" t="s">
        <v>233</v>
      </c>
      <c r="B647" s="24" t="str">
        <f t="shared" si="33"/>
        <v>canh chua cá lócMe chua</v>
      </c>
      <c r="C647" s="24" t="s">
        <v>8</v>
      </c>
      <c r="D647" t="s">
        <v>508</v>
      </c>
      <c r="E647" s="24" t="s">
        <v>507</v>
      </c>
      <c r="F647" t="s">
        <v>391</v>
      </c>
      <c r="G647" s="17">
        <v>0.2</v>
      </c>
      <c r="H647" s="18">
        <v>15000</v>
      </c>
      <c r="I647" s="18">
        <v>175</v>
      </c>
      <c r="J647" s="17">
        <f t="shared" si="34"/>
        <v>1.1428571428571429E-3</v>
      </c>
      <c r="K647" s="18">
        <f t="shared" si="35"/>
        <v>17.142857142857142</v>
      </c>
    </row>
    <row r="648" spans="1:11" hidden="1" x14ac:dyDescent="0.35">
      <c r="A648" s="24" t="s">
        <v>233</v>
      </c>
      <c r="B648" s="24" t="str">
        <f t="shared" si="33"/>
        <v>canh chua cá lócCá lóc</v>
      </c>
      <c r="C648" s="24" t="s">
        <v>8</v>
      </c>
      <c r="D648" t="s">
        <v>508</v>
      </c>
      <c r="E648" s="24" t="s">
        <v>507</v>
      </c>
      <c r="F648" t="s">
        <v>111</v>
      </c>
      <c r="G648" s="17">
        <v>5.5</v>
      </c>
      <c r="H648" s="18">
        <v>70000</v>
      </c>
      <c r="I648" s="18">
        <v>100</v>
      </c>
      <c r="J648" s="17">
        <f t="shared" si="34"/>
        <v>5.5E-2</v>
      </c>
      <c r="K648" s="18">
        <f t="shared" si="35"/>
        <v>3850</v>
      </c>
    </row>
    <row r="649" spans="1:11" hidden="1" x14ac:dyDescent="0.35">
      <c r="A649" s="24" t="s">
        <v>233</v>
      </c>
      <c r="B649" s="24" t="str">
        <f t="shared" si="33"/>
        <v>bún trộn tôm thịtbún khô</v>
      </c>
      <c r="C649" s="24" t="s">
        <v>8</v>
      </c>
      <c r="D649" t="s">
        <v>512</v>
      </c>
      <c r="E649" s="24" t="s">
        <v>510</v>
      </c>
      <c r="F649" t="s">
        <v>463</v>
      </c>
      <c r="G649" s="17">
        <v>1.5</v>
      </c>
      <c r="H649" s="18">
        <v>25000</v>
      </c>
      <c r="I649" s="18">
        <v>53</v>
      </c>
      <c r="J649" s="17">
        <f t="shared" si="34"/>
        <v>2.8301886792452831E-2</v>
      </c>
      <c r="K649" s="18">
        <f t="shared" si="35"/>
        <v>707.54716981132071</v>
      </c>
    </row>
    <row r="650" spans="1:11" hidden="1" x14ac:dyDescent="0.35">
      <c r="A650" s="24" t="s">
        <v>233</v>
      </c>
      <c r="B650" s="24" t="str">
        <f t="shared" si="33"/>
        <v>bún trộn tôm thịtRau húng</v>
      </c>
      <c r="C650" s="24" t="s">
        <v>8</v>
      </c>
      <c r="D650" t="s">
        <v>512</v>
      </c>
      <c r="E650" s="24" t="s">
        <v>510</v>
      </c>
      <c r="F650" t="s">
        <v>359</v>
      </c>
      <c r="G650" s="17">
        <v>0.1</v>
      </c>
      <c r="H650" s="18">
        <v>30000</v>
      </c>
      <c r="I650" s="18">
        <v>53</v>
      </c>
      <c r="J650" s="17">
        <f t="shared" si="34"/>
        <v>1.8867924528301887E-3</v>
      </c>
      <c r="K650" s="18">
        <f t="shared" si="35"/>
        <v>56.60377358490566</v>
      </c>
    </row>
    <row r="651" spans="1:11" hidden="1" x14ac:dyDescent="0.35">
      <c r="A651" s="24" t="s">
        <v>233</v>
      </c>
      <c r="B651" s="24" t="str">
        <f t="shared" si="33"/>
        <v>bún trộn tôm thịtNgò rí</v>
      </c>
      <c r="C651" s="24" t="s">
        <v>8</v>
      </c>
      <c r="D651" t="s">
        <v>512</v>
      </c>
      <c r="E651" s="24" t="s">
        <v>510</v>
      </c>
      <c r="F651" t="s">
        <v>369</v>
      </c>
      <c r="G651" s="17">
        <v>0.1</v>
      </c>
      <c r="H651" s="18">
        <v>30000</v>
      </c>
      <c r="I651" s="18">
        <v>53</v>
      </c>
      <c r="J651" s="17">
        <f t="shared" si="34"/>
        <v>1.8867924528301887E-3</v>
      </c>
      <c r="K651" s="18">
        <f t="shared" si="35"/>
        <v>56.60377358490566</v>
      </c>
    </row>
    <row r="652" spans="1:11" hidden="1" x14ac:dyDescent="0.35">
      <c r="A652" s="24" t="s">
        <v>233</v>
      </c>
      <c r="B652" s="24" t="str">
        <f t="shared" si="33"/>
        <v>bún trộn tôm thịtTôm nhỏ</v>
      </c>
      <c r="C652" s="24" t="s">
        <v>8</v>
      </c>
      <c r="D652" t="s">
        <v>512</v>
      </c>
      <c r="E652" s="24" t="s">
        <v>510</v>
      </c>
      <c r="F652" t="s">
        <v>414</v>
      </c>
      <c r="G652" s="17">
        <v>0.5</v>
      </c>
      <c r="H652" s="18">
        <v>80000</v>
      </c>
      <c r="I652" s="18">
        <v>53</v>
      </c>
      <c r="J652" s="17">
        <f t="shared" si="34"/>
        <v>9.433962264150943E-3</v>
      </c>
      <c r="K652" s="18">
        <f t="shared" si="35"/>
        <v>754.71698113207549</v>
      </c>
    </row>
    <row r="653" spans="1:11" hidden="1" x14ac:dyDescent="0.35">
      <c r="A653" s="24" t="s">
        <v>233</v>
      </c>
      <c r="B653" s="24" t="str">
        <f t="shared" si="33"/>
        <v>bún trộn tôm thịttép khô</v>
      </c>
      <c r="C653" s="24" t="s">
        <v>8</v>
      </c>
      <c r="D653" t="s">
        <v>512</v>
      </c>
      <c r="E653" s="24" t="s">
        <v>510</v>
      </c>
      <c r="F653" t="s">
        <v>466</v>
      </c>
      <c r="G653" s="17">
        <v>0.1</v>
      </c>
      <c r="H653" s="18">
        <v>120000</v>
      </c>
      <c r="I653" s="18">
        <v>53</v>
      </c>
      <c r="J653" s="17">
        <f t="shared" si="34"/>
        <v>1.8867924528301887E-3</v>
      </c>
      <c r="K653" s="18">
        <f t="shared" si="35"/>
        <v>226.41509433962264</v>
      </c>
    </row>
    <row r="654" spans="1:11" hidden="1" x14ac:dyDescent="0.35">
      <c r="A654" s="24" t="s">
        <v>233</v>
      </c>
      <c r="B654" s="24" t="str">
        <f t="shared" si="33"/>
        <v>bún trộn tôm thịtHeo nọng nạc</v>
      </c>
      <c r="C654" s="24" t="s">
        <v>8</v>
      </c>
      <c r="D654" t="s">
        <v>512</v>
      </c>
      <c r="E654" s="24" t="s">
        <v>510</v>
      </c>
      <c r="F654" t="s">
        <v>370</v>
      </c>
      <c r="G654" s="17">
        <v>0.5</v>
      </c>
      <c r="H654" s="18">
        <v>70000</v>
      </c>
      <c r="I654" s="18">
        <v>53</v>
      </c>
      <c r="J654" s="17">
        <f t="shared" si="34"/>
        <v>9.433962264150943E-3</v>
      </c>
      <c r="K654" s="18">
        <f t="shared" si="35"/>
        <v>660.37735849056605</v>
      </c>
    </row>
    <row r="655" spans="1:11" hidden="1" x14ac:dyDescent="0.35">
      <c r="A655" s="24" t="s">
        <v>233</v>
      </c>
      <c r="B655" s="24" t="str">
        <f t="shared" si="33"/>
        <v>bún trộn tôm thịtĐậu phộng rang</v>
      </c>
      <c r="C655" s="24" t="s">
        <v>8</v>
      </c>
      <c r="D655" t="s">
        <v>512</v>
      </c>
      <c r="E655" s="24" t="s">
        <v>510</v>
      </c>
      <c r="F655" t="s">
        <v>303</v>
      </c>
      <c r="G655" s="17">
        <v>0.3</v>
      </c>
      <c r="H655" s="18">
        <v>50000</v>
      </c>
      <c r="I655" s="18">
        <v>53</v>
      </c>
      <c r="J655" s="17">
        <f t="shared" si="34"/>
        <v>5.6603773584905656E-3</v>
      </c>
      <c r="K655" s="18">
        <f t="shared" si="35"/>
        <v>283.01886792452831</v>
      </c>
    </row>
    <row r="656" spans="1:11" hidden="1" x14ac:dyDescent="0.35">
      <c r="A656" s="24" t="s">
        <v>233</v>
      </c>
      <c r="B656" s="24" t="str">
        <f t="shared" si="33"/>
        <v>bún trộn tôm thịtXà lách</v>
      </c>
      <c r="C656" s="24" t="s">
        <v>8</v>
      </c>
      <c r="D656" t="s">
        <v>512</v>
      </c>
      <c r="E656" s="24" t="s">
        <v>510</v>
      </c>
      <c r="F656" t="s">
        <v>197</v>
      </c>
      <c r="G656" s="17">
        <v>0.5</v>
      </c>
      <c r="H656" s="18">
        <v>25000</v>
      </c>
      <c r="I656" s="18">
        <v>53</v>
      </c>
      <c r="J656" s="17">
        <f t="shared" si="34"/>
        <v>9.433962264150943E-3</v>
      </c>
      <c r="K656" s="18">
        <f t="shared" si="35"/>
        <v>235.84905660377359</v>
      </c>
    </row>
    <row r="657" spans="1:11" hidden="1" x14ac:dyDescent="0.35">
      <c r="A657" s="24" t="s">
        <v>233</v>
      </c>
      <c r="B657" s="24" t="str">
        <f t="shared" si="33"/>
        <v>bún trộn tôm thịtbông chuối</v>
      </c>
      <c r="C657" s="24" t="s">
        <v>8</v>
      </c>
      <c r="D657" t="s">
        <v>512</v>
      </c>
      <c r="E657" s="24" t="s">
        <v>510</v>
      </c>
      <c r="F657" t="s">
        <v>434</v>
      </c>
      <c r="G657" s="17">
        <v>2</v>
      </c>
      <c r="H657" s="18">
        <v>15000</v>
      </c>
      <c r="I657" s="18">
        <v>53</v>
      </c>
      <c r="J657" s="17">
        <f t="shared" si="34"/>
        <v>3.7735849056603772E-2</v>
      </c>
      <c r="K657" s="18">
        <f t="shared" si="35"/>
        <v>566.03773584905662</v>
      </c>
    </row>
    <row r="658" spans="1:11" hidden="1" x14ac:dyDescent="0.35">
      <c r="A658" s="24" t="s">
        <v>233</v>
      </c>
      <c r="B658" s="24" t="str">
        <f t="shared" si="33"/>
        <v>mít trộn tôm thịtMít non cục</v>
      </c>
      <c r="C658" s="24" t="s">
        <v>8</v>
      </c>
      <c r="D658" t="s">
        <v>512</v>
      </c>
      <c r="E658" s="24" t="s">
        <v>511</v>
      </c>
      <c r="F658" t="s">
        <v>361</v>
      </c>
      <c r="G658" s="17">
        <v>20</v>
      </c>
      <c r="H658" s="18">
        <v>15000</v>
      </c>
      <c r="I658" s="18">
        <v>215</v>
      </c>
      <c r="J658" s="17">
        <f t="shared" si="34"/>
        <v>9.3023255813953487E-2</v>
      </c>
      <c r="K658" s="18">
        <f t="shared" si="35"/>
        <v>1395.3488372093022</v>
      </c>
    </row>
    <row r="659" spans="1:11" hidden="1" x14ac:dyDescent="0.35">
      <c r="A659" s="24" t="s">
        <v>233</v>
      </c>
      <c r="B659" s="24" t="str">
        <f t="shared" si="33"/>
        <v>mít trộn tôm thịtThịt nọng nạc</v>
      </c>
      <c r="C659" s="24" t="s">
        <v>8</v>
      </c>
      <c r="D659" t="s">
        <v>512</v>
      </c>
      <c r="E659" s="24" t="s">
        <v>511</v>
      </c>
      <c r="F659" t="s">
        <v>378</v>
      </c>
      <c r="G659" s="17">
        <v>3</v>
      </c>
      <c r="H659" s="18">
        <v>70000</v>
      </c>
      <c r="I659" s="18">
        <v>215</v>
      </c>
      <c r="J659" s="17">
        <f t="shared" si="34"/>
        <v>1.3953488372093023E-2</v>
      </c>
      <c r="K659" s="18">
        <f t="shared" si="35"/>
        <v>976.74418604651157</v>
      </c>
    </row>
    <row r="660" spans="1:11" hidden="1" x14ac:dyDescent="0.35">
      <c r="A660" s="24" t="s">
        <v>233</v>
      </c>
      <c r="B660" s="24" t="str">
        <f t="shared" si="33"/>
        <v>mít trộn tôm thịtTôm nhỏ</v>
      </c>
      <c r="C660" s="24" t="s">
        <v>8</v>
      </c>
      <c r="D660" t="s">
        <v>512</v>
      </c>
      <c r="E660" s="24" t="s">
        <v>511</v>
      </c>
      <c r="F660" t="s">
        <v>414</v>
      </c>
      <c r="G660" s="17">
        <v>1</v>
      </c>
      <c r="H660" s="18">
        <v>80000</v>
      </c>
      <c r="I660" s="18">
        <v>215</v>
      </c>
      <c r="J660" s="17">
        <f t="shared" si="34"/>
        <v>4.6511627906976744E-3</v>
      </c>
      <c r="K660" s="18">
        <f t="shared" si="35"/>
        <v>372.09302325581393</v>
      </c>
    </row>
    <row r="661" spans="1:11" hidden="1" x14ac:dyDescent="0.35">
      <c r="A661" s="24" t="s">
        <v>233</v>
      </c>
      <c r="B661" s="24" t="str">
        <f t="shared" si="33"/>
        <v>mít trộn tôm thịtTép khô</v>
      </c>
      <c r="C661" s="24" t="s">
        <v>8</v>
      </c>
      <c r="D661" t="s">
        <v>512</v>
      </c>
      <c r="E661" s="24" t="s">
        <v>511</v>
      </c>
      <c r="F661" t="s">
        <v>374</v>
      </c>
      <c r="G661" s="17">
        <v>0.5</v>
      </c>
      <c r="H661" s="18">
        <v>120000</v>
      </c>
      <c r="I661" s="18">
        <v>215</v>
      </c>
      <c r="J661" s="17">
        <f t="shared" si="34"/>
        <v>2.3255813953488372E-3</v>
      </c>
      <c r="K661" s="18">
        <f t="shared" si="35"/>
        <v>279.06976744186045</v>
      </c>
    </row>
    <row r="662" spans="1:11" hidden="1" x14ac:dyDescent="0.35">
      <c r="A662" s="24" t="s">
        <v>233</v>
      </c>
      <c r="B662" s="24" t="str">
        <f t="shared" si="33"/>
        <v>mít trộn tôm thịtNgò gai</v>
      </c>
      <c r="C662" s="24" t="s">
        <v>8</v>
      </c>
      <c r="D662" t="s">
        <v>512</v>
      </c>
      <c r="E662" s="24" t="s">
        <v>511</v>
      </c>
      <c r="F662" t="s">
        <v>101</v>
      </c>
      <c r="G662" s="17">
        <v>0.3</v>
      </c>
      <c r="H662" s="18">
        <v>30000</v>
      </c>
      <c r="I662" s="18">
        <v>215</v>
      </c>
      <c r="J662" s="17">
        <f t="shared" si="34"/>
        <v>1.3953488372093023E-3</v>
      </c>
      <c r="K662" s="18">
        <f t="shared" si="35"/>
        <v>41.860465116279073</v>
      </c>
    </row>
    <row r="663" spans="1:11" hidden="1" x14ac:dyDescent="0.35">
      <c r="A663" s="24" t="s">
        <v>233</v>
      </c>
      <c r="B663" s="24" t="str">
        <f t="shared" si="33"/>
        <v>mít trộn tôm thịtĐậu phộng rang</v>
      </c>
      <c r="C663" s="24" t="s">
        <v>8</v>
      </c>
      <c r="D663" t="s">
        <v>512</v>
      </c>
      <c r="E663" s="24" t="s">
        <v>511</v>
      </c>
      <c r="F663" t="s">
        <v>303</v>
      </c>
      <c r="G663" s="17">
        <v>0.8</v>
      </c>
      <c r="H663" s="18">
        <v>50000</v>
      </c>
      <c r="I663" s="18">
        <v>215</v>
      </c>
      <c r="J663" s="17">
        <f t="shared" si="34"/>
        <v>3.7209302325581397E-3</v>
      </c>
      <c r="K663" s="18">
        <f t="shared" si="35"/>
        <v>186.04651162790697</v>
      </c>
    </row>
    <row r="664" spans="1:11" hidden="1" x14ac:dyDescent="0.35">
      <c r="A664" s="24" t="s">
        <v>233</v>
      </c>
      <c r="B664" s="24" t="str">
        <f t="shared" si="33"/>
        <v>thịt cuộn lá lótLá lót to</v>
      </c>
      <c r="C664" s="24" t="s">
        <v>8</v>
      </c>
      <c r="D664" t="s">
        <v>512</v>
      </c>
      <c r="E664" s="24" t="s">
        <v>513</v>
      </c>
      <c r="F664" t="s">
        <v>402</v>
      </c>
      <c r="G664" s="17">
        <v>3</v>
      </c>
      <c r="H664" s="18">
        <v>30000</v>
      </c>
      <c r="I664" s="18">
        <v>175</v>
      </c>
      <c r="J664" s="17">
        <f t="shared" si="34"/>
        <v>1.7142857142857144E-2</v>
      </c>
      <c r="K664" s="18">
        <f t="shared" si="35"/>
        <v>514.28571428571433</v>
      </c>
    </row>
    <row r="665" spans="1:11" hidden="1" x14ac:dyDescent="0.35">
      <c r="A665" s="24" t="s">
        <v>233</v>
      </c>
      <c r="B665" s="24" t="str">
        <f t="shared" si="33"/>
        <v>thịt cuộn lá lótThịt xay mịn</v>
      </c>
      <c r="C665" s="24" t="s">
        <v>8</v>
      </c>
      <c r="D665" t="s">
        <v>512</v>
      </c>
      <c r="E665" s="24" t="s">
        <v>513</v>
      </c>
      <c r="F665" t="s">
        <v>431</v>
      </c>
      <c r="G665" s="17">
        <v>2.7</v>
      </c>
      <c r="H665" s="18">
        <v>100000</v>
      </c>
      <c r="I665" s="18">
        <v>175</v>
      </c>
      <c r="J665" s="17">
        <f t="shared" si="34"/>
        <v>1.542857142857143E-2</v>
      </c>
      <c r="K665" s="18">
        <f t="shared" si="35"/>
        <v>1542.8571428571429</v>
      </c>
    </row>
    <row r="666" spans="1:11" hidden="1" x14ac:dyDescent="0.35">
      <c r="A666" s="24" t="s">
        <v>233</v>
      </c>
      <c r="B666" s="24" t="str">
        <f t="shared" si="33"/>
        <v>thịt cuộn lá lótChả quết</v>
      </c>
      <c r="C666" s="24" t="s">
        <v>8</v>
      </c>
      <c r="D666" t="s">
        <v>512</v>
      </c>
      <c r="E666" s="24" t="s">
        <v>513</v>
      </c>
      <c r="F666" t="s">
        <v>166</v>
      </c>
      <c r="G666" s="17">
        <v>1</v>
      </c>
      <c r="H666" s="18">
        <v>140000</v>
      </c>
      <c r="I666" s="18">
        <v>175</v>
      </c>
      <c r="J666" s="17">
        <f t="shared" si="34"/>
        <v>5.7142857142857143E-3</v>
      </c>
      <c r="K666" s="18">
        <f t="shared" si="35"/>
        <v>800</v>
      </c>
    </row>
    <row r="667" spans="1:11" hidden="1" x14ac:dyDescent="0.35">
      <c r="A667" s="24" t="s">
        <v>233</v>
      </c>
      <c r="B667" s="24" t="str">
        <f t="shared" si="33"/>
        <v>thịt cuộn lá lótSả</v>
      </c>
      <c r="C667" s="24" t="s">
        <v>8</v>
      </c>
      <c r="D667" t="s">
        <v>512</v>
      </c>
      <c r="E667" s="24" t="s">
        <v>513</v>
      </c>
      <c r="F667" t="s">
        <v>207</v>
      </c>
      <c r="G667" s="17">
        <v>0.7</v>
      </c>
      <c r="H667" s="18">
        <v>30000</v>
      </c>
      <c r="I667" s="18">
        <v>175</v>
      </c>
      <c r="J667" s="17">
        <f t="shared" si="34"/>
        <v>4.0000000000000001E-3</v>
      </c>
      <c r="K667" s="18">
        <f t="shared" si="35"/>
        <v>120</v>
      </c>
    </row>
    <row r="668" spans="1:11" hidden="1" x14ac:dyDescent="0.35">
      <c r="A668" s="24" t="s">
        <v>233</v>
      </c>
      <c r="B668" s="24" t="str">
        <f t="shared" si="33"/>
        <v>cà tím sốt thịt bằmcà tím</v>
      </c>
      <c r="C668" s="24" t="s">
        <v>8</v>
      </c>
      <c r="D668" t="s">
        <v>512</v>
      </c>
      <c r="E668" s="24" t="s">
        <v>514</v>
      </c>
      <c r="F668" t="s">
        <v>450</v>
      </c>
      <c r="G668" s="17">
        <v>10</v>
      </c>
      <c r="H668" s="18">
        <v>12000</v>
      </c>
      <c r="I668" s="18">
        <v>100</v>
      </c>
      <c r="J668" s="17">
        <f t="shared" si="34"/>
        <v>0.1</v>
      </c>
      <c r="K668" s="18">
        <f t="shared" si="35"/>
        <v>1200</v>
      </c>
    </row>
    <row r="669" spans="1:11" hidden="1" x14ac:dyDescent="0.35">
      <c r="A669" s="24" t="s">
        <v>233</v>
      </c>
      <c r="B669" s="24" t="str">
        <f t="shared" si="33"/>
        <v>cà tím sốt thịt bằmthịt xay có mỡ</v>
      </c>
      <c r="C669" s="24" t="s">
        <v>8</v>
      </c>
      <c r="D669" t="s">
        <v>512</v>
      </c>
      <c r="E669" s="24" t="s">
        <v>514</v>
      </c>
      <c r="F669" t="s">
        <v>451</v>
      </c>
      <c r="G669" s="17">
        <v>1.5</v>
      </c>
      <c r="H669" s="18">
        <v>100000</v>
      </c>
      <c r="I669" s="18">
        <v>100</v>
      </c>
      <c r="J669" s="17">
        <f t="shared" si="34"/>
        <v>1.4999999999999999E-2</v>
      </c>
      <c r="K669" s="18">
        <f t="shared" si="35"/>
        <v>1500</v>
      </c>
    </row>
    <row r="670" spans="1:11" hidden="1" x14ac:dyDescent="0.35">
      <c r="A670" s="24" t="s">
        <v>233</v>
      </c>
      <c r="B670" s="24" t="str">
        <f t="shared" si="33"/>
        <v>cà tím sốt thịt bằmhành lá</v>
      </c>
      <c r="C670" s="24" t="s">
        <v>8</v>
      </c>
      <c r="D670" t="s">
        <v>512</v>
      </c>
      <c r="E670" s="24" t="s">
        <v>514</v>
      </c>
      <c r="F670" t="s">
        <v>408</v>
      </c>
      <c r="G670" s="17">
        <v>0.5</v>
      </c>
      <c r="H670" s="18">
        <v>20000</v>
      </c>
      <c r="I670" s="18">
        <v>100</v>
      </c>
      <c r="J670" s="17">
        <f t="shared" si="34"/>
        <v>5.0000000000000001E-3</v>
      </c>
      <c r="K670" s="18">
        <f t="shared" si="35"/>
        <v>100</v>
      </c>
    </row>
    <row r="671" spans="1:11" hidden="1" x14ac:dyDescent="0.35">
      <c r="A671" s="24" t="s">
        <v>233</v>
      </c>
      <c r="B671" s="24" t="str">
        <f t="shared" si="33"/>
        <v>chả cá rim tóp mỡChả cá tấm chiên</v>
      </c>
      <c r="C671" s="24" t="s">
        <v>8</v>
      </c>
      <c r="D671" t="s">
        <v>512</v>
      </c>
      <c r="E671" s="24" t="s">
        <v>515</v>
      </c>
      <c r="F671" t="s">
        <v>268</v>
      </c>
      <c r="G671" s="17">
        <v>4.2</v>
      </c>
      <c r="H671" s="18">
        <v>70000</v>
      </c>
      <c r="I671" s="18">
        <v>100</v>
      </c>
      <c r="J671" s="17">
        <f t="shared" si="34"/>
        <v>4.2000000000000003E-2</v>
      </c>
      <c r="K671" s="18">
        <f t="shared" si="35"/>
        <v>2940</v>
      </c>
    </row>
    <row r="672" spans="1:11" hidden="1" x14ac:dyDescent="0.35">
      <c r="A672" s="24" t="s">
        <v>233</v>
      </c>
      <c r="B672" s="24" t="str">
        <f t="shared" si="33"/>
        <v>chả cá rim tóp mỡmỡ heo có da</v>
      </c>
      <c r="C672" s="24" t="s">
        <v>8</v>
      </c>
      <c r="D672" t="s">
        <v>512</v>
      </c>
      <c r="E672" s="24" t="s">
        <v>515</v>
      </c>
      <c r="F672" t="s">
        <v>516</v>
      </c>
      <c r="G672" s="17">
        <v>1</v>
      </c>
      <c r="H672" s="18">
        <v>50000</v>
      </c>
      <c r="I672" s="18">
        <v>100</v>
      </c>
      <c r="J672" s="17">
        <f t="shared" si="34"/>
        <v>0.01</v>
      </c>
      <c r="K672" s="18">
        <f t="shared" si="35"/>
        <v>500</v>
      </c>
    </row>
    <row r="673" spans="1:11" hidden="1" x14ac:dyDescent="0.35">
      <c r="A673" s="24" t="s">
        <v>233</v>
      </c>
      <c r="B673" s="24" t="str">
        <f t="shared" si="33"/>
        <v>chả cá rim tóp mỡhành lá</v>
      </c>
      <c r="C673" s="24" t="s">
        <v>8</v>
      </c>
      <c r="D673" t="s">
        <v>512</v>
      </c>
      <c r="E673" s="24" t="s">
        <v>515</v>
      </c>
      <c r="F673" t="s">
        <v>408</v>
      </c>
      <c r="G673" s="17">
        <v>0.3</v>
      </c>
      <c r="H673" s="18">
        <v>20000</v>
      </c>
      <c r="I673" s="18">
        <v>100</v>
      </c>
      <c r="J673" s="17">
        <f t="shared" si="34"/>
        <v>3.0000000000000001E-3</v>
      </c>
      <c r="K673" s="18">
        <f t="shared" si="35"/>
        <v>60</v>
      </c>
    </row>
  </sheetData>
  <autoFilter ref="A2:K673" xr:uid="{00000000-0009-0000-0000-000002000000}">
    <filterColumn colId="3">
      <filters>
        <filter val="Món cơm đơn"/>
      </filters>
    </filterColumn>
  </autoFilter>
  <mergeCells count="24">
    <mergeCell ref="L101:L104"/>
    <mergeCell ref="L106:L108"/>
    <mergeCell ref="L109:L117"/>
    <mergeCell ref="L118:L125"/>
    <mergeCell ref="L127:L134"/>
    <mergeCell ref="L137:L147"/>
    <mergeCell ref="L67:L70"/>
    <mergeCell ref="M67:M70"/>
    <mergeCell ref="L71:L80"/>
    <mergeCell ref="M71:M80"/>
    <mergeCell ref="L82:L89"/>
    <mergeCell ref="L91:L100"/>
    <mergeCell ref="L47:L54"/>
    <mergeCell ref="M47:M54"/>
    <mergeCell ref="L55:L61"/>
    <mergeCell ref="M55:M61"/>
    <mergeCell ref="L62:L66"/>
    <mergeCell ref="M62:M66"/>
    <mergeCell ref="L3:L15"/>
    <mergeCell ref="L16:L28"/>
    <mergeCell ref="L30:L37"/>
    <mergeCell ref="M30:M37"/>
    <mergeCell ref="L39:L46"/>
    <mergeCell ref="M39:M4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037B-6C68-4B05-949B-5CFC008382AF}">
  <dimension ref="B2:H72"/>
  <sheetViews>
    <sheetView tabSelected="1" topLeftCell="A25" workbookViewId="0">
      <selection activeCell="J74" sqref="J74"/>
    </sheetView>
  </sheetViews>
  <sheetFormatPr defaultRowHeight="14.5" x14ac:dyDescent="0.35"/>
  <cols>
    <col min="2" max="2" width="17.54296875" bestFit="1" customWidth="1"/>
    <col min="3" max="3" width="16.36328125" bestFit="1" customWidth="1"/>
    <col min="4" max="4" width="20.6328125" bestFit="1" customWidth="1"/>
    <col min="5" max="5" width="17.6328125" bestFit="1" customWidth="1"/>
    <col min="6" max="6" width="19.90625" bestFit="1" customWidth="1"/>
    <col min="7" max="7" width="18.08984375" bestFit="1" customWidth="1"/>
    <col min="8" max="8" width="22.1796875" bestFit="1" customWidth="1"/>
  </cols>
  <sheetData>
    <row r="2" spans="2:8" ht="15.5" x14ac:dyDescent="0.35">
      <c r="B2" s="94" t="s">
        <v>520</v>
      </c>
      <c r="C2" s="94"/>
    </row>
    <row r="4" spans="2:8" x14ac:dyDescent="0.35">
      <c r="B4" s="131" t="s">
        <v>545</v>
      </c>
      <c r="C4" s="132"/>
      <c r="D4" s="132"/>
      <c r="E4" s="132"/>
      <c r="F4" s="132"/>
      <c r="G4" s="132"/>
      <c r="H4" s="133"/>
    </row>
    <row r="5" spans="2:8" x14ac:dyDescent="0.35">
      <c r="B5" s="134" t="s">
        <v>564</v>
      </c>
      <c r="C5" s="135" t="s">
        <v>521</v>
      </c>
      <c r="D5" s="135" t="s">
        <v>567</v>
      </c>
      <c r="E5" s="136" t="s">
        <v>522</v>
      </c>
      <c r="F5" s="136" t="s">
        <v>523</v>
      </c>
      <c r="G5" s="135" t="s">
        <v>524</v>
      </c>
      <c r="H5" s="135" t="s">
        <v>566</v>
      </c>
    </row>
    <row r="6" spans="2:8" x14ac:dyDescent="0.35">
      <c r="B6" s="134" t="s">
        <v>563</v>
      </c>
      <c r="C6" s="136" t="s">
        <v>565</v>
      </c>
      <c r="D6" s="135" t="s">
        <v>527</v>
      </c>
      <c r="E6" s="135" t="s">
        <v>528</v>
      </c>
      <c r="F6" s="136" t="s">
        <v>529</v>
      </c>
      <c r="G6" s="135" t="s">
        <v>530</v>
      </c>
      <c r="H6" s="136" t="s">
        <v>531</v>
      </c>
    </row>
    <row r="7" spans="2:8" x14ac:dyDescent="0.35">
      <c r="B7" s="134" t="s">
        <v>544</v>
      </c>
      <c r="C7" s="135" t="s">
        <v>532</v>
      </c>
      <c r="D7" s="135" t="s">
        <v>533</v>
      </c>
      <c r="E7" s="136" t="s">
        <v>534</v>
      </c>
      <c r="F7" s="136" t="s">
        <v>535</v>
      </c>
      <c r="G7" s="135" t="s">
        <v>536</v>
      </c>
      <c r="H7" s="136" t="s">
        <v>537</v>
      </c>
    </row>
    <row r="8" spans="2:8" x14ac:dyDescent="0.35">
      <c r="B8" s="134" t="s">
        <v>448</v>
      </c>
      <c r="C8" s="135" t="s">
        <v>538</v>
      </c>
      <c r="D8" s="136" t="s">
        <v>539</v>
      </c>
      <c r="E8" s="136" t="s">
        <v>540</v>
      </c>
      <c r="F8" s="136" t="s">
        <v>541</v>
      </c>
      <c r="G8" s="135" t="s">
        <v>542</v>
      </c>
      <c r="H8" s="135" t="s">
        <v>543</v>
      </c>
    </row>
    <row r="9" spans="2:8" x14ac:dyDescent="0.35">
      <c r="B9" s="137" t="s">
        <v>17</v>
      </c>
      <c r="C9" s="138" t="s">
        <v>569</v>
      </c>
      <c r="D9" s="138" t="s">
        <v>569</v>
      </c>
      <c r="E9" s="138" t="s">
        <v>569</v>
      </c>
      <c r="F9" s="138" t="s">
        <v>569</v>
      </c>
      <c r="G9" s="138" t="s">
        <v>569</v>
      </c>
      <c r="H9" s="139" t="s">
        <v>569</v>
      </c>
    </row>
    <row r="11" spans="2:8" x14ac:dyDescent="0.35">
      <c r="B11" s="131" t="s">
        <v>545</v>
      </c>
      <c r="C11" s="132"/>
      <c r="D11" s="132"/>
      <c r="E11" s="132"/>
      <c r="F11" s="132"/>
      <c r="G11" s="132"/>
      <c r="H11" s="133"/>
    </row>
    <row r="12" spans="2:8" x14ac:dyDescent="0.35">
      <c r="B12" s="134" t="s">
        <v>562</v>
      </c>
      <c r="C12" s="135" t="s">
        <v>546</v>
      </c>
      <c r="D12" s="135" t="s">
        <v>547</v>
      </c>
      <c r="E12" s="136" t="s">
        <v>548</v>
      </c>
      <c r="F12" s="136" t="s">
        <v>549</v>
      </c>
      <c r="G12" s="135" t="s">
        <v>550</v>
      </c>
      <c r="H12" s="135" t="s">
        <v>551</v>
      </c>
    </row>
    <row r="13" spans="2:8" x14ac:dyDescent="0.35">
      <c r="B13" s="134" t="s">
        <v>563</v>
      </c>
      <c r="C13" s="136" t="s">
        <v>552</v>
      </c>
      <c r="D13" s="135" t="s">
        <v>561</v>
      </c>
      <c r="E13" s="135" t="s">
        <v>553</v>
      </c>
      <c r="F13" s="136" t="s">
        <v>554</v>
      </c>
      <c r="G13" s="135" t="s">
        <v>530</v>
      </c>
      <c r="H13" s="136" t="s">
        <v>555</v>
      </c>
    </row>
    <row r="14" spans="2:8" x14ac:dyDescent="0.35">
      <c r="B14" s="134" t="s">
        <v>544</v>
      </c>
      <c r="C14" s="135" t="s">
        <v>536</v>
      </c>
      <c r="D14" s="135" t="s">
        <v>532</v>
      </c>
      <c r="E14" s="136" t="s">
        <v>556</v>
      </c>
      <c r="F14" s="136" t="s">
        <v>534</v>
      </c>
      <c r="G14" s="135" t="s">
        <v>557</v>
      </c>
      <c r="H14" s="136" t="s">
        <v>537</v>
      </c>
    </row>
    <row r="15" spans="2:8" x14ac:dyDescent="0.35">
      <c r="B15" s="134" t="s">
        <v>448</v>
      </c>
      <c r="C15" s="135" t="s">
        <v>538</v>
      </c>
      <c r="D15" s="136" t="s">
        <v>558</v>
      </c>
      <c r="E15" s="136" t="s">
        <v>559</v>
      </c>
      <c r="F15" s="136" t="s">
        <v>541</v>
      </c>
      <c r="G15" s="135" t="s">
        <v>560</v>
      </c>
      <c r="H15" s="135" t="s">
        <v>543</v>
      </c>
    </row>
    <row r="16" spans="2:8" x14ac:dyDescent="0.35">
      <c r="B16" s="137" t="s">
        <v>17</v>
      </c>
      <c r="C16" s="138" t="s">
        <v>569</v>
      </c>
      <c r="D16" s="138" t="s">
        <v>569</v>
      </c>
      <c r="E16" s="138" t="s">
        <v>569</v>
      </c>
      <c r="F16" s="138" t="s">
        <v>569</v>
      </c>
      <c r="G16" s="138" t="s">
        <v>569</v>
      </c>
      <c r="H16" s="139" t="s">
        <v>569</v>
      </c>
    </row>
    <row r="18" spans="2:8" x14ac:dyDescent="0.35">
      <c r="B18" s="131" t="s">
        <v>545</v>
      </c>
      <c r="C18" s="132"/>
      <c r="D18" s="132"/>
      <c r="E18" s="132"/>
      <c r="F18" s="132"/>
      <c r="G18" s="132"/>
      <c r="H18" s="133"/>
    </row>
    <row r="19" spans="2:8" ht="15.5" x14ac:dyDescent="0.35">
      <c r="B19" s="134" t="s">
        <v>562</v>
      </c>
      <c r="C19" s="140" t="s">
        <v>570</v>
      </c>
      <c r="D19" s="135" t="s">
        <v>571</v>
      </c>
      <c r="E19" s="136" t="s">
        <v>574</v>
      </c>
      <c r="F19" s="140" t="s">
        <v>577</v>
      </c>
      <c r="G19" s="135" t="s">
        <v>578</v>
      </c>
      <c r="H19" s="135" t="s">
        <v>580</v>
      </c>
    </row>
    <row r="20" spans="2:8" x14ac:dyDescent="0.35">
      <c r="B20" s="134" t="s">
        <v>563</v>
      </c>
      <c r="C20" s="141"/>
      <c r="D20" s="135" t="s">
        <v>576</v>
      </c>
      <c r="E20" s="135" t="s">
        <v>575</v>
      </c>
      <c r="F20" s="141"/>
      <c r="G20" s="135" t="s">
        <v>572</v>
      </c>
      <c r="H20" s="136" t="s">
        <v>573</v>
      </c>
    </row>
    <row r="21" spans="2:8" ht="15.5" x14ac:dyDescent="0.35">
      <c r="B21" s="134" t="s">
        <v>544</v>
      </c>
      <c r="C21" s="141"/>
      <c r="D21" s="135" t="s">
        <v>536</v>
      </c>
      <c r="E21" s="136" t="s">
        <v>533</v>
      </c>
      <c r="F21" s="141"/>
      <c r="G21" s="135" t="s">
        <v>579</v>
      </c>
      <c r="H21" s="136" t="s">
        <v>581</v>
      </c>
    </row>
    <row r="22" spans="2:8" x14ac:dyDescent="0.35">
      <c r="B22" s="134" t="s">
        <v>448</v>
      </c>
      <c r="C22" s="142"/>
      <c r="D22" s="136" t="s">
        <v>568</v>
      </c>
      <c r="E22" s="136" t="s">
        <v>541</v>
      </c>
      <c r="F22" s="142"/>
      <c r="G22" s="135" t="s">
        <v>542</v>
      </c>
      <c r="H22" s="135" t="s">
        <v>543</v>
      </c>
    </row>
    <row r="23" spans="2:8" x14ac:dyDescent="0.35">
      <c r="B23" s="137" t="s">
        <v>17</v>
      </c>
      <c r="C23" s="138" t="s">
        <v>569</v>
      </c>
      <c r="D23" s="138" t="s">
        <v>569</v>
      </c>
      <c r="E23" s="138" t="s">
        <v>569</v>
      </c>
      <c r="F23" s="138" t="s">
        <v>569</v>
      </c>
      <c r="G23" s="138" t="s">
        <v>569</v>
      </c>
      <c r="H23" s="139" t="s">
        <v>569</v>
      </c>
    </row>
    <row r="26" spans="2:8" x14ac:dyDescent="0.35">
      <c r="B26" s="131" t="s">
        <v>545</v>
      </c>
      <c r="C26" s="132"/>
      <c r="D26" s="132"/>
      <c r="E26" s="132"/>
      <c r="F26" s="132"/>
      <c r="G26" s="132"/>
      <c r="H26" s="133"/>
    </row>
    <row r="27" spans="2:8" x14ac:dyDescent="0.35">
      <c r="B27" s="134" t="s">
        <v>562</v>
      </c>
      <c r="C27" s="147" t="s">
        <v>586</v>
      </c>
      <c r="D27" s="148" t="s">
        <v>587</v>
      </c>
      <c r="E27" s="150" t="s">
        <v>593</v>
      </c>
      <c r="F27" s="147" t="s">
        <v>585</v>
      </c>
      <c r="G27" s="148" t="s">
        <v>521</v>
      </c>
      <c r="H27" s="135" t="s">
        <v>582</v>
      </c>
    </row>
    <row r="28" spans="2:8" x14ac:dyDescent="0.35">
      <c r="B28" s="134" t="s">
        <v>563</v>
      </c>
      <c r="C28" s="149"/>
      <c r="D28" s="148" t="s">
        <v>592</v>
      </c>
      <c r="E28" s="148" t="s">
        <v>591</v>
      </c>
      <c r="F28" s="149"/>
      <c r="G28" s="148" t="s">
        <v>590</v>
      </c>
      <c r="H28" s="136" t="s">
        <v>583</v>
      </c>
    </row>
    <row r="29" spans="2:8" x14ac:dyDescent="0.35">
      <c r="B29" s="134" t="s">
        <v>544</v>
      </c>
      <c r="C29" s="149"/>
      <c r="D29" s="148" t="s">
        <v>589</v>
      </c>
      <c r="E29" s="150" t="s">
        <v>588</v>
      </c>
      <c r="F29" s="149"/>
      <c r="G29" s="148" t="s">
        <v>579</v>
      </c>
      <c r="H29" s="136" t="s">
        <v>584</v>
      </c>
    </row>
    <row r="30" spans="2:8" x14ac:dyDescent="0.35">
      <c r="B30" s="134" t="s">
        <v>448</v>
      </c>
      <c r="C30" s="151"/>
      <c r="D30" s="148" t="s">
        <v>568</v>
      </c>
      <c r="E30" s="150" t="s">
        <v>541</v>
      </c>
      <c r="F30" s="151"/>
      <c r="G30" s="148" t="s">
        <v>542</v>
      </c>
      <c r="H30" s="135" t="s">
        <v>543</v>
      </c>
    </row>
    <row r="31" spans="2:8" x14ac:dyDescent="0.35">
      <c r="B31" s="137" t="s">
        <v>17</v>
      </c>
      <c r="C31" s="138" t="s">
        <v>569</v>
      </c>
      <c r="D31" s="138" t="s">
        <v>569</v>
      </c>
      <c r="E31" s="138" t="s">
        <v>569</v>
      </c>
      <c r="F31" s="138" t="s">
        <v>569</v>
      </c>
      <c r="G31" s="138" t="s">
        <v>569</v>
      </c>
      <c r="H31" s="139" t="s">
        <v>569</v>
      </c>
    </row>
    <row r="33" spans="2:8" ht="15.5" x14ac:dyDescent="0.35">
      <c r="B33" s="94" t="s">
        <v>594</v>
      </c>
    </row>
    <row r="35" spans="2:8" x14ac:dyDescent="0.35">
      <c r="B35" s="131" t="s">
        <v>545</v>
      </c>
      <c r="C35" s="132"/>
      <c r="D35" s="132"/>
      <c r="E35" s="132"/>
      <c r="F35" s="132"/>
      <c r="G35" s="132"/>
      <c r="H35" s="133"/>
    </row>
    <row r="36" spans="2:8" x14ac:dyDescent="0.35">
      <c r="B36" s="134" t="s">
        <v>562</v>
      </c>
      <c r="C36" s="143" t="s">
        <v>607</v>
      </c>
      <c r="D36" s="135" t="s">
        <v>608</v>
      </c>
      <c r="E36" s="135" t="s">
        <v>525</v>
      </c>
      <c r="F36" s="153" t="s">
        <v>614</v>
      </c>
      <c r="G36" s="135" t="s">
        <v>609</v>
      </c>
      <c r="H36" s="144" t="s">
        <v>615</v>
      </c>
    </row>
    <row r="37" spans="2:8" x14ac:dyDescent="0.35">
      <c r="B37" s="134" t="s">
        <v>563</v>
      </c>
      <c r="C37" s="145"/>
      <c r="D37" s="136" t="s">
        <v>526</v>
      </c>
      <c r="E37" s="136" t="s">
        <v>610</v>
      </c>
      <c r="F37" s="145"/>
      <c r="G37" s="135" t="s">
        <v>611</v>
      </c>
      <c r="H37" s="135" t="s">
        <v>612</v>
      </c>
    </row>
    <row r="38" spans="2:8" x14ac:dyDescent="0.35">
      <c r="B38" s="134" t="s">
        <v>544</v>
      </c>
      <c r="C38" s="145"/>
      <c r="D38" s="135" t="s">
        <v>579</v>
      </c>
      <c r="E38" s="136" t="s">
        <v>537</v>
      </c>
      <c r="F38" s="145"/>
      <c r="G38" s="135" t="s">
        <v>536</v>
      </c>
      <c r="H38" s="136" t="s">
        <v>613</v>
      </c>
    </row>
    <row r="39" spans="2:8" x14ac:dyDescent="0.35">
      <c r="B39" s="134" t="s">
        <v>448</v>
      </c>
      <c r="C39" s="146"/>
      <c r="D39" s="135" t="s">
        <v>542</v>
      </c>
      <c r="E39" s="135" t="s">
        <v>543</v>
      </c>
      <c r="F39" s="146"/>
      <c r="G39" s="135" t="s">
        <v>568</v>
      </c>
      <c r="H39" s="136" t="s">
        <v>541</v>
      </c>
    </row>
    <row r="40" spans="2:8" x14ac:dyDescent="0.35">
      <c r="B40" s="152" t="s">
        <v>17</v>
      </c>
      <c r="C40" s="152" t="s">
        <v>569</v>
      </c>
      <c r="D40" s="152" t="s">
        <v>569</v>
      </c>
      <c r="E40" s="152" t="s">
        <v>569</v>
      </c>
      <c r="F40" s="152" t="s">
        <v>569</v>
      </c>
      <c r="G40" s="152" t="s">
        <v>569</v>
      </c>
      <c r="H40" s="152" t="s">
        <v>569</v>
      </c>
    </row>
    <row r="43" spans="2:8" x14ac:dyDescent="0.35">
      <c r="B43" s="131" t="s">
        <v>616</v>
      </c>
      <c r="C43" s="132"/>
      <c r="D43" s="132"/>
      <c r="E43" s="132"/>
      <c r="F43" s="132"/>
      <c r="G43" s="132"/>
      <c r="H43" s="133"/>
    </row>
    <row r="44" spans="2:8" x14ac:dyDescent="0.35">
      <c r="B44" s="134" t="s">
        <v>562</v>
      </c>
      <c r="C44" s="150" t="s">
        <v>595</v>
      </c>
      <c r="D44" s="136" t="s">
        <v>596</v>
      </c>
      <c r="E44" s="140" t="s">
        <v>597</v>
      </c>
      <c r="F44" s="136" t="s">
        <v>598</v>
      </c>
      <c r="G44" s="136" t="s">
        <v>547</v>
      </c>
      <c r="H44" s="136" t="s">
        <v>599</v>
      </c>
    </row>
    <row r="45" spans="2:8" x14ac:dyDescent="0.35">
      <c r="B45" s="134" t="s">
        <v>563</v>
      </c>
      <c r="C45" s="150" t="s">
        <v>600</v>
      </c>
      <c r="D45" s="136" t="s">
        <v>561</v>
      </c>
      <c r="E45" s="141"/>
      <c r="F45" s="136" t="s">
        <v>601</v>
      </c>
      <c r="G45" s="136" t="s">
        <v>602</v>
      </c>
      <c r="H45" s="136" t="s">
        <v>603</v>
      </c>
    </row>
    <row r="46" spans="2:8" x14ac:dyDescent="0.35">
      <c r="B46" s="134" t="s">
        <v>544</v>
      </c>
      <c r="C46" s="150" t="s">
        <v>537</v>
      </c>
      <c r="D46" s="136" t="s">
        <v>604</v>
      </c>
      <c r="E46" s="141"/>
      <c r="F46" s="136" t="s">
        <v>605</v>
      </c>
      <c r="G46" s="136" t="s">
        <v>533</v>
      </c>
      <c r="H46" s="136" t="s">
        <v>532</v>
      </c>
    </row>
    <row r="47" spans="2:8" x14ac:dyDescent="0.35">
      <c r="B47" s="134" t="s">
        <v>448</v>
      </c>
      <c r="C47" s="150" t="s">
        <v>538</v>
      </c>
      <c r="D47" s="136" t="s">
        <v>542</v>
      </c>
      <c r="E47" s="142"/>
      <c r="F47" s="136" t="s">
        <v>541</v>
      </c>
      <c r="G47" s="136" t="s">
        <v>558</v>
      </c>
      <c r="H47" s="136" t="s">
        <v>606</v>
      </c>
    </row>
    <row r="48" spans="2:8" x14ac:dyDescent="0.35">
      <c r="B48" s="152" t="s">
        <v>17</v>
      </c>
      <c r="C48" s="152" t="s">
        <v>569</v>
      </c>
      <c r="D48" s="152" t="s">
        <v>569</v>
      </c>
      <c r="E48" s="152" t="s">
        <v>569</v>
      </c>
      <c r="F48" s="152" t="s">
        <v>569</v>
      </c>
      <c r="G48" s="152" t="s">
        <v>569</v>
      </c>
      <c r="H48" s="152" t="s">
        <v>569</v>
      </c>
    </row>
    <row r="52" spans="2:8" ht="15.5" x14ac:dyDescent="0.35">
      <c r="B52" s="94" t="s">
        <v>617</v>
      </c>
    </row>
    <row r="55" spans="2:8" x14ac:dyDescent="0.35">
      <c r="B55" s="131" t="s">
        <v>545</v>
      </c>
      <c r="C55" s="132"/>
      <c r="D55" s="132"/>
      <c r="E55" s="132"/>
      <c r="F55" s="132"/>
      <c r="G55" s="132"/>
      <c r="H55" s="133"/>
    </row>
    <row r="56" spans="2:8" x14ac:dyDescent="0.35">
      <c r="B56" s="134" t="s">
        <v>562</v>
      </c>
      <c r="C56" s="157" t="s">
        <v>618</v>
      </c>
      <c r="D56" s="135" t="s">
        <v>619</v>
      </c>
      <c r="E56" s="155" t="s">
        <v>620</v>
      </c>
      <c r="F56" s="135" t="s">
        <v>621</v>
      </c>
      <c r="G56" s="156" t="s">
        <v>622</v>
      </c>
      <c r="H56" s="135" t="s">
        <v>574</v>
      </c>
    </row>
    <row r="57" spans="2:8" x14ac:dyDescent="0.35">
      <c r="B57" s="134" t="s">
        <v>563</v>
      </c>
      <c r="C57" s="149"/>
      <c r="D57" s="135" t="s">
        <v>599</v>
      </c>
      <c r="E57" s="154" t="s">
        <v>527</v>
      </c>
      <c r="F57" s="135" t="s">
        <v>623</v>
      </c>
      <c r="G57" s="145"/>
      <c r="H57" s="135" t="s">
        <v>624</v>
      </c>
    </row>
    <row r="58" spans="2:8" x14ac:dyDescent="0.35">
      <c r="B58" s="134" t="s">
        <v>19</v>
      </c>
      <c r="C58" s="149"/>
      <c r="D58" s="135" t="s">
        <v>625</v>
      </c>
      <c r="E58" s="154" t="s">
        <v>632</v>
      </c>
      <c r="F58" s="135" t="s">
        <v>626</v>
      </c>
      <c r="G58" s="145"/>
      <c r="H58" s="135" t="s">
        <v>633</v>
      </c>
    </row>
    <row r="59" spans="2:8" x14ac:dyDescent="0.35">
      <c r="B59" s="134" t="s">
        <v>544</v>
      </c>
      <c r="C59" s="149"/>
      <c r="D59" s="135" t="s">
        <v>627</v>
      </c>
      <c r="E59" s="154" t="s">
        <v>628</v>
      </c>
      <c r="F59" s="135" t="s">
        <v>629</v>
      </c>
      <c r="G59" s="145"/>
      <c r="H59" s="135" t="s">
        <v>630</v>
      </c>
    </row>
    <row r="60" spans="2:8" x14ac:dyDescent="0.35">
      <c r="B60" s="134" t="s">
        <v>448</v>
      </c>
      <c r="C60" s="149"/>
      <c r="D60" s="135" t="s">
        <v>558</v>
      </c>
      <c r="E60" s="154" t="s">
        <v>559</v>
      </c>
      <c r="F60" s="135" t="s">
        <v>542</v>
      </c>
      <c r="G60" s="145"/>
      <c r="H60" s="135" t="s">
        <v>631</v>
      </c>
    </row>
    <row r="61" spans="2:8" x14ac:dyDescent="0.35">
      <c r="B61" s="152" t="s">
        <v>17</v>
      </c>
      <c r="C61" s="152" t="s">
        <v>569</v>
      </c>
      <c r="D61" s="152" t="s">
        <v>569</v>
      </c>
      <c r="E61" s="152" t="s">
        <v>569</v>
      </c>
      <c r="F61" s="152" t="s">
        <v>569</v>
      </c>
      <c r="G61" s="152" t="s">
        <v>569</v>
      </c>
      <c r="H61" s="152" t="s">
        <v>569</v>
      </c>
    </row>
    <row r="66" spans="2:8" x14ac:dyDescent="0.35">
      <c r="B66" s="131" t="s">
        <v>545</v>
      </c>
      <c r="C66" s="132"/>
      <c r="D66" s="132"/>
      <c r="E66" s="132"/>
      <c r="F66" s="132"/>
      <c r="G66" s="132"/>
      <c r="H66" s="133"/>
    </row>
    <row r="67" spans="2:8" x14ac:dyDescent="0.35">
      <c r="B67" s="134" t="s">
        <v>562</v>
      </c>
      <c r="C67" s="156" t="s">
        <v>634</v>
      </c>
      <c r="D67" s="135" t="s">
        <v>635</v>
      </c>
      <c r="E67" s="155" t="s">
        <v>636</v>
      </c>
      <c r="F67" s="135" t="s">
        <v>573</v>
      </c>
      <c r="G67" s="143" t="s">
        <v>637</v>
      </c>
      <c r="H67" s="135" t="s">
        <v>638</v>
      </c>
    </row>
    <row r="68" spans="2:8" x14ac:dyDescent="0.35">
      <c r="B68" s="134" t="s">
        <v>563</v>
      </c>
      <c r="C68" s="145"/>
      <c r="D68" s="135" t="s">
        <v>639</v>
      </c>
      <c r="E68" s="154" t="s">
        <v>527</v>
      </c>
      <c r="F68" s="135" t="s">
        <v>640</v>
      </c>
      <c r="G68" s="145"/>
      <c r="H68" s="135" t="s">
        <v>641</v>
      </c>
    </row>
    <row r="69" spans="2:8" x14ac:dyDescent="0.35">
      <c r="B69" s="134" t="s">
        <v>19</v>
      </c>
      <c r="C69" s="145"/>
      <c r="D69" s="135" t="s">
        <v>565</v>
      </c>
      <c r="F69" s="135" t="s">
        <v>642</v>
      </c>
      <c r="G69" s="145"/>
      <c r="H69" s="135" t="s">
        <v>591</v>
      </c>
    </row>
    <row r="70" spans="2:8" x14ac:dyDescent="0.35">
      <c r="B70" s="134" t="s">
        <v>544</v>
      </c>
      <c r="C70" s="145"/>
      <c r="D70" s="135" t="s">
        <v>643</v>
      </c>
      <c r="E70" s="154" t="s">
        <v>628</v>
      </c>
      <c r="F70" s="135" t="s">
        <v>645</v>
      </c>
      <c r="G70" s="145"/>
      <c r="H70" s="135" t="s">
        <v>646</v>
      </c>
    </row>
    <row r="71" spans="2:8" x14ac:dyDescent="0.35">
      <c r="B71" s="134" t="s">
        <v>448</v>
      </c>
      <c r="C71" s="146"/>
      <c r="D71" s="135" t="s">
        <v>647</v>
      </c>
      <c r="E71" s="154" t="s">
        <v>644</v>
      </c>
      <c r="F71" s="136" t="s">
        <v>648</v>
      </c>
      <c r="G71" s="146"/>
      <c r="H71" s="135" t="s">
        <v>542</v>
      </c>
    </row>
    <row r="72" spans="2:8" x14ac:dyDescent="0.35">
      <c r="B72" s="152" t="s">
        <v>17</v>
      </c>
      <c r="C72" s="152" t="s">
        <v>569</v>
      </c>
      <c r="D72" s="152" t="s">
        <v>569</v>
      </c>
      <c r="E72" s="152" t="s">
        <v>569</v>
      </c>
      <c r="F72" s="152" t="s">
        <v>569</v>
      </c>
      <c r="G72" s="152" t="s">
        <v>569</v>
      </c>
      <c r="H72" s="152" t="s">
        <v>569</v>
      </c>
    </row>
  </sheetData>
  <mergeCells count="27">
    <mergeCell ref="B72:H72"/>
    <mergeCell ref="G56:G60"/>
    <mergeCell ref="G67:G71"/>
    <mergeCell ref="B55:H55"/>
    <mergeCell ref="C56:C60"/>
    <mergeCell ref="B61:H61"/>
    <mergeCell ref="B66:H66"/>
    <mergeCell ref="C67:C71"/>
    <mergeCell ref="B40:H40"/>
    <mergeCell ref="B43:H43"/>
    <mergeCell ref="B48:H48"/>
    <mergeCell ref="E44:E47"/>
    <mergeCell ref="B26:H26"/>
    <mergeCell ref="C27:C30"/>
    <mergeCell ref="F27:F30"/>
    <mergeCell ref="B31:H31"/>
    <mergeCell ref="C36:C39"/>
    <mergeCell ref="F36:F39"/>
    <mergeCell ref="B35:H35"/>
    <mergeCell ref="B4:H4"/>
    <mergeCell ref="B11:H11"/>
    <mergeCell ref="B18:H18"/>
    <mergeCell ref="C19:C22"/>
    <mergeCell ref="F19:F22"/>
    <mergeCell ref="B23:H23"/>
    <mergeCell ref="B16:H16"/>
    <mergeCell ref="B9:H9"/>
  </mergeCells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</vt:lpstr>
      <vt:lpstr>Calculation</vt:lpstr>
      <vt:lpstr>định lượng suất 25k</vt:lpstr>
      <vt:lpstr>định lượng suất 30k</vt:lpstr>
      <vt:lpstr>định lượng suất 34k</vt:lpstr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TechCare</dc:creator>
  <cp:lastModifiedBy>SV STORE</cp:lastModifiedBy>
  <cp:lastPrinted>2024-10-17T00:44:27Z</cp:lastPrinted>
  <dcterms:created xsi:type="dcterms:W3CDTF">2024-06-06T02:25:09Z</dcterms:created>
  <dcterms:modified xsi:type="dcterms:W3CDTF">2026-07-05T02:04:15Z</dcterms:modified>
</cp:coreProperties>
</file>